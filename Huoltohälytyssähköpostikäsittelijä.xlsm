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webextensions/webextension1.xml" ContentType="application/vnd.ms-office.webextension+xml"/>
  <Override PartName="/xl/drawings/drawing2.xml" ContentType="application/vnd.openxmlformats-officedocument.drawing+xml"/>
  <Override PartName="/xl/ctrlProps/ctrlProp2.xml" ContentType="application/vnd.ms-excel.controlproperties+xml"/>
  <Override PartName="/xl/webextensions/webextension2.xml" ContentType="application/vnd.ms-office.webextensi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ämäTyökirja"/>
  <mc:AlternateContent xmlns:mc="http://schemas.openxmlformats.org/markup-compatibility/2006">
    <mc:Choice Requires="x15">
      <x15ac:absPath xmlns:x15ac="http://schemas.microsoft.com/office/spreadsheetml/2010/11/ac" url="https://etagrene.sharepoint.com/sites/TeamPohjoinen/Shared Documents/General/7 Huolto/Huoltohälytyssähköpostikäsittely/"/>
    </mc:Choice>
  </mc:AlternateContent>
  <xr:revisionPtr revIDLastSave="1085056" documentId="8_{C7DA1CF0-3936-47CE-B069-8647702C0679}" xr6:coauthVersionLast="47" xr6:coauthVersionMax="47" xr10:uidLastSave="{41795093-AF9F-4566-B890-FD0733B0CA0B}"/>
  <bookViews>
    <workbookView xWindow="-120" yWindow="-120" windowWidth="38640" windowHeight="21120" activeTab="1" xr2:uid="{00000000-000D-0000-FFFF-FFFF00000000}"/>
  </bookViews>
  <sheets>
    <sheet name="Alarms Log" sheetId="1" r:id="rId1"/>
    <sheet name="Summary by Property" sheetId="2" r:id="rId2"/>
    <sheet name="Done work" sheetId="6" r:id="rId3"/>
  </sheets>
  <definedNames>
    <definedName name="_xlnm._FilterDatabase" localSheetId="0" hidden="1">'Alarms Log'!$A$1:$H$1</definedName>
    <definedName name="_xlnm._FilterDatabase" localSheetId="2" hidden="1">'Done work'!$A$2:$B$2</definedName>
    <definedName name="_xlnm._FilterDatabase" localSheetId="1" hidden="1">'Summary by Property'!$A$4:$C$1605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04" i="2" l="1"/>
  <c r="C1603" i="2" s="1"/>
  <c r="B1604" i="2"/>
  <c r="B1603" i="2" s="1"/>
  <c r="C1601" i="2"/>
  <c r="B1601" i="2"/>
  <c r="C1598" i="2"/>
  <c r="B1598" i="2"/>
  <c r="C1595" i="2"/>
  <c r="B1595" i="2"/>
  <c r="C1592" i="2"/>
  <c r="B1592" i="2"/>
  <c r="C1589" i="2"/>
  <c r="B1589" i="2"/>
  <c r="C1584" i="2"/>
  <c r="B1584" i="2"/>
  <c r="B1583" i="2" s="1"/>
  <c r="C1576" i="2"/>
  <c r="B1576" i="2"/>
  <c r="C1581" i="2"/>
  <c r="B1581" i="2"/>
  <c r="C1577" i="2"/>
  <c r="B1577" i="2"/>
  <c r="C1571" i="2"/>
  <c r="C1570" i="2" s="1"/>
  <c r="B1571" i="2"/>
  <c r="B1570" i="2" s="1"/>
  <c r="C1566" i="2"/>
  <c r="C1565" i="2" s="1"/>
  <c r="B1566" i="2"/>
  <c r="B1565" i="2" s="1"/>
  <c r="C1562" i="2"/>
  <c r="C1561" i="2" s="1"/>
  <c r="B1562" i="2"/>
  <c r="B1561" i="2" s="1"/>
  <c r="C1559" i="2"/>
  <c r="B1559" i="2"/>
  <c r="C1554" i="2"/>
  <c r="B1554" i="2"/>
  <c r="B1553" i="2" s="1"/>
  <c r="C1549" i="2"/>
  <c r="B1549" i="2"/>
  <c r="C1550" i="2"/>
  <c r="B1550" i="2"/>
  <c r="C1547" i="2"/>
  <c r="B1547" i="2"/>
  <c r="C1543" i="2"/>
  <c r="B1543" i="2"/>
  <c r="C1541" i="2"/>
  <c r="B1541" i="2"/>
  <c r="C1539" i="2"/>
  <c r="B1539" i="2"/>
  <c r="C1535" i="2"/>
  <c r="B1535" i="2"/>
  <c r="C1531" i="2"/>
  <c r="B1531" i="2"/>
  <c r="C1528" i="2"/>
  <c r="B1528" i="2"/>
  <c r="C1525" i="2"/>
  <c r="B1525" i="2"/>
  <c r="C1519" i="2"/>
  <c r="C1518" i="2" s="1"/>
  <c r="B1519" i="2"/>
  <c r="B1518" i="2" s="1"/>
  <c r="C1516" i="2"/>
  <c r="B1516" i="2"/>
  <c r="C1513" i="2"/>
  <c r="B1513" i="2"/>
  <c r="C1510" i="2"/>
  <c r="B1510" i="2"/>
  <c r="C1506" i="2"/>
  <c r="C1505" i="2" s="1"/>
  <c r="B1506" i="2"/>
  <c r="C1501" i="2"/>
  <c r="C1500" i="2" s="1"/>
  <c r="B1501" i="2"/>
  <c r="B1500" i="2" s="1"/>
  <c r="C1498" i="2"/>
  <c r="B1498" i="2"/>
  <c r="C1495" i="2"/>
  <c r="B1495" i="2"/>
  <c r="C1492" i="2"/>
  <c r="B1492" i="2"/>
  <c r="C1490" i="2"/>
  <c r="B1490" i="2"/>
  <c r="C1488" i="2"/>
  <c r="B1488" i="2"/>
  <c r="C1438" i="2"/>
  <c r="B1438" i="2"/>
  <c r="C1434" i="2"/>
  <c r="B1434" i="2"/>
  <c r="C1430" i="2"/>
  <c r="B1430" i="2"/>
  <c r="C1426" i="2"/>
  <c r="B1426" i="2"/>
  <c r="C1423" i="2"/>
  <c r="B1423" i="2"/>
  <c r="C1418" i="2"/>
  <c r="B1418" i="2"/>
  <c r="C1415" i="2"/>
  <c r="B1415" i="2"/>
  <c r="C1410" i="2"/>
  <c r="B1410" i="2"/>
  <c r="C1406" i="2"/>
  <c r="B1406" i="2"/>
  <c r="C1402" i="2"/>
  <c r="B1402" i="2"/>
  <c r="C1395" i="2"/>
  <c r="B1395" i="2"/>
  <c r="C1388" i="2"/>
  <c r="B1388" i="2"/>
  <c r="C1377" i="2"/>
  <c r="B1377" i="2"/>
  <c r="C1374" i="2"/>
  <c r="B1374" i="2"/>
  <c r="C1369" i="2"/>
  <c r="B1369" i="2"/>
  <c r="C1366" i="2"/>
  <c r="B1366" i="2"/>
  <c r="C1363" i="2"/>
  <c r="B1363" i="2"/>
  <c r="C1358" i="2"/>
  <c r="B1358" i="2"/>
  <c r="C1353" i="2"/>
  <c r="B1353" i="2"/>
  <c r="C1348" i="2"/>
  <c r="B1348" i="2"/>
  <c r="C1341" i="2"/>
  <c r="B1341" i="2"/>
  <c r="C1334" i="2"/>
  <c r="B1334" i="2"/>
  <c r="C1331" i="2"/>
  <c r="B1331" i="2"/>
  <c r="C1324" i="2"/>
  <c r="B1324" i="2"/>
  <c r="C1321" i="2"/>
  <c r="B1321" i="2"/>
  <c r="C1318" i="2"/>
  <c r="B1318" i="2"/>
  <c r="C1315" i="2"/>
  <c r="B1315" i="2"/>
  <c r="C1312" i="2"/>
  <c r="B1312" i="2"/>
  <c r="C1309" i="2"/>
  <c r="B1309" i="2"/>
  <c r="C1306" i="2"/>
  <c r="B1306" i="2"/>
  <c r="C1303" i="2"/>
  <c r="B1303" i="2"/>
  <c r="C1296" i="2"/>
  <c r="B1296" i="2"/>
  <c r="C1292" i="2"/>
  <c r="B1292" i="2"/>
  <c r="C1289" i="2"/>
  <c r="B1289" i="2"/>
  <c r="C1285" i="2"/>
  <c r="B1285" i="2"/>
  <c r="C1282" i="2"/>
  <c r="B1282" i="2"/>
  <c r="C1279" i="2"/>
  <c r="B1279" i="2"/>
  <c r="C1276" i="2"/>
  <c r="B1276" i="2"/>
  <c r="C1273" i="2"/>
  <c r="B1273" i="2"/>
  <c r="C1270" i="2"/>
  <c r="B1270" i="2"/>
  <c r="C1264" i="2"/>
  <c r="B1264" i="2"/>
  <c r="C1262" i="2"/>
  <c r="B1262" i="2"/>
  <c r="C1258" i="2"/>
  <c r="B1258" i="2"/>
  <c r="C1255" i="2"/>
  <c r="B1255" i="2"/>
  <c r="C1252" i="2"/>
  <c r="B1252" i="2"/>
  <c r="C1250" i="2"/>
  <c r="B1250" i="2"/>
  <c r="C1246" i="2"/>
  <c r="B1246" i="2"/>
  <c r="C1243" i="2"/>
  <c r="B1243" i="2"/>
  <c r="C1238" i="2"/>
  <c r="B1238" i="2"/>
  <c r="C1235" i="2"/>
  <c r="B1235" i="2"/>
  <c r="C1232" i="2"/>
  <c r="B1232" i="2"/>
  <c r="C1229" i="2"/>
  <c r="B1229" i="2"/>
  <c r="C1225" i="2"/>
  <c r="B1225" i="2"/>
  <c r="C1217" i="2"/>
  <c r="B1217" i="2"/>
  <c r="C1207" i="2"/>
  <c r="B1207" i="2"/>
  <c r="C1204" i="2"/>
  <c r="B1204" i="2"/>
  <c r="C1201" i="2"/>
  <c r="B1201" i="2"/>
  <c r="C1194" i="2"/>
  <c r="B1194" i="2"/>
  <c r="C1191" i="2"/>
  <c r="B1191" i="2"/>
  <c r="C1186" i="2"/>
  <c r="B1186" i="2"/>
  <c r="C1184" i="2"/>
  <c r="B1184" i="2"/>
  <c r="C1178" i="2"/>
  <c r="C1177" i="2" s="1"/>
  <c r="B1178" i="2"/>
  <c r="B1177" i="2" s="1"/>
  <c r="C1175" i="2"/>
  <c r="B1175" i="2"/>
  <c r="C1170" i="2"/>
  <c r="B1170" i="2"/>
  <c r="C1166" i="2"/>
  <c r="B1166" i="2"/>
  <c r="C1162" i="2"/>
  <c r="B1162" i="2"/>
  <c r="C1159" i="2"/>
  <c r="B1159" i="2"/>
  <c r="C1156" i="2"/>
  <c r="B1156" i="2"/>
  <c r="C1151" i="2"/>
  <c r="B1151" i="2"/>
  <c r="C1146" i="2"/>
  <c r="B1146" i="2"/>
  <c r="C1143" i="2"/>
  <c r="B1143" i="2"/>
  <c r="C1140" i="2"/>
  <c r="B1140" i="2"/>
  <c r="C1137" i="2"/>
  <c r="B1137" i="2"/>
  <c r="C1135" i="2"/>
  <c r="B1135" i="2"/>
  <c r="C1132" i="2"/>
  <c r="B1132" i="2"/>
  <c r="C1129" i="2"/>
  <c r="B1129" i="2"/>
  <c r="C1124" i="2"/>
  <c r="B1124" i="2"/>
  <c r="C1103" i="2"/>
  <c r="B1103" i="2"/>
  <c r="C1094" i="2"/>
  <c r="C1093" i="2" s="1"/>
  <c r="B1094" i="2"/>
  <c r="B1093" i="2" s="1"/>
  <c r="C1091" i="2"/>
  <c r="B1091" i="2"/>
  <c r="C1085" i="2"/>
  <c r="B1085" i="2"/>
  <c r="C1074" i="2"/>
  <c r="B1074" i="2"/>
  <c r="C1070" i="2"/>
  <c r="B1070" i="2"/>
  <c r="C1065" i="2"/>
  <c r="B1065" i="2"/>
  <c r="C1062" i="2"/>
  <c r="B1062" i="2"/>
  <c r="C1052" i="2"/>
  <c r="B1052" i="2"/>
  <c r="C1047" i="2"/>
  <c r="C1046" i="2" s="1"/>
  <c r="B1047" i="2"/>
  <c r="B1046" i="2" s="1"/>
  <c r="C1041" i="2"/>
  <c r="C1040" i="2" s="1"/>
  <c r="B1041" i="2"/>
  <c r="B1040" i="2" s="1"/>
  <c r="C970" i="2"/>
  <c r="C969" i="2" s="1"/>
  <c r="B970" i="2"/>
  <c r="B969" i="2" s="1"/>
  <c r="C967" i="2"/>
  <c r="B967" i="2"/>
  <c r="C965" i="2"/>
  <c r="B965" i="2"/>
  <c r="C961" i="2"/>
  <c r="B961" i="2"/>
  <c r="C956" i="2"/>
  <c r="B956" i="2"/>
  <c r="C881" i="2"/>
  <c r="B881" i="2"/>
  <c r="C878" i="2"/>
  <c r="B878" i="2"/>
  <c r="C852" i="2"/>
  <c r="B852" i="2"/>
  <c r="C849" i="2"/>
  <c r="B849" i="2"/>
  <c r="C845" i="2"/>
  <c r="B845" i="2"/>
  <c r="C842" i="2"/>
  <c r="B842" i="2"/>
  <c r="C785" i="2"/>
  <c r="B785" i="2"/>
  <c r="C768" i="2"/>
  <c r="B768" i="2"/>
  <c r="C757" i="2"/>
  <c r="B757" i="2"/>
  <c r="C751" i="2"/>
  <c r="B751" i="2"/>
  <c r="C746" i="2"/>
  <c r="B746" i="2"/>
  <c r="C743" i="2"/>
  <c r="B743" i="2"/>
  <c r="C740" i="2"/>
  <c r="B740" i="2"/>
  <c r="C735" i="2"/>
  <c r="B735" i="2"/>
  <c r="C730" i="2"/>
  <c r="B730" i="2"/>
  <c r="C725" i="2"/>
  <c r="B725" i="2"/>
  <c r="C720" i="2"/>
  <c r="B720" i="2"/>
  <c r="C716" i="2"/>
  <c r="B716" i="2"/>
  <c r="C711" i="2"/>
  <c r="B711" i="2"/>
  <c r="C706" i="2"/>
  <c r="B706" i="2"/>
  <c r="C701" i="2"/>
  <c r="B701" i="2"/>
  <c r="C696" i="2"/>
  <c r="B696" i="2"/>
  <c r="C691" i="2"/>
  <c r="B691" i="2"/>
  <c r="C686" i="2"/>
  <c r="B686" i="2"/>
  <c r="C164" i="2"/>
  <c r="B164" i="2"/>
  <c r="C111" i="2"/>
  <c r="B111" i="2"/>
  <c r="C108" i="2"/>
  <c r="B108" i="2"/>
  <c r="C106" i="2"/>
  <c r="B106" i="2"/>
  <c r="C104" i="2"/>
  <c r="B104" i="2"/>
  <c r="C102" i="2"/>
  <c r="B102" i="2"/>
  <c r="C97" i="2"/>
  <c r="B97" i="2"/>
  <c r="C92" i="2"/>
  <c r="B92" i="2"/>
  <c r="C81" i="2"/>
  <c r="B81" i="2"/>
  <c r="C78" i="2"/>
  <c r="B78" i="2"/>
  <c r="C76" i="2"/>
  <c r="B76" i="2"/>
  <c r="C74" i="2"/>
  <c r="B74" i="2"/>
  <c r="C70" i="2"/>
  <c r="B70" i="2"/>
  <c r="C38" i="2"/>
  <c r="B38" i="2"/>
  <c r="C6" i="2"/>
  <c r="B6" i="2"/>
  <c r="B80" i="2" l="1"/>
  <c r="C1597" i="2"/>
  <c r="C1161" i="2"/>
  <c r="C1494" i="2"/>
  <c r="B5" i="2"/>
  <c r="B1206" i="2"/>
  <c r="C1206" i="2"/>
  <c r="C1553" i="2"/>
  <c r="C1583" i="2"/>
  <c r="B756" i="2"/>
  <c r="B1161" i="2"/>
  <c r="B1494" i="2"/>
  <c r="B1505" i="2"/>
  <c r="C5" i="2"/>
  <c r="B784" i="2"/>
  <c r="B1064" i="2"/>
  <c r="B1169" i="2"/>
  <c r="C80" i="2"/>
  <c r="C784" i="2"/>
  <c r="C1064" i="2"/>
  <c r="C1169" i="2"/>
  <c r="B1245" i="2"/>
  <c r="C110" i="2"/>
  <c r="C1150" i="2"/>
  <c r="C1245" i="2"/>
  <c r="C1284" i="2"/>
  <c r="C1437" i="2"/>
  <c r="C1530" i="2"/>
  <c r="B1183" i="2"/>
  <c r="B1237" i="2"/>
  <c r="B1254" i="2"/>
  <c r="B1275" i="2"/>
  <c r="B1295" i="2"/>
  <c r="B1597" i="2"/>
  <c r="B1530" i="2"/>
  <c r="C1237" i="2"/>
  <c r="C1295" i="2"/>
  <c r="B955" i="2"/>
  <c r="B1084" i="2"/>
  <c r="B1102" i="2"/>
  <c r="B1190" i="2"/>
  <c r="B1228" i="2"/>
  <c r="B1269" i="2"/>
  <c r="B1429" i="2"/>
  <c r="B1512" i="2"/>
  <c r="B1524" i="2"/>
  <c r="B1591" i="2"/>
  <c r="B110" i="2"/>
  <c r="B851" i="2"/>
  <c r="B1150" i="2"/>
  <c r="B1284" i="2"/>
  <c r="B1437" i="2"/>
  <c r="C851" i="2"/>
  <c r="C1190" i="2"/>
  <c r="C1183" i="2"/>
  <c r="C1254" i="2"/>
  <c r="C1275" i="2"/>
  <c r="C756" i="2"/>
  <c r="C955" i="2"/>
  <c r="C1084" i="2"/>
  <c r="C1102" i="2"/>
  <c r="C1228" i="2"/>
  <c r="C1269" i="2"/>
  <c r="C1429" i="2"/>
  <c r="C1512" i="2"/>
  <c r="C1524" i="2"/>
  <c r="C1591" i="2"/>
</calcChain>
</file>

<file path=xl/sharedStrings.xml><?xml version="1.0" encoding="utf-8"?>
<sst xmlns="http://schemas.openxmlformats.org/spreadsheetml/2006/main" count="12633" uniqueCount="5710">
  <si>
    <t>Property</t>
  </si>
  <si>
    <t>Alarm Name</t>
  </si>
  <si>
    <t>Alarm Code</t>
  </si>
  <si>
    <t>Date</t>
  </si>
  <si>
    <t>Time</t>
  </si>
  <si>
    <t>Subject</t>
  </si>
  <si>
    <t>Entry ID</t>
  </si>
  <si>
    <t>Received Date</t>
  </si>
  <si>
    <t>Poistunut hälytys : Torikeskus</t>
  </si>
  <si>
    <t>Aloitus</t>
  </si>
  <si>
    <t>Lopetus</t>
  </si>
  <si>
    <t>Torikeskus,VAK4</t>
  </si>
  <si>
    <t>1. Kerros lasikatto not response£MB2_15_WL_BaseVAK4</t>
  </si>
  <si>
    <t>Hälytys : KOy Valtakatu 33 Lappeenranta</t>
  </si>
  <si>
    <t>KOy Valtakatu 33 Lappeenranta,VAK1</t>
  </si>
  <si>
    <t>Ilman virtaushälytys</t>
  </si>
  <si>
    <t>ACTIVE ALARMS (Hälytykset)</t>
  </si>
  <si>
    <t>Start Date:</t>
  </si>
  <si>
    <t>End Date:</t>
  </si>
  <si>
    <t>PROPERTY ALARM TIMELINE LOG (Active &amp; Cleared)</t>
  </si>
  <si>
    <t>Property Structure / Alarm Metrics</t>
  </si>
  <si>
    <t>Total</t>
  </si>
  <si>
    <t>HUOLTOTYÖMAAT</t>
  </si>
  <si>
    <t>Kohteet</t>
  </si>
  <si>
    <t>Tiedot</t>
  </si>
  <si>
    <t>As Oy Tornion Sairaalakatu 5</t>
  </si>
  <si>
    <t xml:space="preserve">    Mitä myyty:</t>
  </si>
  <si>
    <t xml:space="preserve">    Tehdyt Työt:</t>
  </si>
  <si>
    <t xml:space="preserve">    Myyjä:</t>
  </si>
  <si>
    <t xml:space="preserve">    Hinta €:</t>
  </si>
  <si>
    <t xml:space="preserve">    Lisätietoja:</t>
  </si>
  <si>
    <t>Haapajärven monitoimitalo</t>
  </si>
  <si>
    <t>Kajaani Kiskokangas</t>
  </si>
  <si>
    <t>Netti pätkii todella paljon. Modeemi kellarissa.</t>
  </si>
  <si>
    <t>Kajaani Kiskokoto</t>
  </si>
  <si>
    <t>Netti pätkii?</t>
  </si>
  <si>
    <t>Kajaani Lohtajankatu 13</t>
  </si>
  <si>
    <t>Kajaani Louhikatu 4</t>
  </si>
  <si>
    <t>Kajaani Pohjolankatu 22</t>
  </si>
  <si>
    <t>Kajaani Tehdaskatu 8</t>
  </si>
  <si>
    <t>Netti pätkii välillä?</t>
  </si>
  <si>
    <t>Kauppakeskus Armada</t>
  </si>
  <si>
    <t>Armada 
TK05PK02 ristiriitahälytysviivettä nostettu 5s -&gt; 10min
LH1 PF3 oikeasti ristiriidalla</t>
  </si>
  <si>
    <t>Kauppakeskus Mega</t>
  </si>
  <si>
    <t>MEGA TK3 tulosuodatinhälytyksen alarajahälytys viiveitä nostettu 5s-&gt; 300s, näyttäisi aina pätkivän muutamaksi minuutiksi kun kone sammuu.</t>
  </si>
  <si>
    <t>KOy Valtakatu 33 Lappeenranta</t>
  </si>
  <si>
    <t>Oulu Haukanpolku</t>
  </si>
  <si>
    <t>Oulu Helatorni</t>
  </si>
  <si>
    <t>Oulu Intiönpuisto</t>
  </si>
  <si>
    <t>Oulu Metsälauhantie 3</t>
  </si>
  <si>
    <t>Oulu Paraatirensseli (P)</t>
  </si>
  <si>
    <t xml:space="preserve">    Mitä myyty/tarjottu:</t>
  </si>
  <si>
    <t>Samuel Hanhela</t>
  </si>
  <si>
    <t>302/2171 2219,34e.   302/2172 2848,85e</t>
  </si>
  <si>
    <t>Oulu Raksila</t>
  </si>
  <si>
    <t>Netti välillä pätkii?</t>
  </si>
  <si>
    <t>Oulu Rantakatu 9</t>
  </si>
  <si>
    <t>Oulu Rommakkokatu 9</t>
  </si>
  <si>
    <t>Oulu Saaristonkatu 5</t>
  </si>
  <si>
    <t>Oulu Suohaukka</t>
  </si>
  <si>
    <t>Oulu Suvantokulma (P)</t>
  </si>
  <si>
    <t>FLTA Tukiasema rikki</t>
  </si>
  <si>
    <t>Oulu Tuulimyllynkatu 7-9 (P)</t>
  </si>
  <si>
    <t>Tarjous kielteinen 15.6.2026</t>
  </si>
  <si>
    <t>"Timo 10.6.2026 Tarjottu anturiverkon huolto 701.54€ tai uuden verkon saneeraus wl-base + 6 wltemprh ja työt 2250.21€ info@isannointisuomela.fi" Asiakas kieltäytyi tarjouksista ja turhat hälytykset karsittu pois 15.6.2026 Timo Mikkonen</t>
  </si>
  <si>
    <t>Oulu Varpushaukantie 4 (P)</t>
  </si>
  <si>
    <t>Oulu Voimanuotta</t>
  </si>
  <si>
    <t>Oulun Ruustinna</t>
  </si>
  <si>
    <t>Raahe Ajajankatu 14 (Ajajan Salpa)</t>
  </si>
  <si>
    <t>Netti pätkinyt?</t>
  </si>
  <si>
    <t>Raahe Ollinsaarenrivi</t>
  </si>
  <si>
    <t>Raahe Peltokolmio</t>
  </si>
  <si>
    <t>Netti pätkii paljon?</t>
  </si>
  <si>
    <t>Raahe Reiponkatu 32</t>
  </si>
  <si>
    <t>Raahe Saaristokatu 54</t>
  </si>
  <si>
    <t>Raahe Salmenhovi</t>
  </si>
  <si>
    <t>Netti pätkii/ ei toimi</t>
  </si>
  <si>
    <t>Rovaniemi Ainonkatu 4-6 Pääsäädin (P)</t>
  </si>
  <si>
    <t>RYP Verstas</t>
  </si>
  <si>
    <t>Sotkamo Kanervatie 4 ja 6</t>
  </si>
  <si>
    <t>Venttiili vuotaa? Netti pätkii?</t>
  </si>
  <si>
    <t>Sotkamo Vatro 1 / Vatro 2</t>
  </si>
  <si>
    <t>netti pätkii?</t>
  </si>
  <si>
    <t>Sotkamo Vuokatinluhti 1</t>
  </si>
  <si>
    <t>WL-Base rikki? Tai netti todella huono</t>
  </si>
  <si>
    <t>Torikeskus</t>
  </si>
  <si>
    <t>Timo 28.5.2026
Torikeskus
 vak10 tk97 virtaushälytys hälytysviiveitä nostettu 2min -&gt; 30min
vak7 hälytysviivettä nostettu loistehon kompensointi häiriö 5s -&gt; 3600s  tämä hälyttelee paljon, suositeltavaa käyttää Huolto selvittämässä mistä tulee.
VAK4 wl baselta lähtee sähköt aina n. 20.42 ja tulee takaisin 05.09, käytävä katsomassa minkä takaa virransyöttö on otettu
VAK4 NOSTETTU YLÄLÄMPÖHÄLYRAJAA TK17 5-10 ASTETTA JA NOSTETTU HÄLYVIIVETTÄ 5-&gt;15min  epäilisin että voi auringosta johtuen ilmeisesti käydä välillä piikkejä,
VAK9 TK56 PK2 hidas ristiriita, nostettu hälytysviivettä 5s -&gt; 60s</t>
  </si>
  <si>
    <t>Tornionväylä</t>
  </si>
  <si>
    <t>Vaalan alakoulu (P)</t>
  </si>
  <si>
    <t>Vaasa Hanhenpolku 3</t>
  </si>
  <si>
    <t>Ylivieska Muuttolankoski / Muuttolanpuisto (P)</t>
  </si>
  <si>
    <t>Netti pätkii</t>
  </si>
  <si>
    <t>Raahen Raatihovi</t>
  </si>
  <si>
    <t>Kajaani Tehdaskatu 10</t>
  </si>
  <si>
    <t>Kajaani Pajunkanto</t>
  </si>
  <si>
    <t>Kajaani Säästörinne</t>
  </si>
  <si>
    <t>Oulu Järvihiisi</t>
  </si>
  <si>
    <t>Kalajoki Kalajoen liikekeskus</t>
  </si>
  <si>
    <t>Torikeskus Total</t>
  </si>
  <si>
    <t xml:space="preserve">  VAK4 - 1. Kerros lasikatto not response£MB2_15_WL_BaseVAK4</t>
  </si>
  <si>
    <t>KOy Valtakatu 33 Lappeenranta Total</t>
  </si>
  <si>
    <t xml:space="preserve">  VAK1 - Ilman virtaushälytys</t>
  </si>
  <si>
    <t>Torikeskus,VAK8</t>
  </si>
  <si>
    <t>Jätevesipumppaamo F-Osa häiriö</t>
  </si>
  <si>
    <t>Hälytys : Torikeskus</t>
  </si>
  <si>
    <t>Kuuluvuushälytys</t>
  </si>
  <si>
    <t>Raahe Peltokolmio,Flex</t>
  </si>
  <si>
    <t>No Response Alarm</t>
  </si>
  <si>
    <t>Hälytys : Raahe Peltokolmio</t>
  </si>
  <si>
    <t>05.10.53</t>
  </si>
  <si>
    <t>Kauppakeskus Mega,VAK4</t>
  </si>
  <si>
    <t>TK3 Poistosuodattimen Alarajahälytys</t>
  </si>
  <si>
    <t>Hälytys : Kauppakeskus Mega</t>
  </si>
  <si>
    <t>Oulu Intiönpuisto,Flex</t>
  </si>
  <si>
    <t>Hälytys : Oulu Intiönpuisto</t>
  </si>
  <si>
    <t>TK2 Poistosuodattimen Alarajahälytys</t>
  </si>
  <si>
    <t>Kajaani Kiskokangas,FLEX</t>
  </si>
  <si>
    <t>Laite MB3.FlexM osoitteessa 10 ei vastaa</t>
  </si>
  <si>
    <t>Hälytys : Kajaani Kiskokangas</t>
  </si>
  <si>
    <t>Hälytys : Kauppakeskus Armada</t>
  </si>
  <si>
    <t>Raahe Ajajankatu 14 (Ajajan Salpa),Flex</t>
  </si>
  <si>
    <t>Hälytys : Raahe Ajajankatu 14 (Ajajan Salpa)</t>
  </si>
  <si>
    <t>Raahe Salmenhovi,FLEX</t>
  </si>
  <si>
    <t>Hälytys : Raahe Salmenhovi</t>
  </si>
  <si>
    <t>05.10.42</t>
  </si>
  <si>
    <t>Haapajärven monitoimitalo,VAK11</t>
  </si>
  <si>
    <t>Poistunut hälytys : Haapajärven monitoimitalo</t>
  </si>
  <si>
    <t>Hälytys : Haapajärven monitoimitalo</t>
  </si>
  <si>
    <t>HeatingControl.L1 painehälytys</t>
  </si>
  <si>
    <t>Pääovi ovi auki</t>
  </si>
  <si>
    <t>Kauppakeskus Armada,VAK2</t>
  </si>
  <si>
    <t>Ristiriitahälytys</t>
  </si>
  <si>
    <t>10.07.02</t>
  </si>
  <si>
    <t xml:space="preserve">  VAK8 - Jätevesipumppaamo F-Osa häiriö</t>
  </si>
  <si>
    <t xml:space="preserve">  Flex - Kuuluvuushälytys</t>
  </si>
  <si>
    <t>Raahe Peltokolmio Total</t>
  </si>
  <si>
    <t xml:space="preserve">  Flex - No Response Alarm</t>
  </si>
  <si>
    <t>Kauppakeskus Mega Total</t>
  </si>
  <si>
    <t xml:space="preserve">  VAK4 - TK3 Poistosuodattimen Alarajahälytys</t>
  </si>
  <si>
    <t xml:space="preserve">  VAK4 - TK2 Poistosuodattimen Alarajahälytys</t>
  </si>
  <si>
    <t>Oulu Intiönpuisto Total</t>
  </si>
  <si>
    <t xml:space="preserve">  Flex - HeatingControl.L1 painehälytys</t>
  </si>
  <si>
    <t>Kajaani Kiskokangas Total</t>
  </si>
  <si>
    <t xml:space="preserve">  FLEX - Laite MB3.FlexM osoitteessa 10 ei vastaa</t>
  </si>
  <si>
    <t>Kauppakeskus Armada Total</t>
  </si>
  <si>
    <t xml:space="preserve">  VAK2 - Ristiriitahälytys</t>
  </si>
  <si>
    <t>Raahe Ajajankatu 14 (Ajajan Salpa) Total</t>
  </si>
  <si>
    <t xml:space="preserve">  FLEX - No Response Alarm</t>
  </si>
  <si>
    <t>Raahe Salmenhovi Total</t>
  </si>
  <si>
    <t>Haapajärven monitoimitalo Total</t>
  </si>
  <si>
    <t xml:space="preserve">  VAK11 - Pääovi ovi auki</t>
  </si>
  <si>
    <t>Hälytys - KK31.VAK2.PF05.PF05PE02.1.A2 2026.08.19 07</t>
  </si>
  <si>
    <t>2026.08.19</t>
  </si>
  <si>
    <t>07.45.23</t>
  </si>
  <si>
    <t>00000000F4188C90990C1D4F9592A85831DCA99307001CDFA5E3617DAF4D8529086EB3E4B6EC00000000010C00001CDFA5E3617DAF4D8529086EB3E4B6EC0000C1FCD2860000</t>
  </si>
  <si>
    <t>Hälytys - LM1.MB3_ADDR10_FlexM__Error.A 2026.08.19 07</t>
  </si>
  <si>
    <t>07.44.26</t>
  </si>
  <si>
    <t>00000000F4188C90990C1D4F9592A85831DCA99307001CDFA5E3617DAF4D8529086EB3E4B6EC00000000010C00001CDFA5E3617DAF4D8529086EB3E4B6EC0000C1FCD2850000</t>
  </si>
  <si>
    <t>Hälytys - VAK8.JVP_F.HÄL1.DA0 2026.08.19 07</t>
  </si>
  <si>
    <t>07.24.19</t>
  </si>
  <si>
    <t>00000000F4188C90990C1D4F9592A85831DCA99307001CDFA5E3617DAF4D8529086EB3E4B6EC00000000010C00001CDFA5E3617DAF4D8529086EB3E4B6EC0000C1FCD2840000</t>
  </si>
  <si>
    <t>Poistunut hälytys - VAK8.JVP_F.HÄL1.DA0 2026.08.19 07</t>
  </si>
  <si>
    <t>07.23.55</t>
  </si>
  <si>
    <t>00000000F4188C90990C1D4F9592A85831DCA99307001CDFA5E3617DAF4D8529086EB3E4B6EC00000000010C00001CDFA5E3617DAF4D8529086EB3E4B6EC0000C1FCD2830000</t>
  </si>
  <si>
    <t>Poistunut hälytys - VAK4.MB2_WL_BaseVAK4_Alarm2.A 2026.08.19 05</t>
  </si>
  <si>
    <t>00000000F4188C90990C1D4F9592A85831DCA99307001CDFA5E3617DAF4D8529086EB3E4B6EC00000000010C00001CDFA5E3617DAF4D8529086EB3E4B6EC0000C1FCD2820000</t>
  </si>
  <si>
    <t>Hälytys - VK33.VAK1.4TK1.FlowAlarm_A.A 2026.08.19 02</t>
  </si>
  <si>
    <t>02.06.40</t>
  </si>
  <si>
    <t>00000000F4188C90990C1D4F9592A85831DCA99307001CDFA5E3617DAF4D8529086EB3E4B6EC00000000010C00001CDFA5E3617DAF4D8529086EB3E4B6EC0000C1EA70F80000</t>
  </si>
  <si>
    <t>Oulu Vaskikotka (P)</t>
  </si>
  <si>
    <t>Hälytys - LM1.L1.PE01.A1 2026.08.20 08</t>
  </si>
  <si>
    <t>2026.08.20</t>
  </si>
  <si>
    <t>08.26.53</t>
  </si>
  <si>
    <t>00000000F4188C90990C1D4F9592A85831DCA99307001CDFA5E3617DAF4D8529086EB3E4B6EC00000000010C00001CDFA5E3617DAF4D8529086EB3E4B6EC0000C1FCD2C50000</t>
  </si>
  <si>
    <t>08.09.02</t>
  </si>
  <si>
    <t>00000000F4188C90990C1D4F9592A85831DCA99307001CDFA5E3617DAF4D8529086EB3E4B6EC00000000010C00001CDFA5E3617DAF4D8529086EB3E4B6EC0000C1FCD2C40000</t>
  </si>
  <si>
    <t>Poistunut hälytys - VAK11.921.OVI01.Ind.A1 2026.08.20 08</t>
  </si>
  <si>
    <t>08.00.25</t>
  </si>
  <si>
    <t>00000000F4188C90990C1D4F9592A85831DCA99307001CDFA5E3617DAF4D8529086EB3E4B6EC00000000010C00001CDFA5E3617DAF4D8529086EB3E4B6EC0000C1FCD2C30000</t>
  </si>
  <si>
    <t>Hälytys - LM1.L1.PE01.A1 2026.08.20 07</t>
  </si>
  <si>
    <t>07.48.13</t>
  </si>
  <si>
    <t>00000000F4188C90990C1D4F9592A85831DCA99307001CDFA5E3617DAF4D8529086EB3E4B6EC00000000010C00001CDFA5E3617DAF4D8529086EB3E4B6EC0000C1FCD2C20000</t>
  </si>
  <si>
    <t>07.41.14</t>
  </si>
  <si>
    <t>00000000F4188C90990C1D4F9592A85831DCA99307001CDFA5E3617DAF4D8529086EB3E4B6EC00000000010C00001CDFA5E3617DAF4D8529086EB3E4B6EC0000C1FCD2C10000</t>
  </si>
  <si>
    <t>Hälytys - VAK11.921.OVI01.Ind.A1 2026.08.20 07</t>
  </si>
  <si>
    <t>07.36.52</t>
  </si>
  <si>
    <t>00000000F4188C90990C1D4F9592A85831DCA99307001CDFA5E3617DAF4D8529086EB3E4B6EC00000000010C00001CDFA5E3617DAF4D8529086EB3E4B6EC0000C1FCD2C00000</t>
  </si>
  <si>
    <t>07.17.58</t>
  </si>
  <si>
    <t>00000000F4188C90990C1D4F9592A85831DCA99307001CDFA5E3617DAF4D8529086EB3E4B6EC00000000010C00001CDFA5E3617DAF4D8529086EB3E4B6EC0000C1FCD2BF0000</t>
  </si>
  <si>
    <t>07.13.01</t>
  </si>
  <si>
    <t>00000000F4188C90990C1D4F9592A85831DCA99307001CDFA5E3617DAF4D8529086EB3E4B6EC00000000010C00001CDFA5E3617DAF4D8529086EB3E4B6EC0000C1FCD2BE0000</t>
  </si>
  <si>
    <t>07.09.32</t>
  </si>
  <si>
    <t>00000000F4188C90990C1D4F9592A85831DCA99307001CDFA5E3617DAF4D8529086EB3E4B6EC00000000010C00001CDFA5E3617DAF4D8529086EB3E4B6EC0000C1FCD2BD0000</t>
  </si>
  <si>
    <t>Hälytys - LM1.L1.PE01.A1 2026.08.20 06</t>
  </si>
  <si>
    <t>06.58.26</t>
  </si>
  <si>
    <t>00000000F4188C90990C1D4F9592A85831DCA99307001CDFA5E3617DAF4D8529086EB3E4B6EC00000000010C00001CDFA5E3617DAF4D8529086EB3E4B6EC0000C1FCD2BC0000</t>
  </si>
  <si>
    <t>06.43.12</t>
  </si>
  <si>
    <t>00000000F4188C90990C1D4F9592A85831DCA99307001CDFA5E3617DAF4D8529086EB3E4B6EC00000000010C00001CDFA5E3617DAF4D8529086EB3E4B6EC0000C1FCD2BB0000</t>
  </si>
  <si>
    <t>06.35.56</t>
  </si>
  <si>
    <t>00000000F4188C90990C1D4F9592A85831DCA99307001CDFA5E3617DAF4D8529086EB3E4B6EC00000000010C00001CDFA5E3617DAF4D8529086EB3E4B6EC0000C1FCD2BA0000</t>
  </si>
  <si>
    <t>Poistunut hälytys - VAK4.MB2_WL_BaseVAK4_Alarm2.A 2026.08.20 05</t>
  </si>
  <si>
    <t>00000000F4188C90990C1D4F9592A85831DCA99307001CDFA5E3617DAF4D8529086EB3E4B6EC00000000010C00001CDFA5E3617DAF4D8529086EB3E4B6EC0000C1FCD2B90000</t>
  </si>
  <si>
    <t>Hälytys - LM1.L1.PE01.A1 2026.08.20 05</t>
  </si>
  <si>
    <t>05.10.11</t>
  </si>
  <si>
    <t>00000000F4188C90990C1D4F9592A85831DCA99307001CDFA5E3617DAF4D8529086EB3E4B6EC00000000010C00001CDFA5E3617DAF4D8529086EB3E4B6EC0000C1FCD2B80000</t>
  </si>
  <si>
    <t>05.05.30</t>
  </si>
  <si>
    <t>00000000F4188C90990C1D4F9592A85831DCA99307001CDFA5E3617DAF4D8529086EB3E4B6EC00000000010C00001CDFA5E3617DAF4D8529086EB3E4B6EC0000C1FCD2B70000</t>
  </si>
  <si>
    <t>Hälytys - LM1.L1.PE01.A1 2026.08.20 04</t>
  </si>
  <si>
    <t>04.56.40</t>
  </si>
  <si>
    <t>00000000F4188C90990C1D4F9592A85831DCA99307001CDFA5E3617DAF4D8529086EB3E4B6EC00000000010C00001CDFA5E3617DAF4D8529086EB3E4B6EC0000C1FCD2B60000</t>
  </si>
  <si>
    <t>04.30.52</t>
  </si>
  <si>
    <t>00000000F4188C90990C1D4F9592A85831DCA99307001CDFA5E3617DAF4D8529086EB3E4B6EC00000000010C00001CDFA5E3617DAF4D8529086EB3E4B6EC0000C1FCD2B50000</t>
  </si>
  <si>
    <t>04.26.13</t>
  </si>
  <si>
    <t>00000000F4188C90990C1D4F9592A85831DCA99307001CDFA5E3617DAF4D8529086EB3E4B6EC00000000010C00001CDFA5E3617DAF4D8529086EB3E4B6EC0000C1FCD2B40000</t>
  </si>
  <si>
    <t>04.18.39</t>
  </si>
  <si>
    <t>00000000F4188C90990C1D4F9592A85831DCA99307001CDFA5E3617DAF4D8529086EB3E4B6EC00000000010C00001CDFA5E3617DAF4D8529086EB3E4B6EC0000C1FCD2B30000</t>
  </si>
  <si>
    <t>04.01.13</t>
  </si>
  <si>
    <t>00000000F4188C90990C1D4F9592A85831DCA99307001CDFA5E3617DAF4D8529086EB3E4B6EC00000000010C00001CDFA5E3617DAF4D8529086EB3E4B6EC0000C1FCD2B20000</t>
  </si>
  <si>
    <t>Hälytys - LM1.L1.PE01.A1 2026.08.20 02</t>
  </si>
  <si>
    <t>02.29.16</t>
  </si>
  <si>
    <t>00000000F4188C90990C1D4F9592A85831DCA99307001CDFA5E3617DAF4D8529086EB3E4B6EC00000000010C00001CDFA5E3617DAF4D8529086EB3E4B6EC0000C1FCD2B10000</t>
  </si>
  <si>
    <t>02.19.01</t>
  </si>
  <si>
    <t>00000000F4188C90990C1D4F9592A85831DCA99307001CDFA5E3617DAF4D8529086EB3E4B6EC00000000010C00001CDFA5E3617DAF4D8529086EB3E4B6EC0000C1FCD2B00000</t>
  </si>
  <si>
    <t>Hälytys - VAK8.JVP_F.HÄL1.DA0 2026.08.20 00</t>
  </si>
  <si>
    <t>00.04.09</t>
  </si>
  <si>
    <t>00000000F4188C90990C1D4F9592A85831DCA99307001CDFA5E3617DAF4D8529086EB3E4B6EC00000000010C00001CDFA5E3617DAF4D8529086EB3E4B6EC0000C1FCD2AF0000</t>
  </si>
  <si>
    <t>Poistunut hälytys - VAK8.JVP_F.HÄL1.DA0 2026.08.20 00</t>
  </si>
  <si>
    <t>00.03.46</t>
  </si>
  <si>
    <t>00000000F4188C90990C1D4F9592A85831DCA99307001CDFA5E3617DAF4D8529086EB3E4B6EC00000000010C00001CDFA5E3617DAF4D8529086EB3E4B6EC0000C1FCD2AE0000</t>
  </si>
  <si>
    <t>Hälytys - LM1.L1.PE01.A1 2026.08.19 23</t>
  </si>
  <si>
    <t>23.11.18</t>
  </si>
  <si>
    <t>00000000F4188C90990C1D4F9592A85831DCA99307001CDFA5E3617DAF4D8529086EB3E4B6EC00000000010C00001CDFA5E3617DAF4D8529086EB3E4B6EC0000C1FCD2AD0000</t>
  </si>
  <si>
    <t>Hälytys - LM1.L1.PE01.A1 2026.08.19 22</t>
  </si>
  <si>
    <t>22.56.37</t>
  </si>
  <si>
    <t>00000000F4188C90990C1D4F9592A85831DCA99307001CDFA5E3617DAF4D8529086EB3E4B6EC00000000010C00001CDFA5E3617DAF4D8529086EB3E4B6EC0000C1FCD2AC0000</t>
  </si>
  <si>
    <t>Hälytys - DeviceNoResponseAlarm 2026.08.19 22</t>
  </si>
  <si>
    <t>22.28.37</t>
  </si>
  <si>
    <t>00000000F4188C90990C1D4F9592A85831DCA99307001CDFA5E3617DAF4D8529086EB3E4B6EC00000000010C00001CDFA5E3617DAF4D8529086EB3E4B6EC0000C1FCD2AB0000</t>
  </si>
  <si>
    <t>22.21.37</t>
  </si>
  <si>
    <t>00000000F4188C90990C1D4F9592A85831DCA99307001CDFA5E3617DAF4D8529086EB3E4B6EC00000000010C00001CDFA5E3617DAF4D8529086EB3E4B6EC0000C1FCD2AA0000</t>
  </si>
  <si>
    <t>Hälytys - VAK4.MB1_ADDR6_TK3_PE01.A3 2026.08.19 22</t>
  </si>
  <si>
    <t>22.03.35</t>
  </si>
  <si>
    <t>00000000F4188C90990C1D4F9592A85831DCA99307001CDFA5E3617DAF4D8529086EB3E4B6EC00000000010C00001CDFA5E3617DAF4D8529086EB3E4B6EC0000C1FCD2A90000</t>
  </si>
  <si>
    <t>Hälytys - DeviceNoResponseAlarm 2026.08.19 21</t>
  </si>
  <si>
    <t>21.55.41</t>
  </si>
  <si>
    <t>00000000F4188C90990C1D4F9592A85831DCA99307001CDFA5E3617DAF4D8529086EB3E4B6EC00000000010C00001CDFA5E3617DAF4D8529086EB3E4B6EC0000C1FCD2A80000</t>
  </si>
  <si>
    <t>21.18.34</t>
  </si>
  <si>
    <t>00000000F4188C90990C1D4F9592A85831DCA99307001CDFA5E3617DAF4D8529086EB3E4B6EC00000000010C00001CDFA5E3617DAF4D8529086EB3E4B6EC0000C1FCD2A70000</t>
  </si>
  <si>
    <t>Hälytys - VAK4.MB1_ADDR5_TK2_TK2_PE01.A3 2026.08.19 21</t>
  </si>
  <si>
    <t>21.02.46</t>
  </si>
  <si>
    <t>00000000F4188C90990C1D4F9592A85831DCA99307001CDFA5E3617DAF4D8529086EB3E4B6EC00000000010C00001CDFA5E3617DAF4D8529086EB3E4B6EC0000C1FCD2A60000</t>
  </si>
  <si>
    <t>21.01.37</t>
  </si>
  <si>
    <t>00000000F4188C90990C1D4F9592A85831DCA99307001CDFA5E3617DAF4D8529086EB3E4B6EC00000000010C00001CDFA5E3617DAF4D8529086EB3E4B6EC0000C1FCD2A50000</t>
  </si>
  <si>
    <t>Hälytys - VAK4.MB2_WL_BaseVAK4_Alarm2.A 2026.08.19 20</t>
  </si>
  <si>
    <t>20.43.17</t>
  </si>
  <si>
    <t>00000000F4188C90990C1D4F9592A85831DCA99307001CDFA5E3617DAF4D8529086EB3E4B6EC00000000010C00001CDFA5E3617DAF4D8529086EB3E4B6EC0000C1FCD2A40000</t>
  </si>
  <si>
    <t>Hälytys - ID_4716145 2026.08.19 20</t>
  </si>
  <si>
    <t>20.23.37</t>
  </si>
  <si>
    <t>00000000F4188C90990C1D4F9592A85831DCA99307001CDFA5E3617DAF4D8529086EB3E4B6EC00000000010C00001CDFA5E3617DAF4D8529086EB3E4B6EC0000C1FCD2A30000</t>
  </si>
  <si>
    <t>Hälytys - DeviceNoResponseAlarm 2026.08.19 20</t>
  </si>
  <si>
    <t>20.20.37</t>
  </si>
  <si>
    <t>00000000F4188C90990C1D4F9592A85831DCA99307001CDFA5E3617DAF4D8529086EB3E4B6EC00000000010C00001CDFA5E3617DAF4D8529086EB3E4B6EC0000C1FCD2A20000</t>
  </si>
  <si>
    <t>Hälytys - VAK8.JVP_F.HÄL1.DA0 2026.08.19 19</t>
  </si>
  <si>
    <t>19.24.14</t>
  </si>
  <si>
    <t>00000000F4188C90990C1D4F9592A85831DCA99307001CDFA5E3617DAF4D8529086EB3E4B6EC00000000010C00001CDFA5E3617DAF4D8529086EB3E4B6EC0000C1FCD2A10000</t>
  </si>
  <si>
    <t>Poistunut hälytys - VAK8.JVP_F.HÄL1.DA0 2026.08.19 19</t>
  </si>
  <si>
    <t>19.23.47</t>
  </si>
  <si>
    <t>00000000F4188C90990C1D4F9592A85831DCA99307001CDFA5E3617DAF4D8529086EB3E4B6EC00000000010C00001CDFA5E3617DAF4D8529086EB3E4B6EC0000C1FCD2A00000</t>
  </si>
  <si>
    <t>Hälytys - LM1.MB3_ADDR10_FlexM__Error.A 2026.08.19 18</t>
  </si>
  <si>
    <t>18.29.51</t>
  </si>
  <si>
    <t>00000000F4188C90990C1D4F9592A85831DCA99307001CDFA5E3617DAF4D8529086EB3E4B6EC00000000010C00001CDFA5E3617DAF4D8529086EB3E4B6EC0000C1FCD29F0000</t>
  </si>
  <si>
    <t>Hälytys - DeviceNoResponseAlarm 2026.08.19 18</t>
  </si>
  <si>
    <t>18.24.37</t>
  </si>
  <si>
    <t>00000000F4188C90990C1D4F9592A85831DCA99307001CDFA5E3617DAF4D8529086EB3E4B6EC00000000010C00001CDFA5E3617DAF4D8529086EB3E4B6EC0000C1FCD29E0000</t>
  </si>
  <si>
    <t>Hälytys - ID_4716145 2026.08.19 18</t>
  </si>
  <si>
    <t>18.07.38</t>
  </si>
  <si>
    <t>00000000F4188C90990C1D4F9592A85831DCA99307001CDFA5E3617DAF4D8529086EB3E4B6EC00000000010C00001CDFA5E3617DAF4D8529086EB3E4B6EC0000C1FCD29D0000</t>
  </si>
  <si>
    <t>Hälytys - DeviceNoResponseAlarm 2026.08.19 17</t>
  </si>
  <si>
    <t>17.58.37</t>
  </si>
  <si>
    <t>00000000F4188C90990C1D4F9592A85831DCA99307001CDFA5E3617DAF4D8529086EB3E4B6EC00000000010C00001CDFA5E3617DAF4D8529086EB3E4B6EC0000C1FCD29C0000</t>
  </si>
  <si>
    <t>17.25.36</t>
  </si>
  <si>
    <t>00000000F4188C90990C1D4F9592A85831DCA99307001CDFA5E3617DAF4D8529086EB3E4B6EC00000000010C00001CDFA5E3617DAF4D8529086EB3E4B6EC0000C1FCD29B0000</t>
  </si>
  <si>
    <t>Hälytys - VAK8.JVP_F.HÄL1.DA0 2026.08.19 17</t>
  </si>
  <si>
    <t>17.05.13</t>
  </si>
  <si>
    <t>00000000F4188C90990C1D4F9592A85831DCA99307001CDFA5E3617DAF4D8529086EB3E4B6EC00000000010C00001CDFA5E3617DAF4D8529086EB3E4B6EC0000C1FCD29A0000</t>
  </si>
  <si>
    <t>Poistunut hälytys - VAK8.JVP_F.HÄL1.DA0 2026.08.19 17</t>
  </si>
  <si>
    <t>17.04.51</t>
  </si>
  <si>
    <t>00000000F4188C90990C1D4F9592A85831DCA99307001CDFA5E3617DAF4D8529086EB3E4B6EC00000000010C00001CDFA5E3617DAF4D8529086EB3E4B6EC0000C1FCD2990000</t>
  </si>
  <si>
    <t>Hälytys - DeviceNoResponseAlarm 2026.08.19 16</t>
  </si>
  <si>
    <t>16.22.56</t>
  </si>
  <si>
    <t>00000000F4188C90990C1D4F9592A85831DCA99307001CDFA5E3617DAF4D8529086EB3E4B6EC00000000010C00001CDFA5E3617DAF4D8529086EB3E4B6EC0000C1FCD2980000</t>
  </si>
  <si>
    <t>Hälytys - DeviceNoResponseAlarm 2026.08.19 15</t>
  </si>
  <si>
    <t>15.56.37</t>
  </si>
  <si>
    <t>00000000F4188C90990C1D4F9592A85831DCA99307001CDFA5E3617DAF4D8529086EB3E4B6EC00000000010C00001CDFA5E3617DAF4D8529086EB3E4B6EC0000C1FCD2970000</t>
  </si>
  <si>
    <t>15.13.38</t>
  </si>
  <si>
    <t>00000000F4188C90990C1D4F9592A85831DCA99307001CDFA5E3617DAF4D8529086EB3E4B6EC00000000010C00001CDFA5E3617DAF4D8529086EB3E4B6EC0000C1FCD2960000</t>
  </si>
  <si>
    <t>Hälytys - DeviceNoResponseAlarm 2026.08.19 14</t>
  </si>
  <si>
    <t>14.45.16</t>
  </si>
  <si>
    <t>00000000F4188C90990C1D4F9592A85831DCA99307001CDFA5E3617DAF4D8529086EB3E4B6EC00000000010C00001CDFA5E3617DAF4D8529086EB3E4B6EC0000C1FCD2950000</t>
  </si>
  <si>
    <t>14.31.33</t>
  </si>
  <si>
    <t>00000000F4188C90990C1D4F9592A85831DCA99307001CDFA5E3617DAF4D8529086EB3E4B6EC00000000010C00001CDFA5E3617DAF4D8529086EB3E4B6EC0000C1FCD2940000</t>
  </si>
  <si>
    <t>Hälytys - VAK8.JVP_F.HÄL1.DA0 2026.08.19 14</t>
  </si>
  <si>
    <t>14.26.32</t>
  </si>
  <si>
    <t>00000000F4188C90990C1D4F9592A85831DCA99307001CDFA5E3617DAF4D8529086EB3E4B6EC00000000010C00001CDFA5E3617DAF4D8529086EB3E4B6EC0000C1FCD2930000</t>
  </si>
  <si>
    <t>Poistunut hälytys - VAK8.JVP_F.HÄL1.DA0 2026.08.19 14</t>
  </si>
  <si>
    <t>14.26.07</t>
  </si>
  <si>
    <t>00000000F4188C90990C1D4F9592A85831DCA99307001CDFA5E3617DAF4D8529086EB3E4B6EC00000000010C00001CDFA5E3617DAF4D8529086EB3E4B6EC0000C1FCD2920000</t>
  </si>
  <si>
    <t>Hälytys - DeviceNoResponseAlarm 2026.08.19 13</t>
  </si>
  <si>
    <t>13.45.37</t>
  </si>
  <si>
    <t>00000000F4188C90990C1D4F9592A85831DCA99307001CDFA5E3617DAF4D8529086EB3E4B6EC00000000010C00001CDFA5E3617DAF4D8529086EB3E4B6EC0000C1FCD2910000</t>
  </si>
  <si>
    <t>Hälytys - VAK8.JVP_F.HÄL1.DA0 2026.08.19 12</t>
  </si>
  <si>
    <t>12.22.08</t>
  </si>
  <si>
    <t>00000000F4188C90990C1D4F9592A85831DCA99307001CDFA5E3617DAF4D8529086EB3E4B6EC00000000010C00001CDFA5E3617DAF4D8529086EB3E4B6EC0000C1FCD2900000</t>
  </si>
  <si>
    <t>Poistunut hälytys - VAK8.JVP_F.HÄL1.DA0 2026.08.19 12</t>
  </si>
  <si>
    <t>12.21.43</t>
  </si>
  <si>
    <t>00000000F4188C90990C1D4F9592A85831DCA99307001CDFA5E3617DAF4D8529086EB3E4B6EC00000000010C00001CDFA5E3617DAF4D8529086EB3E4B6EC0000C1FCD28F0000</t>
  </si>
  <si>
    <t>Hälytys - VAK8.JVP_F.HÄL1.DA0 2026.08.19 11</t>
  </si>
  <si>
    <t>11.15.37</t>
  </si>
  <si>
    <t>00000000F4188C90990C1D4F9592A85831DCA99307001CDFA5E3617DAF4D8529086EB3E4B6EC00000000010C00001CDFA5E3617DAF4D8529086EB3E4B6EC0000C1FCD28E0000</t>
  </si>
  <si>
    <t>Poistunut hälytys - VAK8.JVP_F.HÄL1.DA0 2026.08.19 11</t>
  </si>
  <si>
    <t>11.15.14</t>
  </si>
  <si>
    <t>00000000F4188C90990C1D4F9592A85831DCA99307001CDFA5E3617DAF4D8529086EB3E4B6EC00000000010C00001CDFA5E3617DAF4D8529086EB3E4B6EC0000C1FCD28D0000</t>
  </si>
  <si>
    <t>Hälytys - ID_5718927 2026.08.19 10</t>
  </si>
  <si>
    <t>10.38.42</t>
  </si>
  <si>
    <t>00000000F4188C90990C1D4F9592A85831DCA99307001CDFA5E3617DAF4D8529086EB3E4B6EC00000000010C00001CDFA5E3617DAF4D8529086EB3E4B6EC0000C1FCD28C0000</t>
  </si>
  <si>
    <t>Hälytys - VAK8.JVP_F.HÄL1.DA0 2026.08.19 10</t>
  </si>
  <si>
    <t>10.38.07</t>
  </si>
  <si>
    <t>00000000F4188C90990C1D4F9592A85831DCA99307001CDFA5E3617DAF4D8529086EB3E4B6EC00000000010C00001CDFA5E3617DAF4D8529086EB3E4B6EC0000C1FCD28B0000</t>
  </si>
  <si>
    <t>Poistunut hälytys - VAK8.JVP_F.HÄL1.DA0 2026.08.19 10</t>
  </si>
  <si>
    <t>10.37.41</t>
  </si>
  <si>
    <t>00000000F4188C90990C1D4F9592A85831DCA99307001CDFA5E3617DAF4D8529086EB3E4B6EC00000000010C00001CDFA5E3617DAF4D8529086EB3E4B6EC0000C1FCD28A0000</t>
  </si>
  <si>
    <t>10.07.21</t>
  </si>
  <si>
    <t>00000000F4188C90990C1D4F9592A85831DCA99307001CDFA5E3617DAF4D8529086EB3E4B6EC00000000010C00001CDFA5E3617DAF4D8529086EB3E4B6EC0000C1FCD2890000</t>
  </si>
  <si>
    <t>00000000F4188C90990C1D4F9592A85831DCA99307001CDFA5E3617DAF4D8529086EB3E4B6EC00000000010C00001CDFA5E3617DAF4D8529086EB3E4B6EC0000C1FCD2880000</t>
  </si>
  <si>
    <t>Hälytys - DeviceNoResponseAlarm 2026.08.19 09</t>
  </si>
  <si>
    <t>09.38.37</t>
  </si>
  <si>
    <t>00000000F4188C90990C1D4F9592A85831DCA99307001CDFA5E3617DAF4D8529086EB3E4B6EC00000000010C00001CDFA5E3617DAF4D8529086EB3E4B6EC0000C1FCD2870000</t>
  </si>
  <si>
    <t xml:space="preserve">    Active:   2026.08.19 07.45.23</t>
  </si>
  <si>
    <t xml:space="preserve">    Active:   2026.08.19 18.29.51</t>
  </si>
  <si>
    <t xml:space="preserve">    Active:   2026.08.19 07.44.26</t>
  </si>
  <si>
    <t xml:space="preserve">    Active:   2026.08.20 00.04.09</t>
  </si>
  <si>
    <t xml:space="preserve">    Cleared: 2026.08.20 00.03.46</t>
  </si>
  <si>
    <t xml:space="preserve">    Active:   2026.08.19 19.24.14</t>
  </si>
  <si>
    <t xml:space="preserve">    Cleared: 2026.08.19 19.23.47</t>
  </si>
  <si>
    <t xml:space="preserve">    Active:   2026.08.19 17.05.13</t>
  </si>
  <si>
    <t xml:space="preserve">    Cleared: 2026.08.19 17.04.51</t>
  </si>
  <si>
    <t xml:space="preserve">    Active:   2026.08.19 14.26.32</t>
  </si>
  <si>
    <t xml:space="preserve">    Cleared: 2026.08.19 14.26.07</t>
  </si>
  <si>
    <t xml:space="preserve">    Active:   2026.08.19 12.22.08</t>
  </si>
  <si>
    <t xml:space="preserve">    Cleared: 2026.08.19 12.21.43</t>
  </si>
  <si>
    <t xml:space="preserve">    Active:   2026.08.19 11.15.37</t>
  </si>
  <si>
    <t xml:space="preserve">    Cleared: 2026.08.19 11.15.14</t>
  </si>
  <si>
    <t xml:space="preserve">    Active:   2026.08.19 10.38.07</t>
  </si>
  <si>
    <t xml:space="preserve">    Cleared: 2026.08.19 10.37.41</t>
  </si>
  <si>
    <t xml:space="preserve">    Active:   2026.08.19 10.07.21</t>
  </si>
  <si>
    <t xml:space="preserve">    Cleared: 2026.08.19 10.07.02</t>
  </si>
  <si>
    <t xml:space="preserve">    Active:   2026.08.19 07.24.19</t>
  </si>
  <si>
    <t xml:space="preserve">    Cleared: 2026.08.19 07.23.55</t>
  </si>
  <si>
    <t xml:space="preserve">    Cleared: 2026.08.20 05.10.53</t>
  </si>
  <si>
    <t xml:space="preserve">    Active:   2026.08.19 20.43.17</t>
  </si>
  <si>
    <t xml:space="preserve">    Cleared: 2026.08.19 05.10.42</t>
  </si>
  <si>
    <t xml:space="preserve">    Active:   2026.08.19 02.06.40</t>
  </si>
  <si>
    <t xml:space="preserve">    Active:   2026.08.20 08.26.53</t>
  </si>
  <si>
    <t xml:space="preserve">    Active:   2026.08.20 08.09.02</t>
  </si>
  <si>
    <t xml:space="preserve">    Active:   2026.08.20 07.48.13</t>
  </si>
  <si>
    <t xml:space="preserve">    Active:   2026.08.20 07.41.14</t>
  </si>
  <si>
    <t xml:space="preserve">    Active:   2026.08.20 07.17.58</t>
  </si>
  <si>
    <t xml:space="preserve">    Active:   2026.08.20 07.13.01</t>
  </si>
  <si>
    <t xml:space="preserve">    Active:   2026.08.20 07.09.32</t>
  </si>
  <si>
    <t xml:space="preserve">    Active:   2026.08.20 06.58.26</t>
  </si>
  <si>
    <t xml:space="preserve">    Active:   2026.08.20 06.43.12</t>
  </si>
  <si>
    <t xml:space="preserve">    Active:   2026.08.20 06.35.56</t>
  </si>
  <si>
    <t xml:space="preserve">    Active:   2026.08.20 05.10.11</t>
  </si>
  <si>
    <t xml:space="preserve">    Active:   2026.08.20 05.05.30</t>
  </si>
  <si>
    <t xml:space="preserve">    Active:   2026.08.20 04.56.40</t>
  </si>
  <si>
    <t xml:space="preserve">    Active:   2026.08.20 04.30.52</t>
  </si>
  <si>
    <t xml:space="preserve">    Active:   2026.08.20 04.26.13</t>
  </si>
  <si>
    <t xml:space="preserve">    Active:   2026.08.20 04.18.39</t>
  </si>
  <si>
    <t xml:space="preserve">    Active:   2026.08.20 04.01.13</t>
  </si>
  <si>
    <t xml:space="preserve">    Active:   2026.08.20 02.29.16</t>
  </si>
  <si>
    <t xml:space="preserve">    Active:   2026.08.20 02.19.01</t>
  </si>
  <si>
    <t xml:space="preserve">    Active:   2026.08.19 23.11.18</t>
  </si>
  <si>
    <t xml:space="preserve">    Active:   2026.08.19 22.56.37</t>
  </si>
  <si>
    <t xml:space="preserve">    Cleared: 2026.08.20 08.00.25</t>
  </si>
  <si>
    <t xml:space="preserve">    Active:   2026.08.20 07.36.52</t>
  </si>
  <si>
    <t xml:space="preserve">    Active:   2026.08.19 22.28.37</t>
  </si>
  <si>
    <t xml:space="preserve">    Active:   2026.08.19 22.21.37</t>
  </si>
  <si>
    <t xml:space="preserve">    Active:   2026.08.19 21.55.41</t>
  </si>
  <si>
    <t xml:space="preserve">    Active:   2026.08.19 21.18.34</t>
  </si>
  <si>
    <t xml:space="preserve">    Active:   2026.08.19 21.01.37</t>
  </si>
  <si>
    <t xml:space="preserve">    Active:   2026.08.19 20.20.37</t>
  </si>
  <si>
    <t xml:space="preserve">    Active:   2026.08.19 18.24.37</t>
  </si>
  <si>
    <t xml:space="preserve">    Active:   2026.08.19 17.58.37</t>
  </si>
  <si>
    <t xml:space="preserve">    Active:   2026.08.19 17.25.36</t>
  </si>
  <si>
    <t xml:space="preserve">    Active:   2026.08.19 16.22.56</t>
  </si>
  <si>
    <t xml:space="preserve">    Active:   2026.08.19 15.56.37</t>
  </si>
  <si>
    <t xml:space="preserve">    Active:   2026.08.19 15.13.38</t>
  </si>
  <si>
    <t xml:space="preserve">    Active:   2026.08.19 14.45.16</t>
  </si>
  <si>
    <t xml:space="preserve">    Active:   2026.08.19 14.31.33</t>
  </si>
  <si>
    <t xml:space="preserve">    Active:   2026.08.19 13.45.37</t>
  </si>
  <si>
    <t xml:space="preserve">    Active:   2026.08.19 09.38.37</t>
  </si>
  <si>
    <t xml:space="preserve">    Active:   2026.08.19 22.03.35</t>
  </si>
  <si>
    <t xml:space="preserve">    Active:   2026.08.19 21.02.46</t>
  </si>
  <si>
    <t xml:space="preserve">    Active:   2026.08.19 20.23.37</t>
  </si>
  <si>
    <t xml:space="preserve">    Active:   2026.08.19 18.07.38</t>
  </si>
  <si>
    <t xml:space="preserve">    Active:   2026.08.19 10.38.42</t>
  </si>
  <si>
    <t>Hälytys - LM1.L1.PE01.A1 2026.08.25 07</t>
  </si>
  <si>
    <t>2026.08.25</t>
  </si>
  <si>
    <t>07.43.19</t>
  </si>
  <si>
    <t>00000000F4188C90990C1D4F9592A85831DCA99307001CDFA5E3617DAF4D8529086EB3E4B6EC00000000010C00001CDFA5E3617DAF4D8529086EB3E4B6EC0000C4E22FC60000</t>
  </si>
  <si>
    <t>HeatingControl.L1 menovesi poikkeamahäl.</t>
  </si>
  <si>
    <t>Hälytys - LM1.L1.TE41_L1.A2 2026.08.25 07</t>
  </si>
  <si>
    <t>07.28.05</t>
  </si>
  <si>
    <t>00000000F4188C90990C1D4F9592A85831DCA99307001CDFA5E3617DAF4D8529086EB3E4B6EC00000000010C00001CDFA5E3617DAF4D8529086EB3E4B6EC0000C4E22FC50000</t>
  </si>
  <si>
    <t>Oulu Raksila,Flex</t>
  </si>
  <si>
    <t>HotWaterControl.LV poikkeamahälytys</t>
  </si>
  <si>
    <t>Hälytys - LM1.LV.TE31.A2 2026.08.25 05</t>
  </si>
  <si>
    <t>05.27.31</t>
  </si>
  <si>
    <t>Hälytys : Oulu Raksila</t>
  </si>
  <si>
    <t>00000000F4188C90990C1D4F9592A85831DCA99307001CDFA5E3617DAF4D8529086EB3E4B6EC00000000010C00001CDFA5E3617DAF4D8529086EB3E4B6EC0000C4E22FC40000</t>
  </si>
  <si>
    <t>Poistunut hälytys - VAK4.MB2_WL_BaseVAK4_Alarm2.A 2026.08.25 05</t>
  </si>
  <si>
    <t>05.10.45</t>
  </si>
  <si>
    <t>00000000F4188C90990C1D4F9592A85831DCA99307001CDFA5E3617DAF4D8529086EB3E4B6EC00000000010C00001CDFA5E3617DAF4D8529086EB3E4B6EC0000C4E22FC30000</t>
  </si>
  <si>
    <t>Hälytys - VAK8.JVP_F.HÄL1.DA0 2026.08.25 04</t>
  </si>
  <si>
    <t>04.06.42</t>
  </si>
  <si>
    <t>00000000F4188C90990C1D4F9592A85831DCA99307001CDFA5E3617DAF4D8529086EB3E4B6EC00000000010C00001CDFA5E3617DAF4D8529086EB3E4B6EC0000C4E22FC20000</t>
  </si>
  <si>
    <t>Poistunut hälytys - VAK8.JVP_F.HÄL1.DA0 2026.08.25 04</t>
  </si>
  <si>
    <t>04.06.19</t>
  </si>
  <si>
    <t>00000000F4188C90990C1D4F9592A85831DCA99307001CDFA5E3617DAF4D8529086EB3E4B6EC00000000010C00001CDFA5E3617DAF4D8529086EB3E4B6EC0000C4E22FC10000</t>
  </si>
  <si>
    <t>Hälytys - VAK4.MB1_ADDR6_TK3_PE01.A3 2026.08.24 22</t>
  </si>
  <si>
    <t>2026.08.24</t>
  </si>
  <si>
    <t>22.04.05</t>
  </si>
  <si>
    <t>00000000F4188C90990C1D4F9592A85831DCA99307001CDFA5E3617DAF4D8529086EB3E4B6EC00000000010C00001CDFA5E3617DAF4D8529086EB3E4B6EC0000C4E22FC00000</t>
  </si>
  <si>
    <t>Hälytys - VAK4.MB1_ADDR5_TK2_TK2_PE01.A3 2026.08.24 21</t>
  </si>
  <si>
    <t>21.02.19</t>
  </si>
  <si>
    <t>00000000F4188C90990C1D4F9592A85831DCA99307001CDFA5E3617DAF4D8529086EB3E4B6EC00000000010C00001CDFA5E3617DAF4D8529086EB3E4B6EC0000C4E22FBF0000</t>
  </si>
  <si>
    <t>Hälytys - VAK4.MB2_WL_BaseVAK4_Alarm2.A 2026.08.24 20</t>
  </si>
  <si>
    <t>20.43.20</t>
  </si>
  <si>
    <t>00000000F4188C90990C1D4F9592A85831DCA99307001CDFA5E3617DAF4D8529086EB3E4B6EC00000000010C00001CDFA5E3617DAF4D8529086EB3E4B6EC0000C4E22FBE0000</t>
  </si>
  <si>
    <t>Hälytys - VAK8.JVP_F.HÄL1.DA0 2026.08.24 19</t>
  </si>
  <si>
    <t>19.56.04</t>
  </si>
  <si>
    <t>00000000F4188C90990C1D4F9592A85831DCA99307001CDFA5E3617DAF4D8529086EB3E4B6EC00000000010C00001CDFA5E3617DAF4D8529086EB3E4B6EC0000C4E22FBD0000</t>
  </si>
  <si>
    <t>Poistunut hälytys - VAK8.JVP_F.HÄL1.DA0 2026.08.24 19</t>
  </si>
  <si>
    <t>19.55.38</t>
  </si>
  <si>
    <t>00000000F4188C90990C1D4F9592A85831DCA99307001CDFA5E3617DAF4D8529086EB3E4B6EC00000000010C00001CDFA5E3617DAF4D8529086EB3E4B6EC0000C4E22FBC0000</t>
  </si>
  <si>
    <t>Hälytys - LM1.L1.TE41_L1.A2 2026.08.24 18</t>
  </si>
  <si>
    <t>18.55.35</t>
  </si>
  <si>
    <t>00000000F4188C90990C1D4F9592A85831DCA99307001CDFA5E3617DAF4D8529086EB3E4B6EC00000000010C00001CDFA5E3617DAF4D8529086EB3E4B6EC0000C4E22FBB0000</t>
  </si>
  <si>
    <t>Hälytys - VAK8.JVP_F.HÄL1.DA0 2026.08.24 18</t>
  </si>
  <si>
    <t>18.17.39</t>
  </si>
  <si>
    <t>00000000F4188C90990C1D4F9592A85831DCA99307001CDFA5E3617DAF4D8529086EB3E4B6EC00000000010C00001CDFA5E3617DAF4D8529086EB3E4B6EC0000C4E22FBA0000</t>
  </si>
  <si>
    <t>Poistunut hälytys - VAK8.JVP_F.HÄL1.DA0 2026.08.24 18</t>
  </si>
  <si>
    <t>18.17.19</t>
  </si>
  <si>
    <t>00000000F4188C90990C1D4F9592A85831DCA99307001CDFA5E3617DAF4D8529086EB3E4B6EC00000000010C00001CDFA5E3617DAF4D8529086EB3E4B6EC0000C4E22FB90000</t>
  </si>
  <si>
    <t>Hälytys - LM1.MB3_ADDR10_FlexM__Error.A 2026.08.24 15</t>
  </si>
  <si>
    <t>15.47.59</t>
  </si>
  <si>
    <t>00000000F4188C90990C1D4F9592A85831DCA99307001CDFA5E3617DAF4D8529086EB3E4B6EC00000000010C00001CDFA5E3617DAF4D8529086EB3E4B6EC0000C4E22FB80000</t>
  </si>
  <si>
    <t>Hälytys - VAK8.JVP_F.HÄL1.DA0 2026.08.24 15</t>
  </si>
  <si>
    <t>15.33.32</t>
  </si>
  <si>
    <t>00000000F4188C90990C1D4F9592A85831DCA99307001CDFA5E3617DAF4D8529086EB3E4B6EC00000000010C00001CDFA5E3617DAF4D8529086EB3E4B6EC0000C4E22FB70000</t>
  </si>
  <si>
    <t>Poistunut hälytys - VAK8.JVP_F.HÄL1.DA0 2026.08.24 15</t>
  </si>
  <si>
    <t>15.33.06</t>
  </si>
  <si>
    <t>00000000F4188C90990C1D4F9592A85831DCA99307001CDFA5E3617DAF4D8529086EB3E4B6EC00000000010C00001CDFA5E3617DAF4D8529086EB3E4B6EC0000C4E22FB60000</t>
  </si>
  <si>
    <t>Hälytys - VAK8.JVP_F.HÄL1.DA0 2026.08.24 13</t>
  </si>
  <si>
    <t>13.47.37</t>
  </si>
  <si>
    <t>00000000F4188C90990C1D4F9592A85831DCA99307001CDFA5E3617DAF4D8529086EB3E4B6EC00000000010C00001CDFA5E3617DAF4D8529086EB3E4B6EC0000C4E22FB50000</t>
  </si>
  <si>
    <t>Poistunut hälytys - VAK8.JVP_F.HÄL1.DA0 2026.08.24 13</t>
  </si>
  <si>
    <t>13.47.12</t>
  </si>
  <si>
    <t>00000000F4188C90990C1D4F9592A85831DCA99307001CDFA5E3617DAF4D8529086EB3E4B6EC00000000010C00001CDFA5E3617DAF4D8529086EB3E4B6EC0000C4E22FB40000</t>
  </si>
  <si>
    <t>Hälytys - VAK8.JVP_F.HÄL1.DA0 2026.08.24 12</t>
  </si>
  <si>
    <t>12.52.12</t>
  </si>
  <si>
    <t>00000000F4188C90990C1D4F9592A85831DCA99307001CDFA5E3617DAF4D8529086EB3E4B6EC00000000010C00001CDFA5E3617DAF4D8529086EB3E4B6EC0000C4E22FB30000</t>
  </si>
  <si>
    <t>Poistunut hälytys - VAK8.JVP_F.HÄL1.DA0 2026.08.24 12</t>
  </si>
  <si>
    <t>12.51.52</t>
  </si>
  <si>
    <t>00000000F4188C90990C1D4F9592A85831DCA99307001CDFA5E3617DAF4D8529086EB3E4B6EC00000000010C00001CDFA5E3617DAF4D8529086EB3E4B6EC0000C4E22FB20000</t>
  </si>
  <si>
    <t>Hälytys - ID_4716145 2026.08.24 12</t>
  </si>
  <si>
    <t>12.13.45</t>
  </si>
  <si>
    <t>00000000F4188C90990C1D4F9592A85831DCA99307001CDFA5E3617DAF4D8529086EB3E4B6EC00000000010C00001CDFA5E3617DAF4D8529086EB3E4B6EC0000C4E22FB10000</t>
  </si>
  <si>
    <t>Hälytys - VAK8.JVP_F.HÄL1.DA0 2026.08.24 11</t>
  </si>
  <si>
    <t>11.18.57</t>
  </si>
  <si>
    <t>00000000F4188C90990C1D4F9592A85831DCA99307001CDFA5E3617DAF4D8529086EB3E4B6EC00000000010C00001CDFA5E3617DAF4D8529086EB3E4B6EC0000C4E22FB00000</t>
  </si>
  <si>
    <t>Hälytys - LM1.MB3_ADDR10_FlexM__Error.A 2026.08.24 11</t>
  </si>
  <si>
    <t>11.18.39</t>
  </si>
  <si>
    <t>00000000F4188C90990C1D4F9592A85831DCA99307001CDFA5E3617DAF4D8529086EB3E4B6EC00000000010C00001CDFA5E3617DAF4D8529086EB3E4B6EC0000C4E22FAF0000</t>
  </si>
  <si>
    <t>Poistunut hälytys - VAK8.JVP_F.HÄL1.DA0 2026.08.24 11</t>
  </si>
  <si>
    <t>11.18.34</t>
  </si>
  <si>
    <t>00000000F4188C90990C1D4F9592A85831DCA99307001CDFA5E3617DAF4D8529086EB3E4B6EC00000000010C00001CDFA5E3617DAF4D8529086EB3E4B6EC0000C4E22FAE0000</t>
  </si>
  <si>
    <t>Hälytys - VAK8.JVP_F.HÄL1.DA0 2026.08.24 10</t>
  </si>
  <si>
    <t>10.34.17</t>
  </si>
  <si>
    <t>00000000F4188C90990C1D4F9592A85831DCA99307001CDFA5E3617DAF4D8529086EB3E4B6EC00000000010C00001CDFA5E3617DAF4D8529086EB3E4B6EC0000C4E22FAD0000</t>
  </si>
  <si>
    <t>Poistunut hälytys - VAK8.JVP_F.HÄL1.DA0 2026.08.24 10</t>
  </si>
  <si>
    <t>10.33.57</t>
  </si>
  <si>
    <t>00000000F4188C90990C1D4F9592A85831DCA99307001CDFA5E3617DAF4D8529086EB3E4B6EC00000000010C00001CDFA5E3617DAF4D8529086EB3E4B6EC0000C4E22FAC0000</t>
  </si>
  <si>
    <t>Hälytys - VAK8.JVP_F.HÄL1.DA0 2026.08.24 09</t>
  </si>
  <si>
    <t>09.56.51</t>
  </si>
  <si>
    <t>00000000F4188C90990C1D4F9592A85831DCA99307001CDFA5E3617DAF4D8529086EB3E4B6EC00000000010C00001CDFA5E3617DAF4D8529086EB3E4B6EC0000C4E22FAB0000</t>
  </si>
  <si>
    <t>Poistunut hälytys - VAK8.JVP_F.HÄL1.DA0 2026.08.24 09</t>
  </si>
  <si>
    <t>09.56.24</t>
  </si>
  <si>
    <t>00000000F4188C90990C1D4F9592A85831DCA99307001CDFA5E3617DAF4D8529086EB3E4B6EC00000000010C00001CDFA5E3617DAF4D8529086EB3E4B6EC0000C4E22FAA0000</t>
  </si>
  <si>
    <t>09.06.00</t>
  </si>
  <si>
    <t>00000000F4188C90990C1D4F9592A85831DCA99307001CDFA5E3617DAF4D8529086EB3E4B6EC00000000010C00001CDFA5E3617DAF4D8529086EB3E4B6EC0000C4E22FA90000</t>
  </si>
  <si>
    <t>09.05.33</t>
  </si>
  <si>
    <t>00000000F4188C90990C1D4F9592A85831DCA99307001CDFA5E3617DAF4D8529086EB3E4B6EC00000000010C00001CDFA5E3617DAF4D8529086EB3E4B6EC0000C4E22FA80000</t>
  </si>
  <si>
    <t>Hälytys - ID_4716145 2026.08.24 08</t>
  </si>
  <si>
    <t>08.57.52</t>
  </si>
  <si>
    <t>00000000F4188C90990C1D4F9592A85831DCA99307001CDFA5E3617DAF4D8529086EB3E4B6EC00000000010C00001CDFA5E3617DAF4D8529086EB3E4B6EC0000C4E22FA70000</t>
  </si>
  <si>
    <t>Hälytys - LM1.L1.PE01.A1 2026.08.24 05</t>
  </si>
  <si>
    <t>05.30.08</t>
  </si>
  <si>
    <t>00000000F4188C90990C1D4F9592A85831DCA99307001CDFA5E3617DAF4D8529086EB3E4B6EC00000000010C00001CDFA5E3617DAF4D8529086EB3E4B6EC0000C4E22FA60000</t>
  </si>
  <si>
    <t>Poistunut hälytys - VAK4.MB2_WL_BaseVAK4_Alarm2.A 2026.08.24 05</t>
  </si>
  <si>
    <t>05.10.39</t>
  </si>
  <si>
    <t>00000000F4188C90990C1D4F9592A85831DCA99307001CDFA5E3617DAF4D8529086EB3E4B6EC00000000010C00001CDFA5E3617DAF4D8529086EB3E4B6EC0000C4E22FA50000</t>
  </si>
  <si>
    <t>Hälytys - LM1.L1.PE01.A1 2026.08.24 02</t>
  </si>
  <si>
    <t>02.21.52</t>
  </si>
  <si>
    <t>00000000F4188C90990C1D4F9592A85831DCA99307001CDFA5E3617DAF4D8529086EB3E4B6EC00000000010C00001CDFA5E3617DAF4D8529086EB3E4B6EC0000C4E22FA40000</t>
  </si>
  <si>
    <t>Hälytys - LM1.L1.PE01.A1 2026.08.24 01</t>
  </si>
  <si>
    <t>01.27.40</t>
  </si>
  <si>
    <t>00000000F4188C90990C1D4F9592A85831DCA99307001CDFA5E3617DAF4D8529086EB3E4B6EC00000000010C00001CDFA5E3617DAF4D8529086EB3E4B6EC0000C4E22FA30000</t>
  </si>
  <si>
    <t>01.04.26</t>
  </si>
  <si>
    <t>00000000F4188C90990C1D4F9592A85831DCA99307001CDFA5E3617DAF4D8529086EB3E4B6EC00000000010C00001CDFA5E3617DAF4D8529086EB3E4B6EC0000C4E22FA20000</t>
  </si>
  <si>
    <t>01.01.34</t>
  </si>
  <si>
    <t>00000000F4188C90990C1D4F9592A85831DCA99307001CDFA5E3617DAF4D8529086EB3E4B6EC00000000010C00001CDFA5E3617DAF4D8529086EB3E4B6EC0000C4E22FA10000</t>
  </si>
  <si>
    <t>Hälytys - LM1.L1.PE01.A1 2026.08.24 00</t>
  </si>
  <si>
    <t>00.34.51</t>
  </si>
  <si>
    <t>00000000F4188C90990C1D4F9592A85831DCA99307001CDFA5E3617DAF4D8529086EB3E4B6EC00000000010C00001CDFA5E3617DAF4D8529086EB3E4B6EC0000C4E22FA00000</t>
  </si>
  <si>
    <t>00.11.16</t>
  </si>
  <si>
    <t>00000000F4188C90990C1D4F9592A85831DCA99307001CDFA5E3617DAF4D8529086EB3E4B6EC00000000010C00001CDFA5E3617DAF4D8529086EB3E4B6EC0000C4E22F9F0000</t>
  </si>
  <si>
    <t>Hälytys - LM1.L1.PE01.A1 2026.08.23 23</t>
  </si>
  <si>
    <t>2026.08.23</t>
  </si>
  <si>
    <t>23.54.58</t>
  </si>
  <si>
    <t>00000000F4188C90990C1D4F9592A85831DCA99307001CDFA5E3617DAF4D8529086EB3E4B6EC00000000010C00001CDFA5E3617DAF4D8529086EB3E4B6EC0000C4E22F9E0000</t>
  </si>
  <si>
    <t>23.34.22</t>
  </si>
  <si>
    <t>00000000F4188C90990C1D4F9592A85831DCA99307001CDFA5E3617DAF4D8529086EB3E4B6EC00000000010C00001CDFA5E3617DAF4D8529086EB3E4B6EC0000C4E22F9D0000</t>
  </si>
  <si>
    <t>23.03.40</t>
  </si>
  <si>
    <t>00000000F4188C90990C1D4F9592A85831DCA99307001CDFA5E3617DAF4D8529086EB3E4B6EC00000000010C00001CDFA5E3617DAF4D8529086EB3E4B6EC0000C4E22F9C0000</t>
  </si>
  <si>
    <t>Hälytys - LM1.L1.PE01.A1 2026.08.23 22</t>
  </si>
  <si>
    <t>22.52.28</t>
  </si>
  <si>
    <t>00000000F4188C90990C1D4F9592A85831DCA99307001CDFA5E3617DAF4D8529086EB3E4B6EC00000000010C00001CDFA5E3617DAF4D8529086EB3E4B6EC0000C4E22F9B0000</t>
  </si>
  <si>
    <t>22.48.43</t>
  </si>
  <si>
    <t>00000000F4188C90990C1D4F9592A85831DCA99307001CDFA5E3617DAF4D8529086EB3E4B6EC00000000010C00001CDFA5E3617DAF4D8529086EB3E4B6EC0000C4E22F9A0000</t>
  </si>
  <si>
    <t>22.11.54</t>
  </si>
  <si>
    <t>00000000F4188C90990C1D4F9592A85831DCA99307001CDFA5E3617DAF4D8529086EB3E4B6EC00000000010C00001CDFA5E3617DAF4D8529086EB3E4B6EC0000C4E22F990000</t>
  </si>
  <si>
    <t>22.04.51</t>
  </si>
  <si>
    <t>00000000F4188C90990C1D4F9592A85831DCA99307001CDFA5E3617DAF4D8529086EB3E4B6EC00000000010C00001CDFA5E3617DAF4D8529086EB3E4B6EC0000C4E22F980000</t>
  </si>
  <si>
    <t>Hälytys - VAK4.MB1_ADDR6_TK3_PE01.A3 2026.08.23 22</t>
  </si>
  <si>
    <t>00000000F4188C90990C1D4F9592A85831DCA99307001CDFA5E3617DAF4D8529086EB3E4B6EC00000000010C00001CDFA5E3617DAF4D8529086EB3E4B6EC0000C4E22F970000</t>
  </si>
  <si>
    <t>Hälytys - ID_4716145 2026.08.23 21</t>
  </si>
  <si>
    <t>21.57.13</t>
  </si>
  <si>
    <t>00000000F4188C90990C1D4F9592A85831DCA99307001CDFA5E3617DAF4D8529086EB3E4B6EC00000000010C00001CDFA5E3617DAF4D8529086EB3E4B6EC0000C4E22F960000</t>
  </si>
  <si>
    <t>Hälytys - LM1.L1.PE01.A1 2026.08.23 21</t>
  </si>
  <si>
    <t>21.48.47</t>
  </si>
  <si>
    <t>00000000F4188C90990C1D4F9592A85831DCA99307001CDFA5E3617DAF4D8529086EB3E4B6EC00000000010C00001CDFA5E3617DAF4D8529086EB3E4B6EC0000C4E22F950000</t>
  </si>
  <si>
    <t>21.40.21</t>
  </si>
  <si>
    <t>00000000F4188C90990C1D4F9592A85831DCA99307001CDFA5E3617DAF4D8529086EB3E4B6EC00000000010C00001CDFA5E3617DAF4D8529086EB3E4B6EC0000C4E22F940000</t>
  </si>
  <si>
    <t>Hälytys - VAK8.JVP_F.HÄL1.DA0 2026.08.23 21</t>
  </si>
  <si>
    <t>21.18.43</t>
  </si>
  <si>
    <t>00000000F4188C90990C1D4F9592A85831DCA99307001CDFA5E3617DAF4D8529086EB3E4B6EC00000000010C00001CDFA5E3617DAF4D8529086EB3E4B6EC0000C4E22F930000</t>
  </si>
  <si>
    <t>Poistunut hälytys - VAK8.JVP_F.HÄL1.DA0 2026.08.23 21</t>
  </si>
  <si>
    <t>21.18.24</t>
  </si>
  <si>
    <t>00000000F4188C90990C1D4F9592A85831DCA99307001CDFA5E3617DAF4D8529086EB3E4B6EC00000000010C00001CDFA5E3617DAF4D8529086EB3E4B6EC0000C4E22F920000</t>
  </si>
  <si>
    <t>21.05.11</t>
  </si>
  <si>
    <t>00000000F4188C90990C1D4F9592A85831DCA99307001CDFA5E3617DAF4D8529086EB3E4B6EC00000000010C00001CDFA5E3617DAF4D8529086EB3E4B6EC0000C4E22F910000</t>
  </si>
  <si>
    <t>Hälytys - VAK4.MB1_ADDR5_TK2_TK2_PE01.A3 2026.08.23 21</t>
  </si>
  <si>
    <t>21.04.21</t>
  </si>
  <si>
    <t>00000000F4188C90990C1D4F9592A85831DCA99307001CDFA5E3617DAF4D8529086EB3E4B6EC00000000010C00001CDFA5E3617DAF4D8529086EB3E4B6EC0000C4E22F900000</t>
  </si>
  <si>
    <t>21.02.31</t>
  </si>
  <si>
    <t>00000000F4188C90990C1D4F9592A85831DCA99307001CDFA5E3617DAF4D8529086EB3E4B6EC00000000010C00001CDFA5E3617DAF4D8529086EB3E4B6EC0000C4E22F8F0000</t>
  </si>
  <si>
    <t>Hälytys - LM1.L1.PE01.A1 2026.08.23 20</t>
  </si>
  <si>
    <t>20.58.36</t>
  </si>
  <si>
    <t>00000000F4188C90990C1D4F9592A85831DCA99307001CDFA5E3617DAF4D8529086EB3E4B6EC00000000010C00001CDFA5E3617DAF4D8529086EB3E4B6EC0000C4E22F8E0000</t>
  </si>
  <si>
    <t>20.45.40</t>
  </si>
  <si>
    <t>00000000F4188C90990C1D4F9592A85831DCA99307001CDFA5E3617DAF4D8529086EB3E4B6EC00000000010C00001CDFA5E3617DAF4D8529086EB3E4B6EC0000C4E22F8D0000</t>
  </si>
  <si>
    <t>20.32.01</t>
  </si>
  <si>
    <t>00000000F4188C90990C1D4F9592A85831DCA99307001CDFA5E3617DAF4D8529086EB3E4B6EC00000000010C00001CDFA5E3617DAF4D8529086EB3E4B6EC0000C4E22F8C0000</t>
  </si>
  <si>
    <t>Oulu Suvantokulma (P),Flex</t>
  </si>
  <si>
    <t>OumanBlock.Huonemitt.2 pois väylältä</t>
  </si>
  <si>
    <t>Hälytys - EK03.H2.A1 2026.08.23 20</t>
  </si>
  <si>
    <t>20.08.47</t>
  </si>
  <si>
    <t>Hälytys : Oulu Suvantokulma (P)</t>
  </si>
  <si>
    <t>00000000F4188C90990C1D4F9592A85831DCA99307001CDFA5E3617DAF4D8529086EB3E4B6EC00000000010C00001CDFA5E3617DAF4D8529086EB3E4B6EC0000C4E22F8B0000</t>
  </si>
  <si>
    <t>Hälytys - LM1.L1.PE01.A1 2026.08.23 19</t>
  </si>
  <si>
    <t>19.45.29</t>
  </si>
  <si>
    <t>00000000F4188C90990C1D4F9592A85831DCA99307001CDFA5E3617DAF4D8529086EB3E4B6EC00000000010C00001CDFA5E3617DAF4D8529086EB3E4B6EC0000C4E22F8A0000</t>
  </si>
  <si>
    <t>19.37.24</t>
  </si>
  <si>
    <t>00000000F4188C90990C1D4F9592A85831DCA99307001CDFA5E3617DAF4D8529086EB3E4B6EC00000000010C00001CDFA5E3617DAF4D8529086EB3E4B6EC0000C4E22F890000</t>
  </si>
  <si>
    <t>Hälytys - VAK8.JVP_F.HÄL1.DA0 2026.08.23 16</t>
  </si>
  <si>
    <t>16.38.04</t>
  </si>
  <si>
    <t>00000000F4188C90990C1D4F9592A85831DCA99307001CDFA5E3617DAF4D8529086EB3E4B6EC00000000010C00001CDFA5E3617DAF4D8529086EB3E4B6EC0000C4E22F880000</t>
  </si>
  <si>
    <t>Poistunut hälytys - VAK8.JVP_F.HÄL1.DA0 2026.08.23 16</t>
  </si>
  <si>
    <t>16.37.44</t>
  </si>
  <si>
    <t>00000000F4188C90990C1D4F9592A85831DCA99307001CDFA5E3617DAF4D8529086EB3E4B6EC00000000010C00001CDFA5E3617DAF4D8529086EB3E4B6EC0000C4E22F870000</t>
  </si>
  <si>
    <t>Oulu Paraatirensseli (P),Flex</t>
  </si>
  <si>
    <t>Hälytys - DeviceNoResponseAlarm 2026.08.23 13</t>
  </si>
  <si>
    <t>13.15.49</t>
  </si>
  <si>
    <t>Hälytys : Oulu Paraatirensseli (P)</t>
  </si>
  <si>
    <t>00000000F4188C90990C1D4F9592A85831DCA99307001CDFA5E3617DAF4D8529086EB3E4B6EC00000000010C00001CDFA5E3617DAF4D8529086EB3E4B6EC0000C4E22F860000</t>
  </si>
  <si>
    <t>Hälytys - LM1.L1.PE01.A1 2026.08.23 13</t>
  </si>
  <si>
    <t>13.01.47</t>
  </si>
  <si>
    <t>00000000F4188C90990C1D4F9592A85831DCA99307001CDFA5E3617DAF4D8529086EB3E4B6EC00000000010C00001CDFA5E3617DAF4D8529086EB3E4B6EC0000C4E22F850000</t>
  </si>
  <si>
    <t>Poikkeamahälytys</t>
  </si>
  <si>
    <t>Hälytys - KK31.VAK2.PF05.PF05PE02.1.A1 2026.08.23 12</t>
  </si>
  <si>
    <t>12.10.48</t>
  </si>
  <si>
    <t>00000000F4188C90990C1D4F9592A85831DCA99307001CDFA5E3617DAF4D8529086EB3E4B6EC00000000010C00001CDFA5E3617DAF4D8529086EB3E4B6EC0000C4E22F840000</t>
  </si>
  <si>
    <t>Hälytys - ID_4716145 2026.08.23 12</t>
  </si>
  <si>
    <t>12.06.19</t>
  </si>
  <si>
    <t>00000000F4188C90990C1D4F9592A85831DCA99307001CDFA5E3617DAF4D8529086EB3E4B6EC00000000010C00001CDFA5E3617DAF4D8529086EB3E4B6EC0000C4E22F830000</t>
  </si>
  <si>
    <t>Hälytys - ID_4716145 2026.08.23 11</t>
  </si>
  <si>
    <t>11.45.46</t>
  </si>
  <si>
    <t>00000000F4188C90990C1D4F9592A85831DCA99307001CDFA5E3617DAF4D8529086EB3E4B6EC00000000010C00001CDFA5E3617DAF4D8529086EB3E4B6EC0000C4E22F820000</t>
  </si>
  <si>
    <t>Hälytys - KK31.VAK2.PF05.PF05PE02.1.A1 2026.08.23 11</t>
  </si>
  <si>
    <t>11.14.11</t>
  </si>
  <si>
    <t>00000000F4188C90990C1D4F9592A85831DCA99307001CDFA5E3617DAF4D8529086EB3E4B6EC00000000010C00001CDFA5E3617DAF4D8529086EB3E4B6EC0000C4DB5E110000</t>
  </si>
  <si>
    <t>Hälytys - ID_4716145 2026.08.23 10</t>
  </si>
  <si>
    <t>10.48.34</t>
  </si>
  <si>
    <t>00000000F4188C90990C1D4F9592A85831DCA99307001CDFA5E3617DAF4D8529086EB3E4B6EC00000000010C00001CDFA5E3617DAF4D8529086EB3E4B6EC0000C4DB5E100000</t>
  </si>
  <si>
    <t>Hälytys - VAK8.JVP_F.HÄL1.DA0 2026.08.23 10</t>
  </si>
  <si>
    <t>00000000F4188C90990C1D4F9592A85831DCA99307001CDFA5E3617DAF4D8529086EB3E4B6EC00000000010C00001CDFA5E3617DAF4D8529086EB3E4B6EC0000C44641D30000</t>
  </si>
  <si>
    <t>Poistunut hälytys - VAK8.JVP_F.HÄL1.DA0 2026.08.23 10</t>
  </si>
  <si>
    <t>10.33.33</t>
  </si>
  <si>
    <t>00000000F4188C90990C1D4F9592A85831DCA99307001CDFA5E3617DAF4D8529086EB3E4B6EC00000000010C00001CDFA5E3617DAF4D8529086EB3E4B6EC0000C44641D20000</t>
  </si>
  <si>
    <t>10.23.49</t>
  </si>
  <si>
    <t>00000000F4188C90990C1D4F9592A85831DCA99307001CDFA5E3617DAF4D8529086EB3E4B6EC00000000010C00001CDFA5E3617DAF4D8529086EB3E4B6EC0000C44641D10000</t>
  </si>
  <si>
    <t>10.18.32</t>
  </si>
  <si>
    <t>00000000F4188C90990C1D4F9592A85831DCA99307001CDFA5E3617DAF4D8529086EB3E4B6EC00000000010C00001CDFA5E3617DAF4D8529086EB3E4B6EC0000C44641D00000</t>
  </si>
  <si>
    <t>Hälytys - KK31.VAK2.PF05.PF05PE02.1.A1 2026.08.23 10</t>
  </si>
  <si>
    <t>10.06.21</t>
  </si>
  <si>
    <t>00000000F4188C90990C1D4F9592A85831DCA99307001CDFA5E3617DAF4D8529086EB3E4B6EC00000000010C00001CDFA5E3617DAF4D8529086EB3E4B6EC0000C44641CF0000</t>
  </si>
  <si>
    <t>10.04.01</t>
  </si>
  <si>
    <t>00000000F4188C90990C1D4F9592A85831DCA99307001CDFA5E3617DAF4D8529086EB3E4B6EC00000000010C00001CDFA5E3617DAF4D8529086EB3E4B6EC0000C44641CE0000</t>
  </si>
  <si>
    <t>Hälytys - ID_4716145 2026.08.23 09</t>
  </si>
  <si>
    <t>09.50.24</t>
  </si>
  <si>
    <t>00000000F4188C90990C1D4F9592A85831DCA99307001CDFA5E3617DAF4D8529086EB3E4B6EC00000000010C00001CDFA5E3617DAF4D8529086EB3E4B6EC0000C44641CD0000</t>
  </si>
  <si>
    <t>09.45.33</t>
  </si>
  <si>
    <t>00000000F4188C90990C1D4F9592A85831DCA99307001CDFA5E3617DAF4D8529086EB3E4B6EC00000000010C00001CDFA5E3617DAF4D8529086EB3E4B6EC0000C44641CC0000</t>
  </si>
  <si>
    <t>Oulun Ruustinna,FLEX</t>
  </si>
  <si>
    <t>DomesticWaterMonitoring.Vesivuotohälytys</t>
  </si>
  <si>
    <t>Hälytys - PUL1.A1 2026.08.23 09</t>
  </si>
  <si>
    <t>09.42.19</t>
  </si>
  <si>
    <t>Hälytys : Oulun Ruustinna</t>
  </si>
  <si>
    <t>00000000F4188C90990C1D4F9592A85831DCA99307001CDFA5E3617DAF4D8529086EB3E4B6EC00000000010C00001CDFA5E3617DAF4D8529086EB3E4B6EC0000C44641CB0000</t>
  </si>
  <si>
    <t>Hälytys - KK31.VAK2.PF05.PF05PE02.1.A1 2026.08.23 08</t>
  </si>
  <si>
    <t>08.13.22</t>
  </si>
  <si>
    <t>00000000F4188C90990C1D4F9592A85831DCA99307001CDFA5E3617DAF4D8529086EB3E4B6EC00000000010C00001CDFA5E3617DAF4D8529086EB3E4B6EC0000C44641CA0000</t>
  </si>
  <si>
    <t>Raahe Peltokolmio,WL-Base</t>
  </si>
  <si>
    <t>Hälytys - ID_5798719 2026.08.23 06</t>
  </si>
  <si>
    <t>06.40.16</t>
  </si>
  <si>
    <t>00000000F4188C90990C1D4F9592A85831DCA99307001CDFA5E3617DAF4D8529086EB3E4B6EC00000000010C00001CDFA5E3617DAF4D8529086EB3E4B6EC0000C44641C90000</t>
  </si>
  <si>
    <t>Hälytys - ID_5718927 2026.08.23 06</t>
  </si>
  <si>
    <t>06.38.39</t>
  </si>
  <si>
    <t>00000000F4188C90990C1D4F9592A85831DCA99307001CDFA5E3617DAF4D8529086EB3E4B6EC00000000010C00001CDFA5E3617DAF4D8529086EB3E4B6EC0000C44641C80000</t>
  </si>
  <si>
    <t>Hälytys - ID_4716145 2026.08.23 04</t>
  </si>
  <si>
    <t>04.25.40</t>
  </si>
  <si>
    <t>00000000F4188C90990C1D4F9592A85831DCA99307001CDFA5E3617DAF4D8529086EB3E4B6EC00000000010C00001CDFA5E3617DAF4D8529086EB3E4B6EC0000C44641C70000</t>
  </si>
  <si>
    <t>Hälytys - VAK8.JVP_F.HÄL1.DA0 2026.08.23 03</t>
  </si>
  <si>
    <t>03.31.28</t>
  </si>
  <si>
    <t>00000000F4188C90990C1D4F9592A85831DCA99307001CDFA5E3617DAF4D8529086EB3E4B6EC00000000010C00001CDFA5E3617DAF4D8529086EB3E4B6EC0000C44641C60000</t>
  </si>
  <si>
    <t>Poistunut hälytys - VAK8.JVP_F.HÄL1.DA0 2026.08.23 03</t>
  </si>
  <si>
    <t>03.31.16</t>
  </si>
  <si>
    <t>00000000F4188C90990C1D4F9592A85831DCA99307001CDFA5E3617DAF4D8529086EB3E4B6EC00000000010C00001CDFA5E3617DAF4D8529086EB3E4B6EC0000C44641C50000</t>
  </si>
  <si>
    <t>Hälytys - LM1.L1.PE01.A1 2026.08.23 03</t>
  </si>
  <si>
    <t>03.25.58</t>
  </si>
  <si>
    <t>00000000F4188C90990C1D4F9592A85831DCA99307001CDFA5E3617DAF4D8529086EB3E4B6EC00000000010C00001CDFA5E3617DAF4D8529086EB3E4B6EC0000C44641C40000</t>
  </si>
  <si>
    <t>Hälytys - ID_4716145 2026.08.23 02</t>
  </si>
  <si>
    <t>02.25.33</t>
  </si>
  <si>
    <t>00000000F4188C90990C1D4F9592A85831DCA99307001CDFA5E3617DAF4D8529086EB3E4B6EC00000000010C00001CDFA5E3617DAF4D8529086EB3E4B6EC0000C44641C30000</t>
  </si>
  <si>
    <t>Hälytys - VK33.VAK1.4TK1.FlowAlarm_A.A 2026.08.23 02</t>
  </si>
  <si>
    <t>02.03.19</t>
  </si>
  <si>
    <t>00000000F4188C90990C1D4F9592A85831DCA99307001CDFA5E3617DAF4D8529086EB3E4B6EC00000000010C00001CDFA5E3617DAF4D8529086EB3E4B6EC0000C44641C20000</t>
  </si>
  <si>
    <t>Hälytys - VAK4.MB1_ADDR6_TK3_PE01.A3 2026.08.22 22</t>
  </si>
  <si>
    <t>2026.08.22</t>
  </si>
  <si>
    <t>22.04.45</t>
  </si>
  <si>
    <t>00000000F4188C90990C1D4F9592A85831DCA99307001CDFA5E3617DAF4D8529086EB3E4B6EC00000000010C00001CDFA5E3617DAF4D8529086EB3E4B6EC0000C44641C10000</t>
  </si>
  <si>
    <t>Hälytys - VAK8.JVP_F.HÄL1.DA0 2026.08.22 21</t>
  </si>
  <si>
    <t>21.24.23</t>
  </si>
  <si>
    <t>00000000F4188C90990C1D4F9592A85831DCA99307001CDFA5E3617DAF4D8529086EB3E4B6EC00000000010C00001CDFA5E3617DAF4D8529086EB3E4B6EC0000C44641C00000</t>
  </si>
  <si>
    <t>Poistunut hälytys - VAK8.JVP_F.HÄL1.DA0 2026.08.22 21</t>
  </si>
  <si>
    <t>21.24.05</t>
  </si>
  <si>
    <t>00000000F4188C90990C1D4F9592A85831DCA99307001CDFA5E3617DAF4D8529086EB3E4B6EC00000000010C00001CDFA5E3617DAF4D8529086EB3E4B6EC0000C44641BF0000</t>
  </si>
  <si>
    <t>Hälytys - VAK4.MB1_ADDR5_TK2_TK2_PE01.A3 2026.08.22 21</t>
  </si>
  <si>
    <t>21.04.48</t>
  </si>
  <si>
    <t>00000000F4188C90990C1D4F9592A85831DCA99307001CDFA5E3617DAF4D8529086EB3E4B6EC00000000010C00001CDFA5E3617DAF4D8529086EB3E4B6EC0000C44641BE0000</t>
  </si>
  <si>
    <t>Hälytys - LM1.L1.TE41_L1.A2 2026.08.22 20</t>
  </si>
  <si>
    <t>20.43.48</t>
  </si>
  <si>
    <t>00000000F4188C90990C1D4F9592A85831DCA99307001CDFA5E3617DAF4D8529086EB3E4B6EC00000000010C00001CDFA5E3617DAF4D8529086EB3E4B6EC0000C44641BD0000</t>
  </si>
  <si>
    <t>Hälytys - VAK4.MB2_WL_BaseVAK4_Alarm2.A 2026.08.22 20</t>
  </si>
  <si>
    <t>20.33.15</t>
  </si>
  <si>
    <t>00000000F4188C90990C1D4F9592A85831DCA99307001CDFA5E3617DAF4D8529086EB3E4B6EC00000000010C00001CDFA5E3617DAF4D8529086EB3E4B6EC0000C44641BC0000</t>
  </si>
  <si>
    <t>Hälytys - LM1.L1.TE41_L1.A2 2026.08.22 19</t>
  </si>
  <si>
    <t>19.00.26</t>
  </si>
  <si>
    <t>00000000F4188C90990C1D4F9592A85831DCA99307001CDFA5E3617DAF4D8529086EB3E4B6EC00000000010C00001CDFA5E3617DAF4D8529086EB3E4B6EC0000C44641BB0000</t>
  </si>
  <si>
    <t>Hälytys - VAK8.JVP_F.HÄL1.DA0 2026.08.22 18</t>
  </si>
  <si>
    <t>18.56.58</t>
  </si>
  <si>
    <t>00000000F4188C90990C1D4F9592A85831DCA99307001CDFA5E3617DAF4D8529086EB3E4B6EC00000000010C00001CDFA5E3617DAF4D8529086EB3E4B6EC0000C44641BA0000</t>
  </si>
  <si>
    <t>Poistunut hälytys - VAK8.JVP_F.HÄL1.DA0 2026.08.22 18</t>
  </si>
  <si>
    <t>18.56.42</t>
  </si>
  <si>
    <t>00000000F4188C90990C1D4F9592A85831DCA99307001CDFA5E3617DAF4D8529086EB3E4B6EC00000000010C00001CDFA5E3617DAF4D8529086EB3E4B6EC0000C44641B90000</t>
  </si>
  <si>
    <t>18.10.04</t>
  </si>
  <si>
    <t>00000000F4188C90990C1D4F9592A85831DCA99307001CDFA5E3617DAF4D8529086EB3E4B6EC00000000010C00001CDFA5E3617DAF4D8529086EB3E4B6EC0000C44641B80000</t>
  </si>
  <si>
    <t>18.09.45</t>
  </si>
  <si>
    <t>00000000F4188C90990C1D4F9592A85831DCA99307001CDFA5E3617DAF4D8529086EB3E4B6EC00000000010C00001CDFA5E3617DAF4D8529086EB3E4B6EC0000C44641B70000</t>
  </si>
  <si>
    <t>Hälytys - VAK8.JVP_F.HÄL1.DA0 2026.08.22 17</t>
  </si>
  <si>
    <t>17.07.51</t>
  </si>
  <si>
    <t>00000000F4188C90990C1D4F9592A85831DCA99307001CDFA5E3617DAF4D8529086EB3E4B6EC00000000010C00001CDFA5E3617DAF4D8529086EB3E4B6EC0000C44641B60000</t>
  </si>
  <si>
    <t>Poistunut hälytys - VAK8.JVP_F.HÄL1.DA0 2026.08.22 17</t>
  </si>
  <si>
    <t>17.07.30</t>
  </si>
  <si>
    <t>00000000F4188C90990C1D4F9592A85831DCA99307001CDFA5E3617DAF4D8529086EB3E4B6EC00000000010C00001CDFA5E3617DAF4D8529086EB3E4B6EC0000C44641B50000</t>
  </si>
  <si>
    <t>Hälytys - LM1.MB3_ADDR10_FlexM__Error.A 2026.08.22 16</t>
  </si>
  <si>
    <t>16.50.05</t>
  </si>
  <si>
    <t>00000000F4188C90990C1D4F9592A85831DCA99307001CDFA5E3617DAF4D8529086EB3E4B6EC00000000010C00001CDFA5E3617DAF4D8529086EB3E4B6EC0000C44641B40000</t>
  </si>
  <si>
    <t>Hälytys - VAK8.JVP_F.HÄL1.DA0 2026.08.22 14</t>
  </si>
  <si>
    <t>14.44.21</t>
  </si>
  <si>
    <t>00000000F4188C90990C1D4F9592A85831DCA99307001CDFA5E3617DAF4D8529086EB3E4B6EC00000000010C00001CDFA5E3617DAF4D8529086EB3E4B6EC0000C44641B30000</t>
  </si>
  <si>
    <t>Poistunut hälytys - VAK8.JVP_F.HÄL1.DA0 2026.08.22 14</t>
  </si>
  <si>
    <t>14.43.59</t>
  </si>
  <si>
    <t>00000000F4188C90990C1D4F9592A85831DCA99307001CDFA5E3617DAF4D8529086EB3E4B6EC00000000010C00001CDFA5E3617DAF4D8529086EB3E4B6EC0000C44641B20000</t>
  </si>
  <si>
    <t>Hälytys - ID_5718927 2026.08.22 14</t>
  </si>
  <si>
    <t>14.31.38</t>
  </si>
  <si>
    <t>00000000F4188C90990C1D4F9592A85831DCA99307001CDFA5E3617DAF4D8529086EB3E4B6EC00000000010C00001CDFA5E3617DAF4D8529086EB3E4B6EC0000C44641B10000</t>
  </si>
  <si>
    <t>TK1 LP Pumppu SEIS</t>
  </si>
  <si>
    <t>Poistunut hälytys - VAK11.TK1.LPPump.CA1 2026.08.22 14</t>
  </si>
  <si>
    <t>14.07.52</t>
  </si>
  <si>
    <t>00000000F4188C90990C1D4F9592A85831DCA99307001CDFA5E3617DAF4D8529086EB3E4B6EC00000000010C00001CDFA5E3617DAF4D8529086EB3E4B6EC0000C44641B00000</t>
  </si>
  <si>
    <t>Hälytys - DeviceNoResponseAlarm 2026.08.22 13</t>
  </si>
  <si>
    <t>13.46.44</t>
  </si>
  <si>
    <t>00000000F4188C90990C1D4F9592A85831DCA99307001CDFA5E3617DAF4D8529086EB3E4B6EC00000000010C00001CDFA5E3617DAF4D8529086EB3E4B6EC0000C44641AF0000</t>
  </si>
  <si>
    <t>13.23.39</t>
  </si>
  <si>
    <t>00000000F4188C90990C1D4F9592A85831DCA99307001CDFA5E3617DAF4D8529086EB3E4B6EC00000000010C00001CDFA5E3617DAF4D8529086EB3E4B6EC0000C43C6DEF0000</t>
  </si>
  <si>
    <t>Hälytys - DeviceNoResponseAlarm 2026.08.22 12</t>
  </si>
  <si>
    <t>12.52.02</t>
  </si>
  <si>
    <t>00000000F4188C90990C1D4F9592A85831DCA99307001CDFA5E3617DAF4D8529086EB3E4B6EC00000000010C00001CDFA5E3617DAF4D8529086EB3E4B6EC0000C43C6DEE0000</t>
  </si>
  <si>
    <t>12.47.13</t>
  </si>
  <si>
    <t>00000000F4188C90990C1D4F9592A85831DCA99307001CDFA5E3617DAF4D8529086EB3E4B6EC00000000010C00001CDFA5E3617DAF4D8529086EB3E4B6EC0000C43C6DED0000</t>
  </si>
  <si>
    <t>Hälytys - VAK8.JVP_F.HÄL1.DA0 2026.08.22 12</t>
  </si>
  <si>
    <t>12.23.48</t>
  </si>
  <si>
    <t>00000000F4188C90990C1D4F9592A85831DCA99307001CDFA5E3617DAF4D8529086EB3E4B6EC00000000010C00001CDFA5E3617DAF4D8529086EB3E4B6EC0000C43C6DEC0000</t>
  </si>
  <si>
    <t>Poistunut hälytys - VAK8.JVP_F.HÄL1.DA0 2026.08.22 12</t>
  </si>
  <si>
    <t>12.23.24</t>
  </si>
  <si>
    <t>00000000F4188C90990C1D4F9592A85831DCA99307001CDFA5E3617DAF4D8529086EB3E4B6EC00000000010C00001CDFA5E3617DAF4D8529086EB3E4B6EC0000C43C6DEB0000</t>
  </si>
  <si>
    <t>12.17.40</t>
  </si>
  <si>
    <t>00000000F4188C90990C1D4F9592A85831DCA99307001CDFA5E3617DAF4D8529086EB3E4B6EC00000000010C00001CDFA5E3617DAF4D8529086EB3E4B6EC0000C43C6DEA0000</t>
  </si>
  <si>
    <t>Hälytys - VAK8.JVP_F.HÄL1.DA0 2026.08.22 11</t>
  </si>
  <si>
    <t>11.28.50</t>
  </si>
  <si>
    <t>00000000F4188C90990C1D4F9592A85831DCA99307001CDFA5E3617DAF4D8529086EB3E4B6EC00000000010C00001CDFA5E3617DAF4D8529086EB3E4B6EC0000C3F8DD8F0000</t>
  </si>
  <si>
    <t>Poistunut hälytys - VAK8.JVP_F.HÄL1.DA0 2026.08.22 11</t>
  </si>
  <si>
    <t>11.28.29</t>
  </si>
  <si>
    <t>00000000F4188C90990C1D4F9592A85831DCA99307001CDFA5E3617DAF4D8529086EB3E4B6EC00000000010C00001CDFA5E3617DAF4D8529086EB3E4B6EC0000C3F8DD8E0000</t>
  </si>
  <si>
    <t>Hälytys - DeviceNoResponseAlarm 2026.08.22 10</t>
  </si>
  <si>
    <t>10.49.54</t>
  </si>
  <si>
    <t>00000000F4188C90990C1D4F9592A85831DCA99307001CDFA5E3617DAF4D8529086EB3E4B6EC00000000010C00001CDFA5E3617DAF4D8529086EB3E4B6EC0000C3F8DD8D0000</t>
  </si>
  <si>
    <t>Kajaani Pajunkanto,Flex</t>
  </si>
  <si>
    <t>Hälytys - LM1.L1.TE41_L1.A2 2026.08.22 10</t>
  </si>
  <si>
    <t>10.02.30</t>
  </si>
  <si>
    <t>Hälytys : Kajaani Pajunkanto</t>
  </si>
  <si>
    <t>00000000F4188C90990C1D4F9592A85831DCA99307001CDFA5E3617DAF4D8529086EB3E4B6EC00000000010C00001CDFA5E3617DAF4D8529086EB3E4B6EC0000C3F8DD8C0000</t>
  </si>
  <si>
    <t>Hälytys - DeviceNoResponseAlarm 2026.08.22 09</t>
  </si>
  <si>
    <t>09.36.29</t>
  </si>
  <si>
    <t>00000000F4188C90990C1D4F9592A85831DCA99307001CDFA5E3617DAF4D8529086EB3E4B6EC00000000010C00001CDFA5E3617DAF4D8529086EB3E4B6EC0000C3F8DD8B0000</t>
  </si>
  <si>
    <t>Hälytys - VAK8.JVP_F.HÄL1.DA0 2026.08.22 08</t>
  </si>
  <si>
    <t>08.08.31</t>
  </si>
  <si>
    <t>00000000F4188C90990C1D4F9592A85831DCA99307001CDFA5E3617DAF4D8529086EB3E4B6EC00000000010C00001CDFA5E3617DAF4D8529086EB3E4B6EC0000C3F8DD8A0000</t>
  </si>
  <si>
    <t>Poistunut hälytys - VAK8.JVP_F.HÄL1.DA0 2026.08.22 08</t>
  </si>
  <si>
    <t>08.08.10</t>
  </si>
  <si>
    <t>00000000F4188C90990C1D4F9592A85831DCA99307001CDFA5E3617DAF4D8529086EB3E4B6EC00000000010C00001CDFA5E3617DAF4D8529086EB3E4B6EC0000C3F8DD890000</t>
  </si>
  <si>
    <t>Hälytys - VAK11.TK1.LPPump.CA1 2026.08.22 07</t>
  </si>
  <si>
    <t>00000000F4188C90990C1D4F9592A85831DCA99307001CDFA5E3617DAF4D8529086EB3E4B6EC00000000010C00001CDFA5E3617DAF4D8529086EB3E4B6EC0000C3F8DD880000</t>
  </si>
  <si>
    <t>Poistunut hälytys - VAK4.MB2_WL_BaseVAK4_Alarm2.A 2026.08.22 05</t>
  </si>
  <si>
    <t>05.10.46</t>
  </si>
  <si>
    <t>00000000F4188C90990C1D4F9592A85831DCA99307001CDFA5E3617DAF4D8529086EB3E4B6EC00000000010C00001CDFA5E3617DAF4D8529086EB3E4B6EC0000C3F8DD870000</t>
  </si>
  <si>
    <t>Hälytys - VK33.VAK1.4TK1.FlowAlarm_A.A 2026.08.22 02</t>
  </si>
  <si>
    <t>02.05.00</t>
  </si>
  <si>
    <t>00000000F4188C90990C1D4F9592A85831DCA99307001CDFA5E3617DAF4D8529086EB3E4B6EC00000000010C00001CDFA5E3617DAF4D8529086EB3E4B6EC0000C3F2A4FD0000</t>
  </si>
  <si>
    <t>Hälytys - VAK8.JVP_F.HÄL1.DA0 2026.08.22 00</t>
  </si>
  <si>
    <t>00.14.01</t>
  </si>
  <si>
    <t>00000000F4188C90990C1D4F9592A85831DCA99307001CDFA5E3617DAF4D8529086EB3E4B6EC00000000010C00001CDFA5E3617DAF4D8529086EB3E4B6EC0000C1FCD31A0000</t>
  </si>
  <si>
    <t>Poistunut hälytys - VAK8.JVP_F.HÄL1.DA0 2026.08.22 00</t>
  </si>
  <si>
    <t>00.13.43</t>
  </si>
  <si>
    <t>00000000F4188C90990C1D4F9592A85831DCA99307001CDFA5E3617DAF4D8529086EB3E4B6EC00000000010C00001CDFA5E3617DAF4D8529086EB3E4B6EC0000C1FCD3190000</t>
  </si>
  <si>
    <t>Hälytys - LM1.L1.PE01.A1 2026.08.21 23</t>
  </si>
  <si>
    <t>2026.08.21</t>
  </si>
  <si>
    <t>23.36.05</t>
  </si>
  <si>
    <t>00000000F4188C90990C1D4F9592A85831DCA99307001CDFA5E3617DAF4D8529086EB3E4B6EC00000000010C00001CDFA5E3617DAF4D8529086EB3E4B6EC0000C1FCD3180000</t>
  </si>
  <si>
    <t>Hälytys - VAK4.MB1_ADDR6_TK3_PE01.A3 2026.08.21 22</t>
  </si>
  <si>
    <t>22.07.06</t>
  </si>
  <si>
    <t>00000000F4188C90990C1D4F9592A85831DCA99307001CDFA5E3617DAF4D8529086EB3E4B6EC00000000010C00001CDFA5E3617DAF4D8529086EB3E4B6EC0000C1FCD3170000</t>
  </si>
  <si>
    <t>Hälytys - VAK4.MB1_ADDR5_TK2_TK2_PE01.A3 2026.08.21 21</t>
  </si>
  <si>
    <t>21.05.05</t>
  </si>
  <si>
    <t>00000000F4188C90990C1D4F9592A85831DCA99307001CDFA5E3617DAF4D8529086EB3E4B6EC00000000010C00001CDFA5E3617DAF4D8529086EB3E4B6EC0000C1FCD3160000</t>
  </si>
  <si>
    <t>Hälytys - LM1.L1.TE41_L1.A2 2026.08.21 20</t>
  </si>
  <si>
    <t>20.46.00</t>
  </si>
  <si>
    <t>00000000F4188C90990C1D4F9592A85831DCA99307001CDFA5E3617DAF4D8529086EB3E4B6EC00000000010C00001CDFA5E3617DAF4D8529086EB3E4B6EC0000C1FCD3150000</t>
  </si>
  <si>
    <t>Hälytys - VAK4.MB2_WL_BaseVAK4_Alarm2.A 2026.08.21 20</t>
  </si>
  <si>
    <t>20.43.26</t>
  </si>
  <si>
    <t>00000000F4188C90990C1D4F9592A85831DCA99307001CDFA5E3617DAF4D8529086EB3E4B6EC00000000010C00001CDFA5E3617DAF4D8529086EB3E4B6EC0000C1FCD3140000</t>
  </si>
  <si>
    <t>Hälytys - VAK8.JVP_F.HÄL1.DA0 2026.08.21 19</t>
  </si>
  <si>
    <t>19.43.55</t>
  </si>
  <si>
    <t>00000000F4188C90990C1D4F9592A85831DCA99307001CDFA5E3617DAF4D8529086EB3E4B6EC00000000010C00001CDFA5E3617DAF4D8529086EB3E4B6EC0000C1FCD3130000</t>
  </si>
  <si>
    <t>Poistunut hälytys - VAK8.JVP_F.HÄL1.DA0 2026.08.21 19</t>
  </si>
  <si>
    <t>19.43.33</t>
  </si>
  <si>
    <t>00000000F4188C90990C1D4F9592A85831DCA99307001CDFA5E3617DAF4D8529086EB3E4B6EC00000000010C00001CDFA5E3617DAF4D8529086EB3E4B6EC0000C1FCD3120000</t>
  </si>
  <si>
    <t>Hälytys - LM1.L1.TE41_L1.A2 2026.08.21 19</t>
  </si>
  <si>
    <t>19.20.26</t>
  </si>
  <si>
    <t>00000000F4188C90990C1D4F9592A85831DCA99307001CDFA5E3617DAF4D8529086EB3E4B6EC00000000010C00001CDFA5E3617DAF4D8529086EB3E4B6EC0000C1FCD3110000</t>
  </si>
  <si>
    <t>Hälytys - LM1.MB3_ADDR10_FlexM__Error.A 2026.08.21 18</t>
  </si>
  <si>
    <t>18.29.15</t>
  </si>
  <si>
    <t>00000000F4188C90990C1D4F9592A85831DCA99307001CDFA5E3617DAF4D8529086EB3E4B6EC00000000010C00001CDFA5E3617DAF4D8529086EB3E4B6EC0000C1FCD3100000</t>
  </si>
  <si>
    <t>Hälytys - VAK8.JVP_F.HÄL1.DA0 2026.08.21 18</t>
  </si>
  <si>
    <t>18.14.22</t>
  </si>
  <si>
    <t>00000000F4188C90990C1D4F9592A85831DCA99307001CDFA5E3617DAF4D8529086EB3E4B6EC00000000010C00001CDFA5E3617DAF4D8529086EB3E4B6EC0000C1FCD30F0000</t>
  </si>
  <si>
    <t>Poistunut hälytys - VAK8.JVP_F.HÄL1.DA0 2026.08.21 18</t>
  </si>
  <si>
    <t>18.13.58</t>
  </si>
  <si>
    <t>00000000F4188C90990C1D4F9592A85831DCA99307001CDFA5E3617DAF4D8529086EB3E4B6EC00000000010C00001CDFA5E3617DAF4D8529086EB3E4B6EC0000C1FCD30E0000</t>
  </si>
  <si>
    <t>Hälytys - LM1.L1.PE01.A1 2026.08.21 17</t>
  </si>
  <si>
    <t>17.41.35</t>
  </si>
  <si>
    <t>00000000F4188C90990C1D4F9592A85831DCA99307001CDFA5E3617DAF4D8529086EB3E4B6EC00000000010C00001CDFA5E3617DAF4D8529086EB3E4B6EC0000C1FCD30D0000</t>
  </si>
  <si>
    <t>Hissin edusta ovi auki</t>
  </si>
  <si>
    <t>Poistunut hälytys - VAK11.921.OVI03.Ind.A1 2026.08.21 17</t>
  </si>
  <si>
    <t>17.34.15</t>
  </si>
  <si>
    <t>00000000F4188C90990C1D4F9592A85831DCA99307001CDFA5E3617DAF4D8529086EB3E4B6EC00000000010C00001CDFA5E3617DAF4D8529086EB3E4B6EC0000C1FCD30C0000</t>
  </si>
  <si>
    <t>Hälytys - DeviceNoResponseAlarm 2026.08.21 16</t>
  </si>
  <si>
    <t>16.45.09</t>
  </si>
  <si>
    <t>00000000F4188C90990C1D4F9592A85831DCA99307001CDFA5E3617DAF4D8529086EB3E4B6EC00000000010C00001CDFA5E3617DAF4D8529086EB3E4B6EC0000C1FCD30B0000</t>
  </si>
  <si>
    <t>Hälytys - VAK8.JVP_F.HÄL1.DA0 2026.08.21 16</t>
  </si>
  <si>
    <t>16.26.55</t>
  </si>
  <si>
    <t>00000000F4188C90990C1D4F9592A85831DCA99307001CDFA5E3617DAF4D8529086EB3E4B6EC00000000010C00001CDFA5E3617DAF4D8529086EB3E4B6EC0000C1FCD30A0000</t>
  </si>
  <si>
    <t>Poistunut hälytys - VAK8.JVP_F.HÄL1.DA0 2026.08.21 16</t>
  </si>
  <si>
    <t>16.26.34</t>
  </si>
  <si>
    <t>00000000F4188C90990C1D4F9592A85831DCA99307001CDFA5E3617DAF4D8529086EB3E4B6EC00000000010C00001CDFA5E3617DAF4D8529086EB3E4B6EC0000C1FCD3090000</t>
  </si>
  <si>
    <t>16.13.44</t>
  </si>
  <si>
    <t>00000000F4188C90990C1D4F9592A85831DCA99307001CDFA5E3617DAF4D8529086EB3E4B6EC00000000010C00001CDFA5E3617DAF4D8529086EB3E4B6EC0000C1FCD3080000</t>
  </si>
  <si>
    <t>Hälytys - VAK11.921.OVI03.Ind.A1 2026.08.21 16</t>
  </si>
  <si>
    <t>16.13.08</t>
  </si>
  <si>
    <t>00000000F4188C90990C1D4F9592A85831DCA99307001CDFA5E3617DAF4D8529086EB3E4B6EC00000000010C00001CDFA5E3617DAF4D8529086EB3E4B6EC0000C1FCD3070000</t>
  </si>
  <si>
    <t>Hälytys - DeviceNoResponseAlarm 2026.08.21 15</t>
  </si>
  <si>
    <t>15.36.48</t>
  </si>
  <si>
    <t>00000000F4188C90990C1D4F9592A85831DCA99307001CDFA5E3617DAF4D8529086EB3E4B6EC00000000010C00001CDFA5E3617DAF4D8529086EB3E4B6EC0000C1FCD3060000</t>
  </si>
  <si>
    <t>Hälytys - LM1.MB3_ADDR10_FlexM__Error.A 2026.08.21 15</t>
  </si>
  <si>
    <t>15.29.20</t>
  </si>
  <si>
    <t>00000000F4188C90990C1D4F9592A85831DCA99307001CDFA5E3617DAF4D8529086EB3E4B6EC00000000010C00001CDFA5E3617DAF4D8529086EB3E4B6EC0000C1FCD3050000</t>
  </si>
  <si>
    <t>Hälytys - DeviceNoResponseAlarm 2026.08.21 14</t>
  </si>
  <si>
    <t>14.54.57</t>
  </si>
  <si>
    <t>00000000F4188C90990C1D4F9592A85831DCA99307001CDFA5E3617DAF4D8529086EB3E4B6EC00000000010C00001CDFA5E3617DAF4D8529086EB3E4B6EC0000C1FCD3040000</t>
  </si>
  <si>
    <t>Hälytys - DeviceNoResponseAlarm 2026.08.21 13</t>
  </si>
  <si>
    <t>13.48.18</t>
  </si>
  <si>
    <t>00000000F4188C90990C1D4F9592A85831DCA99307001CDFA5E3617DAF4D8529086EB3E4B6EC00000000010C00001CDFA5E3617DAF4D8529086EB3E4B6EC0000C1FCD3030000</t>
  </si>
  <si>
    <t>Hälytys - VAK8.JVP_F.HÄL1.DA0 2026.08.21 13</t>
  </si>
  <si>
    <t>13.36.44</t>
  </si>
  <si>
    <t>00000000F4188C90990C1D4F9592A85831DCA99307001CDFA5E3617DAF4D8529086EB3E4B6EC00000000010C00001CDFA5E3617DAF4D8529086EB3E4B6EC0000C1FCD3020000</t>
  </si>
  <si>
    <t>Poistunut hälytys - VAK8.JVP_F.HÄL1.DA0 2026.08.21 13</t>
  </si>
  <si>
    <t>13.36.23</t>
  </si>
  <si>
    <t>00000000F4188C90990C1D4F9592A85831DCA99307001CDFA5E3617DAF4D8529086EB3E4B6EC00000000010C00001CDFA5E3617DAF4D8529086EB3E4B6EC0000C1FCD3010000</t>
  </si>
  <si>
    <t>Hälytys - ID_4716145 2026.08.21 12</t>
  </si>
  <si>
    <t>12.23.41</t>
  </si>
  <si>
    <t>00000000F4188C90990C1D4F9592A85831DCA99307001CDFA5E3617DAF4D8529086EB3E4B6EC00000000010C00001CDFA5E3617DAF4D8529086EB3E4B6EC0000C1FCD3000000</t>
  </si>
  <si>
    <t>Hälytys - VAK8.JVP_F.HÄL1.DA0 2026.08.21 12</t>
  </si>
  <si>
    <t>12.21.59</t>
  </si>
  <si>
    <t>00000000F4188C90990C1D4F9592A85831DCA99307001CDFA5E3617DAF4D8529086EB3E4B6EC00000000010C00001CDFA5E3617DAF4D8529086EB3E4B6EC0000C1FCD2FF0000</t>
  </si>
  <si>
    <t>Poistunut hälytys - VAK8.JVP_F.HÄL1.DA0 2026.08.21 12</t>
  </si>
  <si>
    <t>12.21.38</t>
  </si>
  <si>
    <t>00000000F4188C90990C1D4F9592A85831DCA99307001CDFA5E3617DAF4D8529086EB3E4B6EC00000000010C00001CDFA5E3617DAF4D8529086EB3E4B6EC0000C1FCD2FE0000</t>
  </si>
  <si>
    <t>Hälytys - LM1.L1.PE01.A1 2026.08.21 11</t>
  </si>
  <si>
    <t>11.09.29</t>
  </si>
  <si>
    <t>00000000F4188C90990C1D4F9592A85831DCA99307001CDFA5E3617DAF4D8529086EB3E4B6EC00000000010C00001CDFA5E3617DAF4D8529086EB3E4B6EC0000C1FCD2FD0000</t>
  </si>
  <si>
    <t>Hälytys - VAK8.JVP_F.HÄL1.DA0 2026.08.21 10</t>
  </si>
  <si>
    <t>10.59.38</t>
  </si>
  <si>
    <t>00000000F4188C90990C1D4F9592A85831DCA99307001CDFA5E3617DAF4D8529086EB3E4B6EC00000000010C00001CDFA5E3617DAF4D8529086EB3E4B6EC0000C1FCD2FC0000</t>
  </si>
  <si>
    <t>Poistunut hälytys - VAK8.JVP_F.HÄL1.DA0 2026.08.21 10</t>
  </si>
  <si>
    <t>10.59.16</t>
  </si>
  <si>
    <t>00000000F4188C90990C1D4F9592A85831DCA99307001CDFA5E3617DAF4D8529086EB3E4B6EC00000000010C00001CDFA5E3617DAF4D8529086EB3E4B6EC0000C1FCD2FB0000</t>
  </si>
  <si>
    <t>10.31.25</t>
  </si>
  <si>
    <t>00000000F4188C90990C1D4F9592A85831DCA99307001CDFA5E3617DAF4D8529086EB3E4B6EC00000000010C00001CDFA5E3617DAF4D8529086EB3E4B6EC0000C1FCD2FA0000</t>
  </si>
  <si>
    <t>10.31.08</t>
  </si>
  <si>
    <t>00000000F4188C90990C1D4F9592A85831DCA99307001CDFA5E3617DAF4D8529086EB3E4B6EC00000000010C00001CDFA5E3617DAF4D8529086EB3E4B6EC0000C1FCD2F90000</t>
  </si>
  <si>
    <t>Hälytys - VAK8.JVP_F.HÄL1.DA0 2026.08.21 09</t>
  </si>
  <si>
    <t>09.55.11</t>
  </si>
  <si>
    <t>00000000F4188C90990C1D4F9592A85831DCA99307001CDFA5E3617DAF4D8529086EB3E4B6EC00000000010C00001CDFA5E3617DAF4D8529086EB3E4B6EC0000C1FCD2F80000</t>
  </si>
  <si>
    <t>Poistunut hälytys - VAK8.JVP_F.HÄL1.DA0 2026.08.21 09</t>
  </si>
  <si>
    <t>09.54.55</t>
  </si>
  <si>
    <t>00000000F4188C90990C1D4F9592A85831DCA99307001CDFA5E3617DAF4D8529086EB3E4B6EC00000000010C00001CDFA5E3617DAF4D8529086EB3E4B6EC0000C1FCD2F70000</t>
  </si>
  <si>
    <t>Hälytys - DeviceNoResponseAlarm 2026.08.21 09</t>
  </si>
  <si>
    <t>09.17.14</t>
  </si>
  <si>
    <t>00000000F4188C90990C1D4F9592A85831DCA99307001CDFA5E3617DAF4D8529086EB3E4B6EC00000000010C00001CDFA5E3617DAF4D8529086EB3E4B6EC0000C1FCD2F60000</t>
  </si>
  <si>
    <t>Hälytys - VAK8.JVP_F.HÄL1.DA0 2026.08.21 06</t>
  </si>
  <si>
    <t>06.35.08</t>
  </si>
  <si>
    <t>00000000F4188C90990C1D4F9592A85831DCA99307001CDFA5E3617DAF4D8529086EB3E4B6EC00000000010C00001CDFA5E3617DAF4D8529086EB3E4B6EC0000C1FCD2F50000</t>
  </si>
  <si>
    <t>Poistunut hälytys - VAK8.JVP_F.HÄL1.DA0 2026.08.21 06</t>
  </si>
  <si>
    <t>06.34.45</t>
  </si>
  <si>
    <t>00000000F4188C90990C1D4F9592A85831DCA99307001CDFA5E3617DAF4D8529086EB3E4B6EC00000000010C00001CDFA5E3617DAF4D8529086EB3E4B6EC0000C1FCD2F40000</t>
  </si>
  <si>
    <t>Poistunut hälytys - VAK4.MB2_WL_BaseVAK4_Alarm2.A 2026.08.21 05</t>
  </si>
  <si>
    <t>00000000F4188C90990C1D4F9592A85831DCA99307001CDFA5E3617DAF4D8529086EB3E4B6EC00000000010C00001CDFA5E3617DAF4D8529086EB3E4B6EC0000C1FCD2F30000</t>
  </si>
  <si>
    <t>Hälytys - VK33.VAK1.4TK1.FlowAlarm_A.A 2026.08.21 02</t>
  </si>
  <si>
    <t>02.04.29</t>
  </si>
  <si>
    <t>00000000F4188C90990C1D4F9592A85831DCA99307001CDFA5E3617DAF4D8529086EB3E4B6EC00000000010C00001CDFA5E3617DAF4D8529086EB3E4B6EC0000C1FCD2F20000</t>
  </si>
  <si>
    <t>Hälytys - VAK4.MB1_ADDR6_TK3_PE01.A3 2026.08.20 22</t>
  </si>
  <si>
    <t>22.05.48</t>
  </si>
  <si>
    <t>00000000F4188C90990C1D4F9592A85831DCA99307001CDFA5E3617DAF4D8529086EB3E4B6EC00000000010C00001CDFA5E3617DAF4D8529086EB3E4B6EC0000C1FCD2F10000</t>
  </si>
  <si>
    <t>Hälytys - LM1.MB3_ADDR10_FlexM__Error.A 2026.08.20 21</t>
  </si>
  <si>
    <t>21.56.52</t>
  </si>
  <si>
    <t>00000000F4188C90990C1D4F9592A85831DCA99307001CDFA5E3617DAF4D8529086EB3E4B6EC00000000010C00001CDFA5E3617DAF4D8529086EB3E4B6EC0000C1FCD2F00000</t>
  </si>
  <si>
    <t>Hälytys - VAK8.JVP_F.HÄL1.DA0 2026.08.20 21</t>
  </si>
  <si>
    <t>21.52.50</t>
  </si>
  <si>
    <t>00000000F4188C90990C1D4F9592A85831DCA99307001CDFA5E3617DAF4D8529086EB3E4B6EC00000000010C00001CDFA5E3617DAF4D8529086EB3E4B6EC0000C1FCD2EF0000</t>
  </si>
  <si>
    <t>Poistunut hälytys - VAK8.JVP_F.HÄL1.DA0 2026.08.20 21</t>
  </si>
  <si>
    <t>21.52.28</t>
  </si>
  <si>
    <t>00000000F4188C90990C1D4F9592A85831DCA99307001CDFA5E3617DAF4D8529086EB3E4B6EC00000000010C00001CDFA5E3617DAF4D8529086EB3E4B6EC0000C1FCD2EE0000</t>
  </si>
  <si>
    <t>Hälytys - DeviceNoResponseAlarm 2026.08.20 21</t>
  </si>
  <si>
    <t>21.49.27</t>
  </si>
  <si>
    <t>00000000F4188C90990C1D4F9592A85831DCA99307001CDFA5E3617DAF4D8529086EB3E4B6EC00000000010C00001CDFA5E3617DAF4D8529086EB3E4B6EC0000C1FCD2ED0000</t>
  </si>
  <si>
    <t>Hälytys - VAK4.MB1_ADDR5_TK2_TK2_PE01.A3 2026.08.20 21</t>
  </si>
  <si>
    <t>21.04.12</t>
  </si>
  <si>
    <t>00000000F4188C90990C1D4F9592A85831DCA99307001CDFA5E3617DAF4D8529086EB3E4B6EC00000000010C00001CDFA5E3617DAF4D8529086EB3E4B6EC0000C1FCD2EC0000</t>
  </si>
  <si>
    <t>Hälytys - VAK4.MB2_WL_BaseVAK4_Alarm2.A 2026.08.20 20</t>
  </si>
  <si>
    <t>20.43.28</t>
  </si>
  <si>
    <t>00000000F4188C90990C1D4F9592A85831DCA99307001CDFA5E3617DAF4D8529086EB3E4B6EC00000000010C00001CDFA5E3617DAF4D8529086EB3E4B6EC0000C1FCD2EB0000</t>
  </si>
  <si>
    <t>Hälytys - DeviceNoResponseAlarm 2026.08.20 19</t>
  </si>
  <si>
    <t>19.15.37</t>
  </si>
  <si>
    <t>00000000F4188C90990C1D4F9592A85831DCA99307001CDFA5E3617DAF4D8529086EB3E4B6EC00000000010C00001CDFA5E3617DAF4D8529086EB3E4B6EC0000C1FCD2EA0000</t>
  </si>
  <si>
    <t>Hälytys - LM1.L1.TE41_L1.A2 2026.08.20 18</t>
  </si>
  <si>
    <t>18.56.36</t>
  </si>
  <si>
    <t>00000000F4188C90990C1D4F9592A85831DCA99307001CDFA5E3617DAF4D8529086EB3E4B6EC00000000010C00001CDFA5E3617DAF4D8529086EB3E4B6EC0000C1FCD2E90000</t>
  </si>
  <si>
    <t>Hälytys - VAK8.JVP_F.HÄL1.DA0 2026.08.20 18</t>
  </si>
  <si>
    <t>18.38.00</t>
  </si>
  <si>
    <t>00000000F4188C90990C1D4F9592A85831DCA99307001CDFA5E3617DAF4D8529086EB3E4B6EC00000000010C00001CDFA5E3617DAF4D8529086EB3E4B6EC0000C1FCD2E80000</t>
  </si>
  <si>
    <t>Poistunut hälytys - VAK8.JVP_F.HÄL1.DA0 2026.08.20 18</t>
  </si>
  <si>
    <t>18.37.50</t>
  </si>
  <si>
    <t>00000000F4188C90990C1D4F9592A85831DCA99307001CDFA5E3617DAF4D8529086EB3E4B6EC00000000010C00001CDFA5E3617DAF4D8529086EB3E4B6EC0000C1FCD2E70000</t>
  </si>
  <si>
    <t>Hälytys - LM1.L1.PE01.A1 2026.08.20 17</t>
  </si>
  <si>
    <t>17.41.20</t>
  </si>
  <si>
    <t>00000000F4188C90990C1D4F9592A85831DCA99307001CDFA5E3617DAF4D8529086EB3E4B6EC00000000010C00001CDFA5E3617DAF4D8529086EB3E4B6EC0000C1FCD2E60000</t>
  </si>
  <si>
    <t>Hälytys - LM1.L1.PE01.A1 2026.08.20 16</t>
  </si>
  <si>
    <t>16.41.49</t>
  </si>
  <si>
    <t>00000000F4188C90990C1D4F9592A85831DCA99307001CDFA5E3617DAF4D8529086EB3E4B6EC00000000010C00001CDFA5E3617DAF4D8529086EB3E4B6EC0000C1FCD2E50000</t>
  </si>
  <si>
    <t>Kajaani Säästörinne,Flex</t>
  </si>
  <si>
    <t>Alarm - LM1.L1.A1 2026.08.20 16</t>
  </si>
  <si>
    <t>16.18.49</t>
  </si>
  <si>
    <t>Alarm : Kajaani Säästörinne</t>
  </si>
  <si>
    <t>00000000F4188C90990C1D4F9592A85831DCA99307001CDFA5E3617DAF4D8529086EB3E4B6EC00000000010C00001CDFA5E3617DAF4D8529086EB3E4B6EC0000C1FCD2E40000</t>
  </si>
  <si>
    <t>16.00.00</t>
  </si>
  <si>
    <t>00000000F4188C90990C1D4F9592A85831DCA99307001CDFA5E3617DAF4D8529086EB3E4B6EC00000000010C00001CDFA5E3617DAF4D8529086EB3E4B6EC0000C1FCD2E30000</t>
  </si>
  <si>
    <t>Hälytys - LM1.MB3_ADDR10_FlexM__Error.A 2026.08.20 15</t>
  </si>
  <si>
    <t>15.54.42</t>
  </si>
  <si>
    <t>00000000F4188C90990C1D4F9592A85831DCA99307001CDFA5E3617DAF4D8529086EB3E4B6EC00000000010C00001CDFA5E3617DAF4D8529086EB3E4B6EC0000C1FCD2E20000</t>
  </si>
  <si>
    <t>Hälytys - LM1.L1.PE01.A1 2026.08.20 15</t>
  </si>
  <si>
    <t>15.54.32</t>
  </si>
  <si>
    <t>00000000F4188C90990C1D4F9592A85831DCA99307001CDFA5E3617DAF4D8529086EB3E4B6EC00000000010C00001CDFA5E3617DAF4D8529086EB3E4B6EC0000C1FCD2E10000</t>
  </si>
  <si>
    <t>Hälytys - VAK8.JVP_F.HÄL1.DA0 2026.08.20 15</t>
  </si>
  <si>
    <t>15.45.17</t>
  </si>
  <si>
    <t>00000000F4188C90990C1D4F9592A85831DCA99307001CDFA5E3617DAF4D8529086EB3E4B6EC00000000010C00001CDFA5E3617DAF4D8529086EB3E4B6EC0000C1FCD2E00000</t>
  </si>
  <si>
    <t>Poistunut hälytys - VAK8.JVP_F.HÄL1.DA0 2026.08.20 15</t>
  </si>
  <si>
    <t>15.44.55</t>
  </si>
  <si>
    <t>00000000F4188C90990C1D4F9592A85831DCA99307001CDFA5E3617DAF4D8529086EB3E4B6EC00000000010C00001CDFA5E3617DAF4D8529086EB3E4B6EC0000C1FCD2DF0000</t>
  </si>
  <si>
    <t>15.30.02</t>
  </si>
  <si>
    <t>00000000F4188C90990C1D4F9592A85831DCA99307001CDFA5E3617DAF4D8529086EB3E4B6EC00000000010C00001CDFA5E3617DAF4D8529086EB3E4B6EC0000C1FCD2DE0000</t>
  </si>
  <si>
    <t>15.27.04</t>
  </si>
  <si>
    <t>00000000F4188C90990C1D4F9592A85831DCA99307001CDFA5E3617DAF4D8529086EB3E4B6EC00000000010C00001CDFA5E3617DAF4D8529086EB3E4B6EC0000C1FCD2DD0000</t>
  </si>
  <si>
    <t>Kajaani Lohtajankatu 13,FLEX</t>
  </si>
  <si>
    <t>Hälytys - LM1.L1.A1 2026.08.20 14</t>
  </si>
  <si>
    <t>14.55.46</t>
  </si>
  <si>
    <t>Hälytys : Kajaani Lohtajankatu 13</t>
  </si>
  <si>
    <t>00000000F4188C90990C1D4F9592A85831DCA99307001CDFA5E3617DAF4D8529086EB3E4B6EC00000000010C00001CDFA5E3617DAF4D8529086EB3E4B6EC0000C1FCD2DC0000</t>
  </si>
  <si>
    <t>Hälytys - VAK8.JVP_F.HÄL1.DA0 2026.08.20 14</t>
  </si>
  <si>
    <t>14.12.12</t>
  </si>
  <si>
    <t>00000000F4188C90990C1D4F9592A85831DCA99307001CDFA5E3617DAF4D8529086EB3E4B6EC00000000010C00001CDFA5E3617DAF4D8529086EB3E4B6EC0000C1FCD2DB0000</t>
  </si>
  <si>
    <t>Poistunut hälytys - VAK8.JVP_F.HÄL1.DA0 2026.08.20 14</t>
  </si>
  <si>
    <t>14.12.07</t>
  </si>
  <si>
    <t>00000000F4188C90990C1D4F9592A85831DCA99307001CDFA5E3617DAF4D8529086EB3E4B6EC00000000010C00001CDFA5E3617DAF4D8529086EB3E4B6EC0000C1FCD2DA0000</t>
  </si>
  <si>
    <t>Hälytys - DeviceNoResponseAlarm 2026.08.20 13</t>
  </si>
  <si>
    <t>13.38.37</t>
  </si>
  <si>
    <t>00000000F4188C90990C1D4F9592A85831DCA99307001CDFA5E3617DAF4D8529086EB3E4B6EC00000000010C00001CDFA5E3617DAF4D8529086EB3E4B6EC0000C1FCD2D90000</t>
  </si>
  <si>
    <t>Kajaani Kiskokoto,FLEX</t>
  </si>
  <si>
    <t>Hälytys - LM1.L1.A1 2026.08.20 12</t>
  </si>
  <si>
    <t>12.59.00</t>
  </si>
  <si>
    <t>Hälytys : Kajaani Kiskokoto</t>
  </si>
  <si>
    <t>00000000F4188C90990C1D4F9592A85831DCA99307001CDFA5E3617DAF4D8529086EB3E4B6EC00000000010C00001CDFA5E3617DAF4D8529086EB3E4B6EC0000C1FCD2D80000</t>
  </si>
  <si>
    <t>Hälytys - VAK8.JVP_F.HÄL1.DA0 2026.08.20 12</t>
  </si>
  <si>
    <t>12.52.20</t>
  </si>
  <si>
    <t>00000000F4188C90990C1D4F9592A85831DCA99307001CDFA5E3617DAF4D8529086EB3E4B6EC00000000010C00001CDFA5E3617DAF4D8529086EB3E4B6EC0000C1FCD2D70000</t>
  </si>
  <si>
    <t>Poistunut hälytys - VAK8.JVP_F.HÄL1.DA0 2026.08.20 12</t>
  </si>
  <si>
    <t>12.52.06</t>
  </si>
  <si>
    <t>00000000F4188C90990C1D4F9592A85831DCA99307001CDFA5E3617DAF4D8529086EB3E4B6EC00000000010C00001CDFA5E3617DAF4D8529086EB3E4B6EC0000C1FCD2D60000</t>
  </si>
  <si>
    <t>Hälytys - VAK8.JVP_F.HÄL1.DA0 2026.08.20 11</t>
  </si>
  <si>
    <t>11.37.29</t>
  </si>
  <si>
    <t>00000000F4188C90990C1D4F9592A85831DCA99307001CDFA5E3617DAF4D8529086EB3E4B6EC00000000010C00001CDFA5E3617DAF4D8529086EB3E4B6EC0000C1FCD2D50000</t>
  </si>
  <si>
    <t>Poistunut hälytys - VAK8.JVP_F.HÄL1.DA0 2026.08.20 11</t>
  </si>
  <si>
    <t>11.37.13</t>
  </si>
  <si>
    <t>00000000F4188C90990C1D4F9592A85831DCA99307001CDFA5E3617DAF4D8529086EB3E4B6EC00000000010C00001CDFA5E3617DAF4D8529086EB3E4B6EC0000C1FCD2D40000</t>
  </si>
  <si>
    <t>Hälytys - VAK8.JVP_F.HÄL1.DA0 2026.08.20 10</t>
  </si>
  <si>
    <t>10.26.39</t>
  </si>
  <si>
    <t>00000000F4188C90990C1D4F9592A85831DCA99307001CDFA5E3617DAF4D8529086EB3E4B6EC00000000010C00001CDFA5E3617DAF4D8529086EB3E4B6EC0000C1FCD2D30000</t>
  </si>
  <si>
    <t>Poistunut hälytys - VAK8.JVP_F.HÄL1.DA0 2026.08.20 10</t>
  </si>
  <si>
    <t>10.26.01</t>
  </si>
  <si>
    <t>00000000F4188C90990C1D4F9592A85831DCA99307001CDFA5E3617DAF4D8529086EB3E4B6EC00000000010C00001CDFA5E3617DAF4D8529086EB3E4B6EC0000C1FCD2D20000</t>
  </si>
  <si>
    <t>Hälytys - LM1.L1.PE01.A1 2026.08.20 10</t>
  </si>
  <si>
    <t>10.17.00</t>
  </si>
  <si>
    <t>00000000F4188C90990C1D4F9592A85831DCA99307001CDFA5E3617DAF4D8529086EB3E4B6EC00000000010C00001CDFA5E3617DAF4D8529086EB3E4B6EC0000C1FCD2D10000</t>
  </si>
  <si>
    <t>Hälytys - LM1.L1.PE01.A1 2026.08.20 09</t>
  </si>
  <si>
    <t>09.55.06</t>
  </si>
  <si>
    <t>00000000F4188C90990C1D4F9592A85831DCA99307001CDFA5E3617DAF4D8529086EB3E4B6EC00000000010C00001CDFA5E3617DAF4D8529086EB3E4B6EC0000C1FCD2D00000</t>
  </si>
  <si>
    <t>09.49.34</t>
  </si>
  <si>
    <t>00000000F4188C90990C1D4F9592A85831DCA99307001CDFA5E3617DAF4D8529086EB3E4B6EC00000000010C00001CDFA5E3617DAF4D8529086EB3E4B6EC0000C1FCD2CF0000</t>
  </si>
  <si>
    <t>09.47.46</t>
  </si>
  <si>
    <t>00000000F4188C90990C1D4F9592A85831DCA99307001CDFA5E3617DAF4D8529086EB3E4B6EC00000000010C00001CDFA5E3617DAF4D8529086EB3E4B6EC0000C1FCD2CE0000</t>
  </si>
  <si>
    <t>09.45.10</t>
  </si>
  <si>
    <t>00000000F4188C90990C1D4F9592A85831DCA99307001CDFA5E3617DAF4D8529086EB3E4B6EC00000000010C00001CDFA5E3617DAF4D8529086EB3E4B6EC0000C1FCD2CD0000</t>
  </si>
  <si>
    <t>Hälytys - DeviceNoResponseAlarm 2026.08.20 09</t>
  </si>
  <si>
    <t>09.43.40</t>
  </si>
  <si>
    <t>00000000F4188C90990C1D4F9592A85831DCA99307001CDFA5E3617DAF4D8529086EB3E4B6EC00000000010C00001CDFA5E3617DAF4D8529086EB3E4B6EC0000C1FCD2CC0000</t>
  </si>
  <si>
    <t>Hälytys - VAK8.JVP_F.HÄL1.DA0 2026.08.20 09</t>
  </si>
  <si>
    <t>09.25.21</t>
  </si>
  <si>
    <t>00000000F4188C90990C1D4F9592A85831DCA99307001CDFA5E3617DAF4D8529086EB3E4B6EC00000000010C00001CDFA5E3617DAF4D8529086EB3E4B6EC0000C1FCD2CB0000</t>
  </si>
  <si>
    <t>Poistunut hälytys - VAK8.JVP_F.HÄL1.DA0 2026.08.20 09</t>
  </si>
  <si>
    <t>09.24.57</t>
  </si>
  <si>
    <t>00000000F4188C90990C1D4F9592A85831DCA99307001CDFA5E3617DAF4D8529086EB3E4B6EC00000000010C00001CDFA5E3617DAF4D8529086EB3E4B6EC0000C1FCD2CA0000</t>
  </si>
  <si>
    <t>09.05.05</t>
  </si>
  <si>
    <t>00000000F4188C90990C1D4F9592A85831DCA99307001CDFA5E3617DAF4D8529086EB3E4B6EC00000000010C00001CDFA5E3617DAF4D8529086EB3E4B6EC0000C1FCD2C90000</t>
  </si>
  <si>
    <t>08.57.44</t>
  </si>
  <si>
    <t>00000000F4188C90990C1D4F9592A85831DCA99307001CDFA5E3617DAF4D8529086EB3E4B6EC00000000010C00001CDFA5E3617DAF4D8529086EB3E4B6EC0000C1FCD2C80000</t>
  </si>
  <si>
    <t>08.51.37</t>
  </si>
  <si>
    <t>00000000F4188C90990C1D4F9592A85831DCA99307001CDFA5E3617DAF4D8529086EB3E4B6EC00000000010C00001CDFA5E3617DAF4D8529086EB3E4B6EC0000C1FCD2C70000</t>
  </si>
  <si>
    <t>08.42.00</t>
  </si>
  <si>
    <t>00000000F4188C90990C1D4F9592A85831DCA99307001CDFA5E3617DAF4D8529086EB3E4B6EC00000000010C00001CDFA5E3617DAF4D8529086EB3E4B6EC0000C1FCD2C60000</t>
  </si>
  <si>
    <t xml:space="preserve">    Active:   2026.08.20 21.56.52</t>
  </si>
  <si>
    <t xml:space="preserve">    Active:   2026.08.20 15.54.42</t>
  </si>
  <si>
    <t xml:space="preserve">    Active:   2026.08.20 21.52.50</t>
  </si>
  <si>
    <t xml:space="preserve">    Cleared: 2026.08.20 21.52.28</t>
  </si>
  <si>
    <t xml:space="preserve">    Active:   2026.08.20 18.38.00</t>
  </si>
  <si>
    <t xml:space="preserve">    Cleared: 2026.08.20 18.37.50</t>
  </si>
  <si>
    <t xml:space="preserve">    Active:   2026.08.20 15.45.17</t>
  </si>
  <si>
    <t xml:space="preserve">    Cleared: 2026.08.20 15.44.55</t>
  </si>
  <si>
    <t xml:space="preserve">    Active:   2026.08.20 14.12.12</t>
  </si>
  <si>
    <t xml:space="preserve">    Cleared: 2026.08.20 14.12.07</t>
  </si>
  <si>
    <t xml:space="preserve">    Active:   2026.08.20 12.52.20</t>
  </si>
  <si>
    <t xml:space="preserve">    Cleared: 2026.08.20 12.52.06</t>
  </si>
  <si>
    <t xml:space="preserve">    Active:   2026.08.20 11.37.29</t>
  </si>
  <si>
    <t xml:space="preserve">    Cleared: 2026.08.20 11.37.13</t>
  </si>
  <si>
    <t xml:space="preserve">    Active:   2026.08.20 10.26.39</t>
  </si>
  <si>
    <t xml:space="preserve">    Cleared: 2026.08.20 10.26.01</t>
  </si>
  <si>
    <t xml:space="preserve">    Active:   2026.08.20 09.25.21</t>
  </si>
  <si>
    <t xml:space="preserve">    Cleared: 2026.08.20 09.24.57</t>
  </si>
  <si>
    <t xml:space="preserve">    Active:   2026.08.20 20.43.28</t>
  </si>
  <si>
    <t xml:space="preserve">    Active:   2026.08.20 17.41.20</t>
  </si>
  <si>
    <t xml:space="preserve">    Active:   2026.08.20 16.41.49</t>
  </si>
  <si>
    <t xml:space="preserve">    Active:   2026.08.20 16.00.00</t>
  </si>
  <si>
    <t xml:space="preserve">    Active:   2026.08.20 15.54.32</t>
  </si>
  <si>
    <t xml:space="preserve">    Active:   2026.08.20 15.30.02</t>
  </si>
  <si>
    <t xml:space="preserve">    Active:   2026.08.20 15.27.04</t>
  </si>
  <si>
    <t xml:space="preserve">    Active:   2026.08.20 10.17.00</t>
  </si>
  <si>
    <t xml:space="preserve">    Active:   2026.08.20 09.55.06</t>
  </si>
  <si>
    <t xml:space="preserve">    Active:   2026.08.20 09.49.34</t>
  </si>
  <si>
    <t xml:space="preserve">    Active:   2026.08.20 09.47.46</t>
  </si>
  <si>
    <t xml:space="preserve">    Active:   2026.08.20 09.45.10</t>
  </si>
  <si>
    <t xml:space="preserve">    Active:   2026.08.20 09.05.05</t>
  </si>
  <si>
    <t xml:space="preserve">    Active:   2026.08.20 08.57.44</t>
  </si>
  <si>
    <t xml:space="preserve">    Active:   2026.08.20 08.51.37</t>
  </si>
  <si>
    <t xml:space="preserve">    Active:   2026.08.20 08.42.00</t>
  </si>
  <si>
    <t xml:space="preserve">  Flex - HeatingControl.L1 menovesi poikkeamahäl.</t>
  </si>
  <si>
    <t xml:space="preserve">    Active:   2026.08.20 18.56.36</t>
  </si>
  <si>
    <t xml:space="preserve">    Active:   2026.08.20 21.49.27</t>
  </si>
  <si>
    <t xml:space="preserve">    Active:   2026.08.20 19.15.37</t>
  </si>
  <si>
    <t xml:space="preserve">    Active:   2026.08.20 13.38.37</t>
  </si>
  <si>
    <t xml:space="preserve">    Active:   2026.08.20 09.43.40</t>
  </si>
  <si>
    <t xml:space="preserve">    Active:   2026.08.20 22.05.48</t>
  </si>
  <si>
    <t xml:space="preserve">    Active:   2026.08.20 21.04.12</t>
  </si>
  <si>
    <t>Kajaani Säästörinne Total</t>
  </si>
  <si>
    <t xml:space="preserve">    Active:   2026.08.20 16.18.49</t>
  </si>
  <si>
    <t>Kajaani Lohtajankatu 13 Total</t>
  </si>
  <si>
    <t xml:space="preserve">  FLEX - HeatingControl.L1 painehälytys</t>
  </si>
  <si>
    <t xml:space="preserve">    Active:   2026.08.20 14.55.46</t>
  </si>
  <si>
    <t>Kajaani Kiskokoto Total</t>
  </si>
  <si>
    <t xml:space="preserve">    Active:   2026.08.20 12.59.00</t>
  </si>
  <si>
    <t xml:space="preserve">  VAK2 - Poikkeamahälytys</t>
  </si>
  <si>
    <t xml:space="preserve">    Active:   2026.08.23 12.10.48</t>
  </si>
  <si>
    <t xml:space="preserve">    Active:   2026.08.23 11.14.11</t>
  </si>
  <si>
    <t xml:space="preserve">    Active:   2026.08.23 10.06.21</t>
  </si>
  <si>
    <t xml:space="preserve">    Active:   2026.08.23 08.13.22</t>
  </si>
  <si>
    <t xml:space="preserve">    Active:   2026.08.24 15.47.59</t>
  </si>
  <si>
    <t xml:space="preserve">    Active:   2026.08.24 11.18.39</t>
  </si>
  <si>
    <t xml:space="preserve">    Active:   2026.08.22 16.50.05</t>
  </si>
  <si>
    <t xml:space="preserve">    Active:   2026.08.21 18.29.15</t>
  </si>
  <si>
    <t xml:space="preserve">    Active:   2026.08.21 15.29.20</t>
  </si>
  <si>
    <t xml:space="preserve">    Active:   2026.08.25 04.06.42</t>
  </si>
  <si>
    <t xml:space="preserve">    Cleared: 2026.08.25 04.06.19</t>
  </si>
  <si>
    <t xml:space="preserve">    Active:   2026.08.24 19.56.04</t>
  </si>
  <si>
    <t xml:space="preserve">    Cleared: 2026.08.24 19.55.38</t>
  </si>
  <si>
    <t xml:space="preserve">    Active:   2026.08.24 18.17.39</t>
  </si>
  <si>
    <t xml:space="preserve">    Cleared: 2026.08.24 18.17.19</t>
  </si>
  <si>
    <t xml:space="preserve">    Active:   2026.08.24 15.33.32</t>
  </si>
  <si>
    <t xml:space="preserve">    Cleared: 2026.08.24 15.33.06</t>
  </si>
  <si>
    <t xml:space="preserve">    Active:   2026.08.24 13.47.37</t>
  </si>
  <si>
    <t xml:space="preserve">    Cleared: 2026.08.24 13.47.12</t>
  </si>
  <si>
    <t xml:space="preserve">    Active:   2026.08.24 12.52.12</t>
  </si>
  <si>
    <t xml:space="preserve">    Cleared: 2026.08.24 12.51.52</t>
  </si>
  <si>
    <t xml:space="preserve">    Active:   2026.08.24 11.18.57</t>
  </si>
  <si>
    <t xml:space="preserve">    Cleared: 2026.08.24 11.18.34</t>
  </si>
  <si>
    <t xml:space="preserve">    Active:   2026.08.24 10.34.17</t>
  </si>
  <si>
    <t xml:space="preserve">    Cleared: 2026.08.24 10.33.57</t>
  </si>
  <si>
    <t xml:space="preserve">    Active:   2026.08.24 09.56.51</t>
  </si>
  <si>
    <t xml:space="preserve">    Cleared: 2026.08.24 09.56.24</t>
  </si>
  <si>
    <t xml:space="preserve">    Active:   2026.08.24 09.06.00</t>
  </si>
  <si>
    <t xml:space="preserve">    Cleared: 2026.08.24 09.05.33</t>
  </si>
  <si>
    <t xml:space="preserve">    Active:   2026.08.23 21.18.43</t>
  </si>
  <si>
    <t xml:space="preserve">    Cleared: 2026.08.23 21.18.24</t>
  </si>
  <si>
    <t xml:space="preserve">    Active:   2026.08.23 16.38.04</t>
  </si>
  <si>
    <t xml:space="preserve">    Cleared: 2026.08.23 16.37.44</t>
  </si>
  <si>
    <t xml:space="preserve">    Active:   2026.08.23 10.33.57</t>
  </si>
  <si>
    <t xml:space="preserve">    Cleared: 2026.08.23 10.33.33</t>
  </si>
  <si>
    <t xml:space="preserve">    Active:   2026.08.23 03.31.28</t>
  </si>
  <si>
    <t xml:space="preserve">    Cleared: 2026.08.23 03.31.16</t>
  </si>
  <si>
    <t xml:space="preserve">    Active:   2026.08.22 21.24.23</t>
  </si>
  <si>
    <t xml:space="preserve">    Cleared: 2026.08.22 21.24.05</t>
  </si>
  <si>
    <t xml:space="preserve">    Active:   2026.08.22 18.56.58</t>
  </si>
  <si>
    <t xml:space="preserve">    Cleared: 2026.08.22 18.56.42</t>
  </si>
  <si>
    <t xml:space="preserve">    Active:   2026.08.22 18.10.04</t>
  </si>
  <si>
    <t xml:space="preserve">    Cleared: 2026.08.22 18.09.45</t>
  </si>
  <si>
    <t xml:space="preserve">    Active:   2026.08.22 17.07.51</t>
  </si>
  <si>
    <t xml:space="preserve">    Cleared: 2026.08.22 17.07.30</t>
  </si>
  <si>
    <t xml:space="preserve">    Active:   2026.08.22 14.44.21</t>
  </si>
  <si>
    <t xml:space="preserve">    Cleared: 2026.08.22 14.43.59</t>
  </si>
  <si>
    <t xml:space="preserve">    Active:   2026.08.22 12.23.48</t>
  </si>
  <si>
    <t xml:space="preserve">    Cleared: 2026.08.22 12.23.24</t>
  </si>
  <si>
    <t xml:space="preserve">    Active:   2026.08.22 11.28.50</t>
  </si>
  <si>
    <t xml:space="preserve">    Cleared: 2026.08.22 11.28.29</t>
  </si>
  <si>
    <t xml:space="preserve">    Active:   2026.08.22 08.08.31</t>
  </si>
  <si>
    <t xml:space="preserve">    Cleared: 2026.08.22 08.08.10</t>
  </si>
  <si>
    <t xml:space="preserve">    Active:   2026.08.22 00.14.01</t>
  </si>
  <si>
    <t xml:space="preserve">    Cleared: 2026.08.22 00.13.43</t>
  </si>
  <si>
    <t xml:space="preserve">    Active:   2026.08.21 19.43.55</t>
  </si>
  <si>
    <t xml:space="preserve">    Cleared: 2026.08.21 19.43.33</t>
  </si>
  <si>
    <t xml:space="preserve">    Active:   2026.08.21 18.14.22</t>
  </si>
  <si>
    <t xml:space="preserve">    Cleared: 2026.08.21 18.13.58</t>
  </si>
  <si>
    <t xml:space="preserve">    Active:   2026.08.21 16.26.55</t>
  </si>
  <si>
    <t xml:space="preserve">    Cleared: 2026.08.21 16.26.34</t>
  </si>
  <si>
    <t xml:space="preserve">    Active:   2026.08.21 13.36.44</t>
  </si>
  <si>
    <t xml:space="preserve">    Cleared: 2026.08.21 13.36.23</t>
  </si>
  <si>
    <t xml:space="preserve">    Active:   2026.08.21 12.21.59</t>
  </si>
  <si>
    <t xml:space="preserve">    Cleared: 2026.08.21 12.21.38</t>
  </si>
  <si>
    <t xml:space="preserve">    Active:   2026.08.21 10.59.38</t>
  </si>
  <si>
    <t xml:space="preserve">    Cleared: 2026.08.21 10.59.16</t>
  </si>
  <si>
    <t xml:space="preserve">    Active:   2026.08.21 10.31.25</t>
  </si>
  <si>
    <t xml:space="preserve">    Cleared: 2026.08.21 10.31.08</t>
  </si>
  <si>
    <t xml:space="preserve">    Active:   2026.08.21 09.55.11</t>
  </si>
  <si>
    <t xml:space="preserve">    Cleared: 2026.08.21 09.54.55</t>
  </si>
  <si>
    <t xml:space="preserve">    Active:   2026.08.21 06.35.08</t>
  </si>
  <si>
    <t xml:space="preserve">    Cleared: 2026.08.21 06.34.45</t>
  </si>
  <si>
    <t xml:space="preserve">    Cleared: 2026.08.25 05.10.45</t>
  </si>
  <si>
    <t xml:space="preserve">    Active:   2026.08.24 20.43.20</t>
  </si>
  <si>
    <t xml:space="preserve">    Cleared: 2026.08.24 05.10.39</t>
  </si>
  <si>
    <t xml:space="preserve">    Active:   2026.08.22 20.33.15</t>
  </si>
  <si>
    <t xml:space="preserve">    Cleared: 2026.08.22 05.10.46</t>
  </si>
  <si>
    <t xml:space="preserve">    Active:   2026.08.21 20.43.26</t>
  </si>
  <si>
    <t xml:space="preserve">    Cleared: 2026.08.21 05.10.39</t>
  </si>
  <si>
    <t xml:space="preserve">    Active:   2026.08.23 02.03.19</t>
  </si>
  <si>
    <t xml:space="preserve">    Active:   2026.08.22 02.05.00</t>
  </si>
  <si>
    <t xml:space="preserve">    Active:   2026.08.21 02.04.29</t>
  </si>
  <si>
    <t xml:space="preserve">    Active:   2026.08.25 07.43.19</t>
  </si>
  <si>
    <t xml:space="preserve">    Active:   2026.08.24 05.30.08</t>
  </si>
  <si>
    <t xml:space="preserve">    Active:   2026.08.24 02.21.52</t>
  </si>
  <si>
    <t xml:space="preserve">    Active:   2026.08.24 01.27.40</t>
  </si>
  <si>
    <t xml:space="preserve">    Active:   2026.08.24 01.04.26</t>
  </si>
  <si>
    <t xml:space="preserve">    Active:   2026.08.24 01.01.34</t>
  </si>
  <si>
    <t xml:space="preserve">    Active:   2026.08.24 00.34.51</t>
  </si>
  <si>
    <t xml:space="preserve">    Active:   2026.08.24 00.11.16</t>
  </si>
  <si>
    <t xml:space="preserve">    Active:   2026.08.23 23.54.58</t>
  </si>
  <si>
    <t xml:space="preserve">    Active:   2026.08.23 23.34.22</t>
  </si>
  <si>
    <t xml:space="preserve">    Active:   2026.08.23 23.03.40</t>
  </si>
  <si>
    <t xml:space="preserve">    Active:   2026.08.23 22.52.28</t>
  </si>
  <si>
    <t xml:space="preserve">    Active:   2026.08.23 22.48.43</t>
  </si>
  <si>
    <t xml:space="preserve">    Active:   2026.08.23 22.11.54</t>
  </si>
  <si>
    <t xml:space="preserve">    Active:   2026.08.23 22.04.51</t>
  </si>
  <si>
    <t xml:space="preserve">    Active:   2026.08.23 21.48.47</t>
  </si>
  <si>
    <t xml:space="preserve">    Active:   2026.08.23 21.40.21</t>
  </si>
  <si>
    <t xml:space="preserve">    Active:   2026.08.23 21.05.11</t>
  </si>
  <si>
    <t xml:space="preserve">    Active:   2026.08.23 21.02.31</t>
  </si>
  <si>
    <t xml:space="preserve">    Active:   2026.08.23 20.58.36</t>
  </si>
  <si>
    <t xml:space="preserve">    Active:   2026.08.23 20.45.40</t>
  </si>
  <si>
    <t xml:space="preserve">    Active:   2026.08.23 20.32.01</t>
  </si>
  <si>
    <t xml:space="preserve">    Active:   2026.08.23 19.45.29</t>
  </si>
  <si>
    <t xml:space="preserve">    Active:   2026.08.23 19.37.24</t>
  </si>
  <si>
    <t xml:space="preserve">    Active:   2026.08.23 13.01.47</t>
  </si>
  <si>
    <t xml:space="preserve">    Active:   2026.08.23 03.25.58</t>
  </si>
  <si>
    <t xml:space="preserve">    Active:   2026.08.21 23.36.05</t>
  </si>
  <si>
    <t xml:space="preserve">    Active:   2026.08.21 17.41.35</t>
  </si>
  <si>
    <t xml:space="preserve">    Active:   2026.08.21 11.09.29</t>
  </si>
  <si>
    <t xml:space="preserve">    Active:   2026.08.25 07.28.05</t>
  </si>
  <si>
    <t xml:space="preserve">    Active:   2026.08.24 18.55.35</t>
  </si>
  <si>
    <t xml:space="preserve">    Active:   2026.08.22 20.43.48</t>
  </si>
  <si>
    <t xml:space="preserve">    Active:   2026.08.22 19.00.26</t>
  </si>
  <si>
    <t xml:space="preserve">    Active:   2026.08.21 20.46.00</t>
  </si>
  <si>
    <t xml:space="preserve">    Active:   2026.08.21 19.20.26</t>
  </si>
  <si>
    <t xml:space="preserve">  VAK11 - TK1 LP Pumppu SEIS</t>
  </si>
  <si>
    <t xml:space="preserve">    Cleared: 2026.08.22 14.07.52</t>
  </si>
  <si>
    <t xml:space="preserve">    Active:   2026.08.22 07.36.52</t>
  </si>
  <si>
    <t xml:space="preserve">  VAK11 - Hissin edusta ovi auki</t>
  </si>
  <si>
    <t xml:space="preserve">    Cleared: 2026.08.21 17.34.15</t>
  </si>
  <si>
    <t xml:space="preserve">    Active:   2026.08.21 16.13.08</t>
  </si>
  <si>
    <t xml:space="preserve">    Active:   2026.08.22 13.46.44</t>
  </si>
  <si>
    <t xml:space="preserve">    Active:   2026.08.22 13.23.39</t>
  </si>
  <si>
    <t xml:space="preserve">    Active:   2026.08.22 12.52.02</t>
  </si>
  <si>
    <t xml:space="preserve">    Active:   2026.08.22 12.47.13</t>
  </si>
  <si>
    <t xml:space="preserve">    Active:   2026.08.22 12.17.40</t>
  </si>
  <si>
    <t xml:space="preserve">    Active:   2026.08.22 10.49.54</t>
  </si>
  <si>
    <t xml:space="preserve">    Active:   2026.08.22 09.36.29</t>
  </si>
  <si>
    <t xml:space="preserve">    Active:   2026.08.21 16.45.09</t>
  </si>
  <si>
    <t xml:space="preserve">    Active:   2026.08.21 16.13.44</t>
  </si>
  <si>
    <t xml:space="preserve">    Active:   2026.08.21 15.36.48</t>
  </si>
  <si>
    <t xml:space="preserve">    Active:   2026.08.21 14.54.57</t>
  </si>
  <si>
    <t xml:space="preserve">    Active:   2026.08.21 13.48.18</t>
  </si>
  <si>
    <t xml:space="preserve">    Active:   2026.08.21 09.17.14</t>
  </si>
  <si>
    <t xml:space="preserve">    Active:   2026.08.24 22.04.05</t>
  </si>
  <si>
    <t xml:space="preserve">    Active:   2026.08.23 22.04.05</t>
  </si>
  <si>
    <t xml:space="preserve">    Active:   2026.08.22 22.04.45</t>
  </si>
  <si>
    <t xml:space="preserve">    Active:   2026.08.21 22.07.06</t>
  </si>
  <si>
    <t xml:space="preserve">    Active:   2026.08.24 21.02.19</t>
  </si>
  <si>
    <t xml:space="preserve">    Active:   2026.08.23 21.04.21</t>
  </si>
  <si>
    <t xml:space="preserve">    Active:   2026.08.22 21.04.48</t>
  </si>
  <si>
    <t xml:space="preserve">    Active:   2026.08.21 21.05.05</t>
  </si>
  <si>
    <t xml:space="preserve">    Active:   2026.08.24 12.13.45</t>
  </si>
  <si>
    <t xml:space="preserve">    Active:   2026.08.24 08.57.52</t>
  </si>
  <si>
    <t xml:space="preserve">    Active:   2026.08.23 21.57.13</t>
  </si>
  <si>
    <t xml:space="preserve">    Active:   2026.08.23 12.06.19</t>
  </si>
  <si>
    <t xml:space="preserve">    Active:   2026.08.23 11.45.46</t>
  </si>
  <si>
    <t xml:space="preserve">    Active:   2026.08.23 10.48.34</t>
  </si>
  <si>
    <t xml:space="preserve">    Active:   2026.08.23 10.23.49</t>
  </si>
  <si>
    <t xml:space="preserve">    Active:   2026.08.23 10.18.32</t>
  </si>
  <si>
    <t xml:space="preserve">    Active:   2026.08.23 10.04.01</t>
  </si>
  <si>
    <t xml:space="preserve">    Active:   2026.08.23 09.50.24</t>
  </si>
  <si>
    <t xml:space="preserve">    Active:   2026.08.23 09.45.33</t>
  </si>
  <si>
    <t xml:space="preserve">    Active:   2026.08.23 04.25.40</t>
  </si>
  <si>
    <t xml:space="preserve">    Active:   2026.08.23 02.25.33</t>
  </si>
  <si>
    <t xml:space="preserve">    Active:   2026.08.21 12.23.41</t>
  </si>
  <si>
    <t xml:space="preserve">    Active:   2026.08.23 06.38.39</t>
  </si>
  <si>
    <t xml:space="preserve">    Active:   2026.08.22 14.31.38</t>
  </si>
  <si>
    <t xml:space="preserve">  WL-Base - No Response Alarm</t>
  </si>
  <si>
    <t xml:space="preserve">    Active:   2026.08.23 06.40.16</t>
  </si>
  <si>
    <t>Oulu Raksila Total</t>
  </si>
  <si>
    <t xml:space="preserve">  Flex - HotWaterControl.LV poikkeamahälytys</t>
  </si>
  <si>
    <t xml:space="preserve">    Active:   2026.08.25 05.27.31</t>
  </si>
  <si>
    <t>Oulu Suvantokulma (P) Total</t>
  </si>
  <si>
    <t xml:space="preserve">  Flex - OumanBlock.Huonemitt.2 pois väylältä</t>
  </si>
  <si>
    <t xml:space="preserve">    Active:   2026.08.23 20.08.47</t>
  </si>
  <si>
    <t>Oulu Paraatirensseli (P) Total</t>
  </si>
  <si>
    <t xml:space="preserve">    Active:   2026.08.23 13.15.49</t>
  </si>
  <si>
    <t>Oulun Ruustinna Total</t>
  </si>
  <si>
    <t xml:space="preserve">  FLEX - DomesticWaterMonitoring.Vesivuotohälytys</t>
  </si>
  <si>
    <t xml:space="preserve">    Active:   2026.08.23 09.42.19</t>
  </si>
  <si>
    <t>Kajaani Pajunkanto Total</t>
  </si>
  <si>
    <t xml:space="preserve">    Active:   2026.08.22 10.02.30</t>
  </si>
  <si>
    <t>Hälytys - VAK4.MB1_ADDR6_TK3_PE01.A3 2026.08.31 22</t>
  </si>
  <si>
    <t>2026.08.31</t>
  </si>
  <si>
    <t>22.05.06</t>
  </si>
  <si>
    <t>00000000F4188C90990C1D4F9592A85831DCA99307001CDFA5E3617DAF4D8529086EB3E4B6EC00000000010C00001CDFA5E3617DAF4D8529086EB3E4B6EC0000C939BEE30000</t>
  </si>
  <si>
    <t>31/08/2026</t>
  </si>
  <si>
    <t>Hälytys - KK31.VAK2.PF05.PF05PE02.1.A2 2026.08.31 21</t>
  </si>
  <si>
    <t>21.10.13</t>
  </si>
  <si>
    <t>00000000F4188C90990C1D4F9592A85831DCA99307001CDFA5E3617DAF4D8529086EB3E4B6EC00000000010C00001CDFA5E3617DAF4D8529086EB3E4B6EC0000C939BEE20000</t>
  </si>
  <si>
    <t>Hälytys - VAK4.MB1_ADDR5_TK2_TK2_PE01.A3 2026.08.31 21</t>
  </si>
  <si>
    <t>21.03.30</t>
  </si>
  <si>
    <t>00000000F4188C90990C1D4F9592A85831DCA99307001CDFA5E3617DAF4D8529086EB3E4B6EC00000000010C00001CDFA5E3617DAF4D8529086EB3E4B6EC0000C939BEE10000</t>
  </si>
  <si>
    <t>Hälytys - VAK4.MB2_WL_BaseVAK4_Alarm2.A 2026.08.31 20</t>
  </si>
  <si>
    <t>20.43.43</t>
  </si>
  <si>
    <t>00000000F4188C90990C1D4F9592A85831DCA99307001CDFA5E3617DAF4D8529086EB3E4B6EC00000000010C00001CDFA5E3617DAF4D8529086EB3E4B6EC0000C939BEE00000</t>
  </si>
  <si>
    <t>Hälytys - ID_5798719 2026.08.31 20</t>
  </si>
  <si>
    <t>20.30.32</t>
  </si>
  <si>
    <t>00000000F4188C90990C1D4F9592A85831DCA99307001CDFA5E3617DAF4D8529086EB3E4B6EC00000000010C00001CDFA5E3617DAF4D8529086EB3E4B6EC0000C939BEDF0000</t>
  </si>
  <si>
    <t>Hälytys - VAK8.JVP_F.HÄL1.DA0 2026.08.31 20</t>
  </si>
  <si>
    <t>20.27.33</t>
  </si>
  <si>
    <t>00000000F4188C90990C1D4F9592A85831DCA99307001CDFA5E3617DAF4D8529086EB3E4B6EC00000000010C00001CDFA5E3617DAF4D8529086EB3E4B6EC0000C939BEDE0000</t>
  </si>
  <si>
    <t>Poistunut hälytys - VAK8.JVP_F.HÄL1.DA0 2026.08.31 20</t>
  </si>
  <si>
    <t>20.27.06</t>
  </si>
  <si>
    <t>00000000F4188C90990C1D4F9592A85831DCA99307001CDFA5E3617DAF4D8529086EB3E4B6EC00000000010C00001CDFA5E3617DAF4D8529086EB3E4B6EC0000C939BEDD0000</t>
  </si>
  <si>
    <t>Hälytys - KK31.VAK2.PF05.PF05PE02.1.A2 2026.08.31 20</t>
  </si>
  <si>
    <t>20.25.01</t>
  </si>
  <si>
    <t>00000000F4188C90990C1D4F9592A85831DCA99307001CDFA5E3617DAF4D8529086EB3E4B6EC00000000010C00001CDFA5E3617DAF4D8529086EB3E4B6EC0000C939BEDC0000</t>
  </si>
  <si>
    <t>Hälytys - ID_5718927 2026.08.31 20</t>
  </si>
  <si>
    <t>20.19.08</t>
  </si>
  <si>
    <t>00000000F4188C90990C1D4F9592A85831DCA99307001CDFA5E3617DAF4D8529086EB3E4B6EC00000000010C00001CDFA5E3617DAF4D8529086EB3E4B6EC0000C939BEDB0000</t>
  </si>
  <si>
    <t>Hälytys - KK31.VAK2.PF05.PF05PE02.1.A2 2026.08.31 19</t>
  </si>
  <si>
    <t>19.51.16</t>
  </si>
  <si>
    <t>00000000F4188C90990C1D4F9592A85831DCA99307001CDFA5E3617DAF4D8529086EB3E4B6EC00000000010C00001CDFA5E3617DAF4D8529086EB3E4B6EC0000C939BEDA0000</t>
  </si>
  <si>
    <t>19.40.18</t>
  </si>
  <si>
    <t>00000000F4188C90990C1D4F9592A85831DCA99307001CDFA5E3617DAF4D8529086EB3E4B6EC00000000010C00001CDFA5E3617DAF4D8529086EB3E4B6EC0000C939BED90000</t>
  </si>
  <si>
    <t>Hälytys - LM1.MB3_ADDR10_FlexM__Error.A 2026.08.31 19</t>
  </si>
  <si>
    <t>19.33.17</t>
  </si>
  <si>
    <t>00000000F4188C90990C1D4F9592A85831DCA99307001CDFA5E3617DAF4D8529086EB3E4B6EC00000000010C00001CDFA5E3617DAF4D8529086EB3E4B6EC0000C939BED80000</t>
  </si>
  <si>
    <t>Hälytys - LM1.L1.TE41_L1.A2 2026.08.31 17</t>
  </si>
  <si>
    <t>17.34.42</t>
  </si>
  <si>
    <t>00000000F4188C90990C1D4F9592A85831DCA99307001CDFA5E3617DAF4D8529086EB3E4B6EC00000000010C00001CDFA5E3617DAF4D8529086EB3E4B6EC0000C939BED70000</t>
  </si>
  <si>
    <t>Hälytys - VAK8.JVP_F.HÄL1.DA0 2026.08.31 15</t>
  </si>
  <si>
    <t>15.58.29</t>
  </si>
  <si>
    <t>00000000F4188C90990C1D4F9592A85831DCA99307001CDFA5E3617DAF4D8529086EB3E4B6EC00000000010C00001CDFA5E3617DAF4D8529086EB3E4B6EC0000C939BED60000</t>
  </si>
  <si>
    <t>Poistunut hälytys - VAK8.JVP_F.HÄL1.DA0 2026.08.31 15</t>
  </si>
  <si>
    <t>15.58.03</t>
  </si>
  <si>
    <t>00000000F4188C90990C1D4F9592A85831DCA99307001CDFA5E3617DAF4D8529086EB3E4B6EC00000000010C00001CDFA5E3617DAF4D8529086EB3E4B6EC0000C939BED50000</t>
  </si>
  <si>
    <t>Hälytys - VAK8.JVP_F.HÄL1.DA0 2026.08.31 13</t>
  </si>
  <si>
    <t>13.06.30</t>
  </si>
  <si>
    <t>00000000F4188C90990C1D4F9592A85831DCA99307001CDFA5E3617DAF4D8529086EB3E4B6EC00000000010C00001CDFA5E3617DAF4D8529086EB3E4B6EC0000C939BED40000</t>
  </si>
  <si>
    <t>Poistunut hälytys - VAK8.JVP_F.HÄL1.DA0 2026.08.31 13</t>
  </si>
  <si>
    <t>13.05.55</t>
  </si>
  <si>
    <t>00000000F4188C90990C1D4F9592A85831DCA99307001CDFA5E3617DAF4D8529086EB3E4B6EC00000000010C00001CDFA5E3617DAF4D8529086EB3E4B6EC0000C939BED30000</t>
  </si>
  <si>
    <t>Kajaani Tehdaskatu 8,Flex</t>
  </si>
  <si>
    <t>Hälytys - ID_6129670 2026.08.31 11</t>
  </si>
  <si>
    <t>11.53.27</t>
  </si>
  <si>
    <t>Hälytys : Kajaani Tehdaskatu 8</t>
  </si>
  <si>
    <t>00000000F4188C90990C1D4F9592A85831DCA99307001CDFA5E3617DAF4D8529086EB3E4B6EC00000000010C00001CDFA5E3617DAF4D8529086EB3E4B6EC0000C939BED20000</t>
  </si>
  <si>
    <t>Hälytys - LM1.MB3_ADDR10_FlexM__Error.A 2026.08.31 11</t>
  </si>
  <si>
    <t>11.25.49</t>
  </si>
  <si>
    <t>00000000F4188C90990C1D4F9592A85831DCA99307001CDFA5E3617DAF4D8529086EB3E4B6EC00000000010C00001CDFA5E3617DAF4D8529086EB3E4B6EC0000C939BED10000</t>
  </si>
  <si>
    <t>Hälytys - ID_4716145 2026.08.31 11</t>
  </si>
  <si>
    <t>11.05.09</t>
  </si>
  <si>
    <t>00000000F4188C90990C1D4F9592A85831DCA99307001CDFA5E3617DAF4D8529086EB3E4B6EC00000000010C00001CDFA5E3617DAF4D8529086EB3E4B6EC0000C939BED00000</t>
  </si>
  <si>
    <t>Hälytys - VAK8.JVP_F.HÄL1.DA0 2026.08.31 10</t>
  </si>
  <si>
    <t>10.58.19</t>
  </si>
  <si>
    <t>00000000F4188C90990C1D4F9592A85831DCA99307001CDFA5E3617DAF4D8529086EB3E4B6EC00000000010C00001CDFA5E3617DAF4D8529086EB3E4B6EC0000C939BECF0000</t>
  </si>
  <si>
    <t>Poistunut hälytys - VAK8.JVP_F.HÄL1.DA0 2026.08.31 10</t>
  </si>
  <si>
    <t>10.58.00</t>
  </si>
  <si>
    <t>00000000F4188C90990C1D4F9592A85831DCA99307001CDFA5E3617DAF4D8529086EB3E4B6EC00000000010C00001CDFA5E3617DAF4D8529086EB3E4B6EC0000C939BECE0000</t>
  </si>
  <si>
    <t>Hälytys - ID_4716145 2026.08.31 10</t>
  </si>
  <si>
    <t>10.11.20</t>
  </si>
  <si>
    <t>00000000F4188C90990C1D4F9592A85831DCA99307001CDFA5E3617DAF4D8529086EB3E4B6EC00000000010C00001CDFA5E3617DAF4D8529086EB3E4B6EC0000C939BECD0000</t>
  </si>
  <si>
    <t>10.01.05</t>
  </si>
  <si>
    <t>00000000F4188C90990C1D4F9592A85831DCA99307001CDFA5E3617DAF4D8529086EB3E4B6EC00000000010C00001CDFA5E3617DAF4D8529086EB3E4B6EC0000C939BECC0000</t>
  </si>
  <si>
    <t>Hälytys - ID_4716145 2026.08.31 09</t>
  </si>
  <si>
    <t>09.48.44</t>
  </si>
  <si>
    <t>00000000F4188C90990C1D4F9592A85831DCA99307001CDFA5E3617DAF4D8529086EB3E4B6EC00000000010C00001CDFA5E3617DAF4D8529086EB3E4B6EC0000C939BECB0000</t>
  </si>
  <si>
    <t>09.26.43</t>
  </si>
  <si>
    <t>00000000F4188C90990C1D4F9592A85831DCA99307001CDFA5E3617DAF4D8529086EB3E4B6EC00000000010C00001CDFA5E3617DAF4D8529086EB3E4B6EC0000C939BECA0000</t>
  </si>
  <si>
    <t>Hälytys - VAK8.JVP_F.HÄL1.DA0 2026.08.31 09</t>
  </si>
  <si>
    <t>09.26.15</t>
  </si>
  <si>
    <t>00000000F4188C90990C1D4F9592A85831DCA99307001CDFA5E3617DAF4D8529086EB3E4B6EC00000000010C00001CDFA5E3617DAF4D8529086EB3E4B6EC0000C939BEC90000</t>
  </si>
  <si>
    <t>Poistunut hälytys - VAK8.JVP_F.HÄL1.DA0 2026.08.31 09</t>
  </si>
  <si>
    <t>09.25.56</t>
  </si>
  <si>
    <t>00000000F4188C90990C1D4F9592A85831DCA99307001CDFA5E3617DAF4D8529086EB3E4B6EC00000000010C00001CDFA5E3617DAF4D8529086EB3E4B6EC0000C939BEC80000</t>
  </si>
  <si>
    <t>Oulu Helatorni,FLEX</t>
  </si>
  <si>
    <t>Hälytys - ID_4736585 2026.08.31 08</t>
  </si>
  <si>
    <t>08.06.19</t>
  </si>
  <si>
    <t>Hälytys : Oulu Helatorni</t>
  </si>
  <si>
    <t>00000000F4188C90990C1D4F9592A85831DCA99307001CDFA5E3617DAF4D8529086EB3E4B6EC00000000010C00001CDFA5E3617DAF4D8529086EB3E4B6EC0000C939BEC70000</t>
  </si>
  <si>
    <t>Sotkamo Kanervatie 4 ja 6,FLEX</t>
  </si>
  <si>
    <t>08.06.13</t>
  </si>
  <si>
    <t>Hälytys : Sotkamo Kanervatie 4 ja 6</t>
  </si>
  <si>
    <t>00000000F4188C90990C1D4F9592A85831DCA99307001CDFA5E3617DAF4D8529086EB3E4B6EC00000000010C00001CDFA5E3617DAF4D8529086EB3E4B6EC0000C939BEC60000</t>
  </si>
  <si>
    <t>Sotkamo Vuokatinluhti 1,FLEX</t>
  </si>
  <si>
    <t>Hälytys - DeviceNoResponseAlarm 2026.08.31 08</t>
  </si>
  <si>
    <t>08.06.00</t>
  </si>
  <si>
    <t>Hälytys : Sotkamo Vuokatinluhti 1</t>
  </si>
  <si>
    <t>00000000F4188C90990C1D4F9592A85831DCA99307001CDFA5E3617DAF4D8529086EB3E4B6EC00000000010C00001CDFA5E3617DAF4D8529086EB3E4B6EC0000C939BEC50000</t>
  </si>
  <si>
    <t>Kajaani Pohjolankatu 22,FLEX</t>
  </si>
  <si>
    <t>Alarm - ID_4736585 2026.08.31 08</t>
  </si>
  <si>
    <t>08.05.59</t>
  </si>
  <si>
    <t>Alarm : Kajaani Pohjolankatu 22</t>
  </si>
  <si>
    <t>00000000F4188C90990C1D4F9592A85831DCA99307001CDFA5E3617DAF4D8529086EB3E4B6EC00000000010C00001CDFA5E3617DAF4D8529086EB3E4B6EC0000C939BEC40000</t>
  </si>
  <si>
    <t>Vaalan alakoulu (P),FLEX</t>
  </si>
  <si>
    <t>Hälytys - ID_2457360 2026.08.31 08</t>
  </si>
  <si>
    <t>08.04.07</t>
  </si>
  <si>
    <t>Hälytys : Vaalan alakoulu (P)</t>
  </si>
  <si>
    <t>00000000F4188C90990C1D4F9592A85831DCA99307001CDFA5E3617DAF4D8529086EB3E4B6EC00000000010C00001CDFA5E3617DAF4D8529086EB3E4B6EC0000C939BEC30000</t>
  </si>
  <si>
    <t>Poistunut hälytys - VAK4.MB2_WL_BaseVAK4_Alarm2.A 2026.08.31 05</t>
  </si>
  <si>
    <t>05.10.59</t>
  </si>
  <si>
    <t>00000000F4188C90990C1D4F9592A85831DCA99307001CDFA5E3617DAF4D8529086EB3E4B6EC00000000010C00001CDFA5E3617DAF4D8529086EB3E4B6EC0000C939BEC20000</t>
  </si>
  <si>
    <t>Hälytys - VK33.VAK1.4TK1.FlowAlarm_A.A 2026.08.31 02</t>
  </si>
  <si>
    <t>02.13.23</t>
  </si>
  <si>
    <t>00000000F4188C90990C1D4F9592A85831DCA99307001CDFA5E3617DAF4D8529086EB3E4B6EC00000000010C00001CDFA5E3617DAF4D8529086EB3E4B6EC0000C939BEC10000</t>
  </si>
  <si>
    <t>Hälytys - DeviceNoResponseAlarm 2026.08.31 01</t>
  </si>
  <si>
    <t>01.35.43</t>
  </si>
  <si>
    <t>00000000F4188C90990C1D4F9592A85831DCA99307001CDFA5E3617DAF4D8529086EB3E4B6EC00000000010C00001CDFA5E3617DAF4D8529086EB3E4B6EC0000C939BEC00000</t>
  </si>
  <si>
    <t>Hälytys - ID_2457360 2026.08.31 01</t>
  </si>
  <si>
    <t>01.05.07</t>
  </si>
  <si>
    <t>00000000F4188C90990C1D4F9592A85831DCA99307001CDFA5E3617DAF4D8529086EB3E4B6EC00000000010C00001CDFA5E3617DAF4D8529086EB3E4B6EC0000C939BEBF0000</t>
  </si>
  <si>
    <t>Alarm - ID_4736585 2026.08.31 01</t>
  </si>
  <si>
    <t>01.04.53</t>
  </si>
  <si>
    <t>00000000F4188C90990C1D4F9592A85831DCA99307001CDFA5E3617DAF4D8529086EB3E4B6EC00000000010C00001CDFA5E3617DAF4D8529086EB3E4B6EC0000C939BEBE0000</t>
  </si>
  <si>
    <t>Raahe Saaristokatu 54,FLEX</t>
  </si>
  <si>
    <t>01.04.46</t>
  </si>
  <si>
    <t>Hälytys : Raahe Saaristokatu 54</t>
  </si>
  <si>
    <t>00000000F4188C90990C1D4F9592A85831DCA99307001CDFA5E3617DAF4D8529086EB3E4B6EC00000000010C00001CDFA5E3617DAF4D8529086EB3E4B6EC0000C939BEBD0000</t>
  </si>
  <si>
    <t>Tornionväylä,FLEX</t>
  </si>
  <si>
    <t>01.04.44</t>
  </si>
  <si>
    <t>Hälytys : Tornionväylä</t>
  </si>
  <si>
    <t>00000000F4188C90990C1D4F9592A85831DCA99307001CDFA5E3617DAF4D8529086EB3E4B6EC00000000010C00001CDFA5E3617DAF4D8529086EB3E4B6EC0000C939BEBC0000</t>
  </si>
  <si>
    <t>Hälytys - ID_4736585 2026.08.31 01</t>
  </si>
  <si>
    <t>01.04.36</t>
  </si>
  <si>
    <t>00000000F4188C90990C1D4F9592A85831DCA99307001CDFA5E3617DAF4D8529086EB3E4B6EC00000000010C00001CDFA5E3617DAF4D8529086EB3E4B6EC0000C939BEBB0000</t>
  </si>
  <si>
    <t>Oulu Voimanuotta,FLEX</t>
  </si>
  <si>
    <t>Hälytys - ID_4687514 2026.08.31 01</t>
  </si>
  <si>
    <t>Hälytys : Oulu Voimanuotta</t>
  </si>
  <si>
    <t>00000000F4188C90990C1D4F9592A85831DCA99307001CDFA5E3617DAF4D8529086EB3E4B6EC00000000010C00001CDFA5E3617DAF4D8529086EB3E4B6EC0000C939BEBA0000</t>
  </si>
  <si>
    <t>01.04.30</t>
  </si>
  <si>
    <t>00000000F4188C90990C1D4F9592A85831DCA99307001CDFA5E3617DAF4D8529086EB3E4B6EC00000000010C00001CDFA5E3617DAF4D8529086EB3E4B6EC0000C939BEB90000</t>
  </si>
  <si>
    <t>01.04.35</t>
  </si>
  <si>
    <t>00000000F4188C90990C1D4F9592A85831DCA99307001CDFA5E3617DAF4D8529086EB3E4B6EC00000000010C00001CDFA5E3617DAF4D8529086EB3E4B6EC0000C939BEB80000</t>
  </si>
  <si>
    <t>Hälytys - VAK8.JVP_F.HÄL1.DA0 2026.08.30 23</t>
  </si>
  <si>
    <t>2026.08.30</t>
  </si>
  <si>
    <t>23.42.37</t>
  </si>
  <si>
    <t>00000000F4188C90990C1D4F9592A85831DCA99307001CDFA5E3617DAF4D8529086EB3E4B6EC00000000010C00001CDFA5E3617DAF4D8529086EB3E4B6EC0000C939BEB70000</t>
  </si>
  <si>
    <t>30/08/2026</t>
  </si>
  <si>
    <t>Poistunut hälytys - VAK8.JVP_F.HÄL1.DA0 2026.08.30 23</t>
  </si>
  <si>
    <t>23.42.22</t>
  </si>
  <si>
    <t>00000000F4188C90990C1D4F9592A85831DCA99307001CDFA5E3617DAF4D8529086EB3E4B6EC00000000010C00001CDFA5E3617DAF4D8529086EB3E4B6EC0000C939BEB60000</t>
  </si>
  <si>
    <t>Hälytys - VAK4.MB1_ADDR6_TK3_PE01.A3 2026.08.30 22</t>
  </si>
  <si>
    <t>22.04.27</t>
  </si>
  <si>
    <t>00000000F4188C90990C1D4F9592A85831DCA99307001CDFA5E3617DAF4D8529086EB3E4B6EC00000000010C00001CDFA5E3617DAF4D8529086EB3E4B6EC0000C939BEB50000</t>
  </si>
  <si>
    <t>Raahe Ollinsaarenrivi,FLEX</t>
  </si>
  <si>
    <t>Hälytys - LM1.L1.TE41_L1.A2 2026.08.30 21</t>
  </si>
  <si>
    <t>21.06.38</t>
  </si>
  <si>
    <t>Hälytys : Raahe Ollinsaarenrivi</t>
  </si>
  <si>
    <t>00000000F4188C90990C1D4F9592A85831DCA99307001CDFA5E3617DAF4D8529086EB3E4B6EC00000000010C00001CDFA5E3617DAF4D8529086EB3E4B6EC0000C939BEB40000</t>
  </si>
  <si>
    <t>Hälytys - VAK4.MB1_ADDR5_TK2_TK2_PE01.A3 2026.08.30 21</t>
  </si>
  <si>
    <t>21.05.33</t>
  </si>
  <si>
    <t>00000000F4188C90990C1D4F9592A85831DCA99307001CDFA5E3617DAF4D8529086EB3E4B6EC00000000010C00001CDFA5E3617DAF4D8529086EB3E4B6EC0000C939BEB30000</t>
  </si>
  <si>
    <t>Hälytys - LM1.L1.TE41_L1.A2 2026.08.30 19</t>
  </si>
  <si>
    <t>19.45.31</t>
  </si>
  <si>
    <t>00000000F4188C90990C1D4F9592A85831DCA99307001CDFA5E3617DAF4D8529086EB3E4B6EC00000000010C00001CDFA5E3617DAF4D8529086EB3E4B6EC0000C939BEB20000</t>
  </si>
  <si>
    <t>Hälytys - ID_4716145 2026.08.30 17</t>
  </si>
  <si>
    <t>17.36.35</t>
  </si>
  <si>
    <t>00000000F4188C90990C1D4F9592A85831DCA99307001CDFA5E3617DAF4D8529086EB3E4B6EC00000000010C00001CDFA5E3617DAF4D8529086EB3E4B6EC0000C939BEB10000</t>
  </si>
  <si>
    <t>OumanBlock.Huonemitt.5 pois väylältä</t>
  </si>
  <si>
    <t>Hälytys - EK03.H5.A1 2026.08.30 17</t>
  </si>
  <si>
    <t>17.22.30</t>
  </si>
  <si>
    <t>00000000F4188C90990C1D4F9592A85831DCA99307001CDFA5E3617DAF4D8529086EB3E4B6EC00000000010C00001CDFA5E3617DAF4D8529086EB3E4B6EC0000C939BEB00000</t>
  </si>
  <si>
    <t>Hälytys - VAK8.JVP_F.HÄL1.DA0 2026.08.30 16</t>
  </si>
  <si>
    <t>16.39.35</t>
  </si>
  <si>
    <t>00000000F4188C90990C1D4F9592A85831DCA99307001CDFA5E3617DAF4D8529086EB3E4B6EC00000000010C00001CDFA5E3617DAF4D8529086EB3E4B6EC0000C939BEAF0000</t>
  </si>
  <si>
    <t>Poistunut hälytys - VAK8.JVP_F.HÄL1.DA0 2026.08.30 16</t>
  </si>
  <si>
    <t>16.39.05</t>
  </si>
  <si>
    <t>00000000F4188C90990C1D4F9592A85831DCA99307001CDFA5E3617DAF4D8529086EB3E4B6EC00000000010C00001CDFA5E3617DAF4D8529086EB3E4B6EC0000C939BEAE0000</t>
  </si>
  <si>
    <t>Hälytys - ID_4716145 2026.08.30 16</t>
  </si>
  <si>
    <t>16.21.58</t>
  </si>
  <si>
    <t>00000000F4188C90990C1D4F9592A85831DCA99307001CDFA5E3617DAF4D8529086EB3E4B6EC00000000010C00001CDFA5E3617DAF4D8529086EB3E4B6EC0000C939BEAD0000</t>
  </si>
  <si>
    <t>Hälytys - LM1.MB3_ADDR10_FlexM__Error.A 2026.08.30 15</t>
  </si>
  <si>
    <t>15.46.04</t>
  </si>
  <si>
    <t>00000000F4188C90990C1D4F9592A85831DCA99307001CDFA5E3617DAF4D8529086EB3E4B6EC00000000010C00001CDFA5E3617DAF4D8529086EB3E4B6EC0000C939BEAC0000</t>
  </si>
  <si>
    <t>Hälytys - ID_4716145 2026.08.30 15</t>
  </si>
  <si>
    <t>15.09.48</t>
  </si>
  <si>
    <t>00000000F4188C90990C1D4F9592A85831DCA99307001CDFA5E3617DAF4D8529086EB3E4B6EC00000000010C00001CDFA5E3617DAF4D8529086EB3E4B6EC0000C939BEAB0000</t>
  </si>
  <si>
    <t>Hälytys - ID_4716145 2026.08.30 13</t>
  </si>
  <si>
    <t>13.29.25</t>
  </si>
  <si>
    <t>00000000F4188C90990C1D4F9592A85831DCA99307001CDFA5E3617DAF4D8529086EB3E4B6EC00000000010C00001CDFA5E3617DAF4D8529086EB3E4B6EC0000C939BEAA0000</t>
  </si>
  <si>
    <t>Hälytys - ID_4716145 2026.08.30 12</t>
  </si>
  <si>
    <t>12.53.18</t>
  </si>
  <si>
    <t>00000000F4188C90990C1D4F9592A85831DCA99307001CDFA5E3617DAF4D8529086EB3E4B6EC00000000010C00001CDFA5E3617DAF4D8529086EB3E4B6EC0000C939BEA90000</t>
  </si>
  <si>
    <t>Hälytys - VAK8.JVP_F.HÄL1.DA0 2026.08.30 07</t>
  </si>
  <si>
    <t>07.07.59</t>
  </si>
  <si>
    <t>00000000F4188C90990C1D4F9592A85831DCA99307001CDFA5E3617DAF4D8529086EB3E4B6EC00000000010C00001CDFA5E3617DAF4D8529086EB3E4B6EC0000C939BEA80000</t>
  </si>
  <si>
    <t>Poistunut hälytys - VAK8.JVP_F.HÄL1.DA0 2026.08.30 07</t>
  </si>
  <si>
    <t>07.07.36</t>
  </si>
  <si>
    <t>00000000F4188C90990C1D4F9592A85831DCA99307001CDFA5E3617DAF4D8529086EB3E4B6EC00000000010C00001CDFA5E3617DAF4D8529086EB3E4B6EC0000C939BEA70000</t>
  </si>
  <si>
    <t>Hälytys - VK33.VAK1.4TK1.FlowAlarm_A.A 2026.08.30 02</t>
  </si>
  <si>
    <t>02.48.41</t>
  </si>
  <si>
    <t>00000000F4188C90990C1D4F9592A85831DCA99307001CDFA5E3617DAF4D8529086EB3E4B6EC00000000010C00001CDFA5E3617DAF4D8529086EB3E4B6EC0000C939BEA60000</t>
  </si>
  <si>
    <t>Hälytys - ID_4716145 2026.08.30 02</t>
  </si>
  <si>
    <t>02.17.55</t>
  </si>
  <si>
    <t>00000000F4188C90990C1D4F9592A85831DCA99307001CDFA5E3617DAF4D8529086EB3E4B6EC00000000010C00001CDFA5E3617DAF4D8529086EB3E4B6EC0000C939BEA50000</t>
  </si>
  <si>
    <t>Hälytys - ID_4716145 2026.08.30 01</t>
  </si>
  <si>
    <t>01.53.58</t>
  </si>
  <si>
    <t>00000000F4188C90990C1D4F9592A85831DCA99307001CDFA5E3617DAF4D8529086EB3E4B6EC00000000010C00001CDFA5E3617DAF4D8529086EB3E4B6EC0000C939BEA40000</t>
  </si>
  <si>
    <t>01.31.41</t>
  </si>
  <si>
    <t>00000000F4188C90990C1D4F9592A85831DCA99307001CDFA5E3617DAF4D8529086EB3E4B6EC00000000010C00001CDFA5E3617DAF4D8529086EB3E4B6EC0000C939BEA30000</t>
  </si>
  <si>
    <t>01.15.22</t>
  </si>
  <si>
    <t>00000000F4188C90990C1D4F9592A85831DCA99307001CDFA5E3617DAF4D8529086EB3E4B6EC00000000010C00001CDFA5E3617DAF4D8529086EB3E4B6EC0000C939BEA20000</t>
  </si>
  <si>
    <t>Kauppakeskus Armada,VAK1.1</t>
  </si>
  <si>
    <t>Poistoilman paineen alaraja</t>
  </si>
  <si>
    <t>Hälytys - KK31.VAK1_1.13TK1.13PDE2.LL1 2026.08.30 00</t>
  </si>
  <si>
    <t>00.40.31</t>
  </si>
  <si>
    <t>00000000F4188C90990C1D4F9592A85831DCA99307001CDFA5E3617DAF4D8529086EB3E4B6EC00000000010C00001CDFA5E3617DAF4D8529086EB3E4B6EC0000C932160D0000</t>
  </si>
  <si>
    <t>Hälytys - ID_4716145 2026.08.30 00</t>
  </si>
  <si>
    <t>00.24.04</t>
  </si>
  <si>
    <t>00000000F4188C90990C1D4F9592A85831DCA99307001CDFA5E3617DAF4D8529086EB3E4B6EC00000000010C00001CDFA5E3617DAF4D8529086EB3E4B6EC0000C932160C0000</t>
  </si>
  <si>
    <t>Hälytys - ID_4716145 2026.08.29 23</t>
  </si>
  <si>
    <t>2026.08.29</t>
  </si>
  <si>
    <t>23.55.26</t>
  </si>
  <si>
    <t>00000000F4188C90990C1D4F9592A85831DCA99307001CDFA5E3617DAF4D8529086EB3E4B6EC00000000010C00001CDFA5E3617DAF4D8529086EB3E4B6EC0000C891E0F80000</t>
  </si>
  <si>
    <t>29/08/2026</t>
  </si>
  <si>
    <t>Hälytys - VAK8.JVP_F.HÄL1.DA0 2026.08.29 23</t>
  </si>
  <si>
    <t>23.26.29</t>
  </si>
  <si>
    <t>00000000F4188C90990C1D4F9592A85831DCA99307001CDFA5E3617DAF4D8529086EB3E4B6EC00000000010C00001CDFA5E3617DAF4D8529086EB3E4B6EC0000C891E0F70000</t>
  </si>
  <si>
    <t>Poistunut hälytys - VAK8.JVP_F.HÄL1.DA0 2026.08.29 23</t>
  </si>
  <si>
    <t>23.26.04</t>
  </si>
  <si>
    <t>00000000F4188C90990C1D4F9592A85831DCA99307001CDFA5E3617DAF4D8529086EB3E4B6EC00000000010C00001CDFA5E3617DAF4D8529086EB3E4B6EC0000C891E0F60000</t>
  </si>
  <si>
    <t>Hälytys - ID_4716145 2026.08.29 22</t>
  </si>
  <si>
    <t>22.40.15</t>
  </si>
  <si>
    <t>00000000F4188C90990C1D4F9592A85831DCA99307001CDFA5E3617DAF4D8529086EB3E4B6EC00000000010C00001CDFA5E3617DAF4D8529086EB3E4B6EC0000C891E0F50000</t>
  </si>
  <si>
    <t>22.28.49</t>
  </si>
  <si>
    <t>00000000F4188C90990C1D4F9592A85831DCA99307001CDFA5E3617DAF4D8529086EB3E4B6EC00000000010C00001CDFA5E3617DAF4D8529086EB3E4B6EC0000C891E0F40000</t>
  </si>
  <si>
    <t>22.23.49</t>
  </si>
  <si>
    <t>00000000F4188C90990C1D4F9592A85831DCA99307001CDFA5E3617DAF4D8529086EB3E4B6EC00000000010C00001CDFA5E3617DAF4D8529086EB3E4B6EC0000C891E0F30000</t>
  </si>
  <si>
    <t>Hälytys - VAK4.MB1_ADDR6_TK3_PE01.A3 2026.08.29 22</t>
  </si>
  <si>
    <t>22.04.29</t>
  </si>
  <si>
    <t>00000000F4188C90990C1D4F9592A85831DCA99307001CDFA5E3617DAF4D8529086EB3E4B6EC00000000010C00001CDFA5E3617DAF4D8529086EB3E4B6EC0000C891E0F20000</t>
  </si>
  <si>
    <t>Hälytys - VAK4.MB1_ADDR5_TK2_TK2_PE01.A3 2026.08.29 21</t>
  </si>
  <si>
    <t>21.21.28</t>
  </si>
  <si>
    <t>00000000F4188C90990C1D4F9592A85831DCA99307001CDFA5E3617DAF4D8529086EB3E4B6EC00000000010C00001CDFA5E3617DAF4D8529086EB3E4B6EC0000C891E0F10000</t>
  </si>
  <si>
    <t>Hälytys - ID_4716145 2026.08.29 20</t>
  </si>
  <si>
    <t>20.50.40</t>
  </si>
  <si>
    <t>00000000F4188C90990C1D4F9592A85831DCA99307001CDFA5E3617DAF4D8529086EB3E4B6EC00000000010C00001CDFA5E3617DAF4D8529086EB3E4B6EC0000C891E0F00000</t>
  </si>
  <si>
    <t>Hälytys - VAK4.MB2_WL_BaseVAK4_Alarm2.A 2026.08.29 20</t>
  </si>
  <si>
    <t>20.43.30</t>
  </si>
  <si>
    <t>00000000F4188C90990C1D4F9592A85831DCA99307001CDFA5E3617DAF4D8529086EB3E4B6EC00000000010C00001CDFA5E3617DAF4D8529086EB3E4B6EC0000C891E0EF0000</t>
  </si>
  <si>
    <t>Hälytys - LM1.L1.TE41_L1.A2 2026.08.29 20</t>
  </si>
  <si>
    <t>20.39.49</t>
  </si>
  <si>
    <t>00000000F4188C90990C1D4F9592A85831DCA99307001CDFA5E3617DAF4D8529086EB3E4B6EC00000000010C00001CDFA5E3617DAF4D8529086EB3E4B6EC0000C891E0EE0000</t>
  </si>
  <si>
    <t>Hälytys - ID_4716145 2026.08.29 19</t>
  </si>
  <si>
    <t>19.34.03</t>
  </si>
  <si>
    <t>00000000F4188C90990C1D4F9592A85831DCA99307001CDFA5E3617DAF4D8529086EB3E4B6EC00000000010C00001CDFA5E3617DAF4D8529086EB3E4B6EC0000C891E0ED0000</t>
  </si>
  <si>
    <t>Hälytys - LM1.L1.TE41_L1.A2 2026.08.29 19</t>
  </si>
  <si>
    <t>19.27.36</t>
  </si>
  <si>
    <t>00000000F4188C90990C1D4F9592A85831DCA99307001CDFA5E3617DAF4D8529086EB3E4B6EC00000000010C00001CDFA5E3617DAF4D8529086EB3E4B6EC0000C891E0EC0000</t>
  </si>
  <si>
    <t>19.25.40</t>
  </si>
  <si>
    <t>00000000F4188C90990C1D4F9592A85831DCA99307001CDFA5E3617DAF4D8529086EB3E4B6EC00000000010C00001CDFA5E3617DAF4D8529086EB3E4B6EC0000C891E0EB0000</t>
  </si>
  <si>
    <t>19.06.49</t>
  </si>
  <si>
    <t>00000000F4188C90990C1D4F9592A85831DCA99307001CDFA5E3617DAF4D8529086EB3E4B6EC00000000010C00001CDFA5E3617DAF4D8529086EB3E4B6EC0000C891E0EA0000</t>
  </si>
  <si>
    <t>Hälytys - VAK8.JVP_F.HÄL1.DA0 2026.08.29 18</t>
  </si>
  <si>
    <t>18.59.13</t>
  </si>
  <si>
    <t>00000000F4188C90990C1D4F9592A85831DCA99307001CDFA5E3617DAF4D8529086EB3E4B6EC00000000010C00001CDFA5E3617DAF4D8529086EB3E4B6EC0000C891E0E90000</t>
  </si>
  <si>
    <t>Poistunut hälytys - VAK8.JVP_F.HÄL1.DA0 2026.08.29 18</t>
  </si>
  <si>
    <t>18.58.46</t>
  </si>
  <si>
    <t>00000000F4188C90990C1D4F9592A85831DCA99307001CDFA5E3617DAF4D8529086EB3E4B6EC00000000010C00001CDFA5E3617DAF4D8529086EB3E4B6EC0000C891E0E80000</t>
  </si>
  <si>
    <t>Hälytys - ID_4716145 2026.08.29 18</t>
  </si>
  <si>
    <t>18.52.08</t>
  </si>
  <si>
    <t>00000000F4188C90990C1D4F9592A85831DCA99307001CDFA5E3617DAF4D8529086EB3E4B6EC00000000010C00001CDFA5E3617DAF4D8529086EB3E4B6EC0000C891E0E70000</t>
  </si>
  <si>
    <t>18.02.22</t>
  </si>
  <si>
    <t>00000000F4188C90990C1D4F9592A85831DCA99307001CDFA5E3617DAF4D8529086EB3E4B6EC00000000010C00001CDFA5E3617DAF4D8529086EB3E4B6EC0000C891E0E60000</t>
  </si>
  <si>
    <t>Hälytys - VAK8.JVP_F.HÄL1.DA0 2026.08.29 17</t>
  </si>
  <si>
    <t>17.40.11</t>
  </si>
  <si>
    <t>00000000F4188C90990C1D4F9592A85831DCA99307001CDFA5E3617DAF4D8529086EB3E4B6EC00000000010C00001CDFA5E3617DAF4D8529086EB3E4B6EC0000C891E0E50000</t>
  </si>
  <si>
    <t>Poistunut hälytys - VAK8.JVP_F.HÄL1.DA0 2026.08.29 17</t>
  </si>
  <si>
    <t>17.39.36</t>
  </si>
  <si>
    <t>00000000F4188C90990C1D4F9592A85831DCA99307001CDFA5E3617DAF4D8529086EB3E4B6EC00000000010C00001CDFA5E3617DAF4D8529086EB3E4B6EC0000C891E0E40000</t>
  </si>
  <si>
    <t>Hälytys - ID_4716145 2026.08.29 17</t>
  </si>
  <si>
    <t>17.15.54</t>
  </si>
  <si>
    <t>00000000F4188C90990C1D4F9592A85831DCA99307001CDFA5E3617DAF4D8529086EB3E4B6EC00000000010C00001CDFA5E3617DAF4D8529086EB3E4B6EC0000C891E0E30000</t>
  </si>
  <si>
    <t>17.09.21</t>
  </si>
  <si>
    <t>00000000F4188C90990C1D4F9592A85831DCA99307001CDFA5E3617DAF4D8529086EB3E4B6EC00000000010C00001CDFA5E3617DAF4D8529086EB3E4B6EC0000C891E0E20000</t>
  </si>
  <si>
    <t>Hälytys - ID_4716145 2026.08.29 16</t>
  </si>
  <si>
    <t>16.51.08</t>
  </si>
  <si>
    <t>00000000F4188C90990C1D4F9592A85831DCA99307001CDFA5E3617DAF4D8529086EB3E4B6EC00000000010C00001CDFA5E3617DAF4D8529086EB3E4B6EC0000C891E0E10000</t>
  </si>
  <si>
    <t>Hälytys - LM1.MB3_ADDR10_FlexM__Error.A 2026.08.29 16</t>
  </si>
  <si>
    <t>16.49.13</t>
  </si>
  <si>
    <t>00000000F4188C90990C1D4F9592A85831DCA99307001CDFA5E3617DAF4D8529086EB3E4B6EC00000000010C00001CDFA5E3617DAF4D8529086EB3E4B6EC0000C891E0E00000</t>
  </si>
  <si>
    <t>16.20.46</t>
  </si>
  <si>
    <t>00000000F4188C90990C1D4F9592A85831DCA99307001CDFA5E3617DAF4D8529086EB3E4B6EC00000000010C00001CDFA5E3617DAF4D8529086EB3E4B6EC0000C891E0DF0000</t>
  </si>
  <si>
    <t>16.11.31</t>
  </si>
  <si>
    <t>00000000F4188C90990C1D4F9592A85831DCA99307001CDFA5E3617DAF4D8529086EB3E4B6EC00000000010C00001CDFA5E3617DAF4D8529086EB3E4B6EC0000C891E0DE0000</t>
  </si>
  <si>
    <t>Hälytys - ID_4716145 2026.08.29 15</t>
  </si>
  <si>
    <t>15.01.16</t>
  </si>
  <si>
    <t>00000000F4188C90990C1D4F9592A85831DCA99307001CDFA5E3617DAF4D8529086EB3E4B6EC00000000010C00001CDFA5E3617DAF4D8529086EB3E4B6EC0000C891E0DD0000</t>
  </si>
  <si>
    <t>Hälytys - ID_4716145 2026.08.29 14</t>
  </si>
  <si>
    <t>14.51.40</t>
  </si>
  <si>
    <t>00000000F4188C90990C1D4F9592A85831DCA99307001CDFA5E3617DAF4D8529086EB3E4B6EC00000000010C00001CDFA5E3617DAF4D8529086EB3E4B6EC0000C891E0DC0000</t>
  </si>
  <si>
    <t>Hälytys - VAK8.JVP_F.HÄL1.DA0 2026.08.29 14</t>
  </si>
  <si>
    <t>14.38.25</t>
  </si>
  <si>
    <t>00000000F4188C90990C1D4F9592A85831DCA99307001CDFA5E3617DAF4D8529086EB3E4B6EC00000000010C00001CDFA5E3617DAF4D8529086EB3E4B6EC0000C891E0DB0000</t>
  </si>
  <si>
    <t>Poistunut hälytys - VAK8.JVP_F.HÄL1.DA0 2026.08.29 14</t>
  </si>
  <si>
    <t>14.37.58</t>
  </si>
  <si>
    <t>00000000F4188C90990C1D4F9592A85831DCA99307001CDFA5E3617DAF4D8529086EB3E4B6EC00000000010C00001CDFA5E3617DAF4D8529086EB3E4B6EC0000C891E0DA0000</t>
  </si>
  <si>
    <t>Hälytys - ID_4716145 2026.08.29 13</t>
  </si>
  <si>
    <t>13.33.47</t>
  </si>
  <si>
    <t>00000000F4188C90990C1D4F9592A85831DCA99307001CDFA5E3617DAF4D8529086EB3E4B6EC00000000010C00001CDFA5E3617DAF4D8529086EB3E4B6EC0000C891E0D90000</t>
  </si>
  <si>
    <t>13.21.49</t>
  </si>
  <si>
    <t>00000000F4188C90990C1D4F9592A85831DCA99307001CDFA5E3617DAF4D8529086EB3E4B6EC00000000010C00001CDFA5E3617DAF4D8529086EB3E4B6EC0000C891E0D80000</t>
  </si>
  <si>
    <t>13.14.37</t>
  </si>
  <si>
    <t>00000000F4188C90990C1D4F9592A85831DCA99307001CDFA5E3617DAF4D8529086EB3E4B6EC00000000010C00001CDFA5E3617DAF4D8529086EB3E4B6EC0000C891E0D70000</t>
  </si>
  <si>
    <t>Hälytys - ID_4716145 2026.08.29 12</t>
  </si>
  <si>
    <t>12.57.03</t>
  </si>
  <si>
    <t>00000000F4188C90990C1D4F9592A85831DCA99307001CDFA5E3617DAF4D8529086EB3E4B6EC00000000010C00001CDFA5E3617DAF4D8529086EB3E4B6EC0000C891E0D60000</t>
  </si>
  <si>
    <t>Hälytys - VAK8.JVP_F.HÄL1.DA0 2026.08.29 12</t>
  </si>
  <si>
    <t>12.27.03</t>
  </si>
  <si>
    <t>00000000F4188C90990C1D4F9592A85831DCA99307001CDFA5E3617DAF4D8529086EB3E4B6EC00000000010C00001CDFA5E3617DAF4D8529086EB3E4B6EC0000C891E0D50000</t>
  </si>
  <si>
    <t>Poistunut hälytys - VAK8.JVP_F.HÄL1.DA0 2026.08.29 12</t>
  </si>
  <si>
    <t>12.26.16</t>
  </si>
  <si>
    <t>00000000F4188C90990C1D4F9592A85831DCA99307001CDFA5E3617DAF4D8529086EB3E4B6EC00000000010C00001CDFA5E3617DAF4D8529086EB3E4B6EC0000C891E0D40000</t>
  </si>
  <si>
    <t>Hälytys - VAK8.JVP_F.HÄL1.DA0 2026.08.29 11</t>
  </si>
  <si>
    <t>11.37.50</t>
  </si>
  <si>
    <t>00000000F4188C90990C1D4F9592A85831DCA99307001CDFA5E3617DAF4D8529086EB3E4B6EC00000000010C00001CDFA5E3617DAF4D8529086EB3E4B6EC0000C891E0D30000</t>
  </si>
  <si>
    <t>Poistunut hälytys - VAK8.JVP_F.HÄL1.DA0 2026.08.29 11</t>
  </si>
  <si>
    <t>11.37.25</t>
  </si>
  <si>
    <t>00000000F4188C90990C1D4F9592A85831DCA99307001CDFA5E3617DAF4D8529086EB3E4B6EC00000000010C00001CDFA5E3617DAF4D8529086EB3E4B6EC0000C891E0D20000</t>
  </si>
  <si>
    <t>11.04.46</t>
  </si>
  <si>
    <t>00000000F4188C90990C1D4F9592A85831DCA99307001CDFA5E3617DAF4D8529086EB3E4B6EC00000000010C00001CDFA5E3617DAF4D8529086EB3E4B6EC0000C891E0D10000</t>
  </si>
  <si>
    <t>11.04.24</t>
  </si>
  <si>
    <t>00000000F4188C90990C1D4F9592A85831DCA99307001CDFA5E3617DAF4D8529086EB3E4B6EC00000000010C00001CDFA5E3617DAF4D8529086EB3E4B6EC0000C891E0D00000</t>
  </si>
  <si>
    <t>Poistunut hälytys - VAK4.MB2_WL_BaseVAK4_Alarm2.A 2026.08.29 05</t>
  </si>
  <si>
    <t>05.10.49</t>
  </si>
  <si>
    <t>00000000F4188C90990C1D4F9592A85831DCA99307001CDFA5E3617DAF4D8529086EB3E4B6EC00000000010C00001CDFA5E3617DAF4D8529086EB3E4B6EC0000C891E0CF0000</t>
  </si>
  <si>
    <t>Hälytys - VK33.VAK1.4TK1.FlowAlarm_A.A 2026.08.29 03</t>
  </si>
  <si>
    <t>03.00.56</t>
  </si>
  <si>
    <t>00000000F4188C90990C1D4F9592A85831DCA99307001CDFA5E3617DAF4D8529086EB3E4B6EC00000000010C00001CDFA5E3617DAF4D8529086EB3E4B6EC0000C891E0CE0000</t>
  </si>
  <si>
    <t>Hälytys - VAK8.JVP_F.HÄL1.DA0 2026.08.29 02</t>
  </si>
  <si>
    <t>02.38.08</t>
  </si>
  <si>
    <t>00000000F4188C90990C1D4F9592A85831DCA99307001CDFA5E3617DAF4D8529086EB3E4B6EC00000000010C00001CDFA5E3617DAF4D8529086EB3E4B6EC0000C891E0CD0000</t>
  </si>
  <si>
    <t>Poistunut hälytys - VAK8.JVP_F.HÄL1.DA0 2026.08.29 02</t>
  </si>
  <si>
    <t>02.37.42</t>
  </si>
  <si>
    <t>00000000F4188C90990C1D4F9592A85831DCA99307001CDFA5E3617DAF4D8529086EB3E4B6EC00000000010C00001CDFA5E3617DAF4D8529086EB3E4B6EC0000C891E0CC0000</t>
  </si>
  <si>
    <t>Hälytys - KK31.VAK1_1.13TK1.13PDE2.LL1 2026.08.29 00</t>
  </si>
  <si>
    <t>00.10.50</t>
  </si>
  <si>
    <t>00000000F4188C90990C1D4F9592A85831DCA99307001CDFA5E3617DAF4D8529086EB3E4B6EC00000000010C00001CDFA5E3617DAF4D8529086EB3E4B6EC0000C88609420000</t>
  </si>
  <si>
    <t>Hälytys - VAK4.MB1_ADDR6_TK3_PE01.A3 2026.08.28 22</t>
  </si>
  <si>
    <t>2026.08.28</t>
  </si>
  <si>
    <t>22.05.42</t>
  </si>
  <si>
    <t>00000000F4188C90990C1D4F9592A85831DCA99307001CDFA5E3617DAF4D8529086EB3E4B6EC00000000010C00001CDFA5E3617DAF4D8529086EB3E4B6EC0000C6C648690000</t>
  </si>
  <si>
    <t>28/08/2026</t>
  </si>
  <si>
    <t>Hälytys - LM1.L1.TE41_L1.A2 2026.08.28 21</t>
  </si>
  <si>
    <t>21.30.55</t>
  </si>
  <si>
    <t>00000000F4188C90990C1D4F9592A85831DCA99307001CDFA5E3617DAF4D8529086EB3E4B6EC00000000010C00001CDFA5E3617DAF4D8529086EB3E4B6EC0000C6C648680000</t>
  </si>
  <si>
    <t>Hälytys - VAK8.JVP_F.HÄL1.DA0 2026.08.28 21</t>
  </si>
  <si>
    <t>21.23.55</t>
  </si>
  <si>
    <t>00000000F4188C90990C1D4F9592A85831DCA99307001CDFA5E3617DAF4D8529086EB3E4B6EC00000000010C00001CDFA5E3617DAF4D8529086EB3E4B6EC0000C6C648670000</t>
  </si>
  <si>
    <t>Poistunut hälytys - VAK8.JVP_F.HÄL1.DA0 2026.08.28 21</t>
  </si>
  <si>
    <t>21.23.35</t>
  </si>
  <si>
    <t>00000000F4188C90990C1D4F9592A85831DCA99307001CDFA5E3617DAF4D8529086EB3E4B6EC00000000010C00001CDFA5E3617DAF4D8529086EB3E4B6EC0000C6C648660000</t>
  </si>
  <si>
    <t>Hälytys - VAK4.MB1_ADDR5_TK2_TK2_PE01.A3 2026.08.28 21</t>
  </si>
  <si>
    <t>21.05.54</t>
  </si>
  <si>
    <t>00000000F4188C90990C1D4F9592A85831DCA99307001CDFA5E3617DAF4D8529086EB3E4B6EC00000000010C00001CDFA5E3617DAF4D8529086EB3E4B6EC0000C6C648650000</t>
  </si>
  <si>
    <t>Hälytys - LM1.L1.TE41_L1.A2 2026.08.28 20</t>
  </si>
  <si>
    <t>20.45.28</t>
  </si>
  <si>
    <t>00000000F4188C90990C1D4F9592A85831DCA99307001CDFA5E3617DAF4D8529086EB3E4B6EC00000000010C00001CDFA5E3617DAF4D8529086EB3E4B6EC0000C6C648640000</t>
  </si>
  <si>
    <t>Hälytys - VAK4.MB2_WL_BaseVAK4_Alarm2.A 2026.08.28 20</t>
  </si>
  <si>
    <t>20.44.31</t>
  </si>
  <si>
    <t>00000000F4188C90990C1D4F9592A85831DCA99307001CDFA5E3617DAF4D8529086EB3E4B6EC00000000010C00001CDFA5E3617DAF4D8529086EB3E4B6EC0000C6C648630000</t>
  </si>
  <si>
    <t>RYP Verstas,VAK1 IVKH</t>
  </si>
  <si>
    <t>TK1 Tuloilman paineen yläraja</t>
  </si>
  <si>
    <t>Hälytys - VAK1.TK1.PE1.1.HL1 2026.08.28 20</t>
  </si>
  <si>
    <t>20.06.02</t>
  </si>
  <si>
    <t>Hälytys : RYP Verstas</t>
  </si>
  <si>
    <t>00000000F4188C90990C1D4F9592A85831DCA99307001CDFA5E3617DAF4D8529086EB3E4B6EC00000000010C00001CDFA5E3617DAF4D8529086EB3E4B6EC0000C6C648620000</t>
  </si>
  <si>
    <t>Hälytys - VAK8.JVP_F.HÄL1.DA0 2026.08.28 18</t>
  </si>
  <si>
    <t>18.27.16</t>
  </si>
  <si>
    <t>00000000F4188C90990C1D4F9592A85831DCA99307001CDFA5E3617DAF4D8529086EB3E4B6EC00000000010C00001CDFA5E3617DAF4D8529086EB3E4B6EC0000C6C648610000</t>
  </si>
  <si>
    <t>Poistunut hälytys - VAK8.JVP_F.HÄL1.DA0 2026.08.28 18</t>
  </si>
  <si>
    <t>18.27.12</t>
  </si>
  <si>
    <t>00000000F4188C90990C1D4F9592A85831DCA99307001CDFA5E3617DAF4D8529086EB3E4B6EC00000000010C00001CDFA5E3617DAF4D8529086EB3E4B6EC0000C6C648600000</t>
  </si>
  <si>
    <t>TK1 Poistoilman paineen yläraja</t>
  </si>
  <si>
    <t>Hälytys - VAK1.TK1.PE1.2.HL1 2026.08.28 18</t>
  </si>
  <si>
    <t>18.15.04</t>
  </si>
  <si>
    <t>00000000F4188C90990C1D4F9592A85831DCA99307001CDFA5E3617DAF4D8529086EB3E4B6EC00000000010C00001CDFA5E3617DAF4D8529086EB3E4B6EC0000C6C6485F0000</t>
  </si>
  <si>
    <t>Hälytys - VAK1.TK1.PE1.1.HL1 2026.08.28 18</t>
  </si>
  <si>
    <t>18.06.44</t>
  </si>
  <si>
    <t>00000000F4188C90990C1D4F9592A85831DCA99307001CDFA5E3617DAF4D8529086EB3E4B6EC00000000010C00001CDFA5E3617DAF4D8529086EB3E4B6EC0000C6C6485E0000</t>
  </si>
  <si>
    <t>18.06.06</t>
  </si>
  <si>
    <t>00000000F4188C90990C1D4F9592A85831DCA99307001CDFA5E3617DAF4D8529086EB3E4B6EC00000000010C00001CDFA5E3617DAF4D8529086EB3E4B6EC0000C6C6485D0000</t>
  </si>
  <si>
    <t>Hälytys - VAK8.JVP_F.HÄL1.DA0 2026.08.28 16</t>
  </si>
  <si>
    <t>16.50.59</t>
  </si>
  <si>
    <t>00000000F4188C90990C1D4F9592A85831DCA99307001CDFA5E3617DAF4D8529086EB3E4B6EC00000000010C00001CDFA5E3617DAF4D8529086EB3E4B6EC0000C6C6485C0000</t>
  </si>
  <si>
    <t>Poistunut hälytys - VAK8.JVP_F.HÄL1.DA0 2026.08.28 16</t>
  </si>
  <si>
    <t>16.50.38</t>
  </si>
  <si>
    <t>00000000F4188C90990C1D4F9592A85831DCA99307001CDFA5E3617DAF4D8529086EB3E4B6EC00000000010C00001CDFA5E3617DAF4D8529086EB3E4B6EC0000C6C6485B0000</t>
  </si>
  <si>
    <t>Hälytys - VAK8.JVP_F.HÄL1.DA0 2026.08.28 14</t>
  </si>
  <si>
    <t>14.14.48</t>
  </si>
  <si>
    <t>00000000F4188C90990C1D4F9592A85831DCA99307001CDFA5E3617DAF4D8529086EB3E4B6EC00000000010C00001CDFA5E3617DAF4D8529086EB3E4B6EC0000C6C6485A0000</t>
  </si>
  <si>
    <t>Poistunut hälytys - VAK8.JVP_F.HÄL1.DA0 2026.08.28 14</t>
  </si>
  <si>
    <t>14.14.23</t>
  </si>
  <si>
    <t>00000000F4188C90990C1D4F9592A85831DCA99307001CDFA5E3617DAF4D8529086EB3E4B6EC00000000010C00001CDFA5E3617DAF4D8529086EB3E4B6EC0000C6C648590000</t>
  </si>
  <si>
    <t>Hälytys - LM1.MB3_ADDR10_FlexM__Error.A 2026.08.28 13</t>
  </si>
  <si>
    <t>13.29.56</t>
  </si>
  <si>
    <t>00000000F4188C90990C1D4F9592A85831DCA99307001CDFA5E3617DAF4D8529086EB3E4B6EC00000000010C00001CDFA5E3617DAF4D8529086EB3E4B6EC0000C6C648580000</t>
  </si>
  <si>
    <t>Hälytys - VAK8.JVP_F.HÄL1.DA0 2026.08.28 12</t>
  </si>
  <si>
    <t>12.22.03</t>
  </si>
  <si>
    <t>00000000F4188C90990C1D4F9592A85831DCA99307001CDFA5E3617DAF4D8529086EB3E4B6EC00000000010C00001CDFA5E3617DAF4D8529086EB3E4B6EC0000C6C648570000</t>
  </si>
  <si>
    <t>Poistunut hälytys - VAK8.JVP_F.HÄL1.DA0 2026.08.28 12</t>
  </si>
  <si>
    <t>12.21.41</t>
  </si>
  <si>
    <t>00000000F4188C90990C1D4F9592A85831DCA99307001CDFA5E3617DAF4D8529086EB3E4B6EC00000000010C00001CDFA5E3617DAF4D8529086EB3E4B6EC0000C6C648560000</t>
  </si>
  <si>
    <t>Hälytys - VAK8.JVP_F.HÄL1.DA0 2026.08.28 11</t>
  </si>
  <si>
    <t>11.03.21</t>
  </si>
  <si>
    <t>00000000F4188C90990C1D4F9592A85831DCA99307001CDFA5E3617DAF4D8529086EB3E4B6EC00000000010C00001CDFA5E3617DAF4D8529086EB3E4B6EC0000C6C648550000</t>
  </si>
  <si>
    <t>Poistunut hälytys - VAK8.JVP_F.HÄL1.DA0 2026.08.28 11</t>
  </si>
  <si>
    <t>11.03.18</t>
  </si>
  <si>
    <t>00000000F4188C90990C1D4F9592A85831DCA99307001CDFA5E3617DAF4D8529086EB3E4B6EC00000000010C00001CDFA5E3617DAF4D8529086EB3E4B6EC0000C6C648540000</t>
  </si>
  <si>
    <t>Hälytys - VAK8.JVP_F.HÄL1.DA0 2026.08.28 10</t>
  </si>
  <si>
    <t>10.37.32</t>
  </si>
  <si>
    <t>00000000F4188C90990C1D4F9592A85831DCA99307001CDFA5E3617DAF4D8529086EB3E4B6EC00000000010C00001CDFA5E3617DAF4D8529086EB3E4B6EC0000C6C648530000</t>
  </si>
  <si>
    <t>Poistunut hälytys - VAK8.JVP_F.HÄL1.DA0 2026.08.28 10</t>
  </si>
  <si>
    <t>10.37.03</t>
  </si>
  <si>
    <t>00000000F4188C90990C1D4F9592A85831DCA99307001CDFA5E3617DAF4D8529086EB3E4B6EC00000000010C00001CDFA5E3617DAF4D8529086EB3E4B6EC0000C6C648520000</t>
  </si>
  <si>
    <t>Sotkamo Vuokatinluhti 1,WL base</t>
  </si>
  <si>
    <t>Hälytys - ID_5702262 2026.08.28 10</t>
  </si>
  <si>
    <t>10.03.47</t>
  </si>
  <si>
    <t>00000000F4188C90990C1D4F9592A85831DCA99307001CDFA5E3617DAF4D8529086EB3E4B6EC00000000010C00001CDFA5E3617DAF4D8529086EB3E4B6EC0000C6C648510000</t>
  </si>
  <si>
    <t>10.00.38</t>
  </si>
  <si>
    <t>00000000F4188C90990C1D4F9592A85831DCA99307001CDFA5E3617DAF4D8529086EB3E4B6EC00000000010C00001CDFA5E3617DAF4D8529086EB3E4B6EC0000C6C648500000</t>
  </si>
  <si>
    <t>10.00.28</t>
  </si>
  <si>
    <t>00000000F4188C90990C1D4F9592A85831DCA99307001CDFA5E3617DAF4D8529086EB3E4B6EC00000000010C00001CDFA5E3617DAF4D8529086EB3E4B6EC0000C6C6484F0000</t>
  </si>
  <si>
    <t>Hälytys - EK03.H5.A1 2026.08.28 09</t>
  </si>
  <si>
    <t>09.22.26</t>
  </si>
  <si>
    <t>00000000F4188C90990C1D4F9592A85831DCA99307001CDFA5E3617DAF4D8529086EB3E4B6EC00000000010C00001CDFA5E3617DAF4D8529086EB3E4B6EC0000C6C6484E0000</t>
  </si>
  <si>
    <t>Hälytys - VAK1.TK1.PE1.2.HL1 2026.08.28 06</t>
  </si>
  <si>
    <t>06.59.22</t>
  </si>
  <si>
    <t>00000000F4188C90990C1D4F9592A85831DCA99307001CDFA5E3617DAF4D8529086EB3E4B6EC00000000010C00001CDFA5E3617DAF4D8529086EB3E4B6EC0000C6C6484D0000</t>
  </si>
  <si>
    <t>Hälytys - VAK1.TK1.PE1.1.HL1 2026.08.28 06</t>
  </si>
  <si>
    <t>06.46.00</t>
  </si>
  <si>
    <t>00000000F4188C90990C1D4F9592A85831DCA99307001CDFA5E3617DAF4D8529086EB3E4B6EC00000000010C00001CDFA5E3617DAF4D8529086EB3E4B6EC0000C6C6484C0000</t>
  </si>
  <si>
    <t>Poistunut hälytys - VAK4.MB2_WL_BaseVAK4_Alarm2.A 2026.08.28 05</t>
  </si>
  <si>
    <t>05.01.52</t>
  </si>
  <si>
    <t>00000000F4188C90990C1D4F9592A85831DCA99307001CDFA5E3617DAF4D8529086EB3E4B6EC00000000010C00001CDFA5E3617DAF4D8529086EB3E4B6EC0000C6C6484B0000</t>
  </si>
  <si>
    <t>Hälytys - EK03.H2.A1 2026.08.28 04</t>
  </si>
  <si>
    <t>04.49.56</t>
  </si>
  <si>
    <t>00000000F4188C90990C1D4F9592A85831DCA99307001CDFA5E3617DAF4D8529086EB3E4B6EC00000000010C00001CDFA5E3617DAF4D8529086EB3E4B6EC0000C6C6484A0000</t>
  </si>
  <si>
    <t>Hälytys - VAK8.JVP_F.HÄL1.DA0 2026.08.28 04</t>
  </si>
  <si>
    <t>04.07.53</t>
  </si>
  <si>
    <t>00000000F4188C90990C1D4F9592A85831DCA99307001CDFA5E3617DAF4D8529086EB3E4B6EC00000000010C00001CDFA5E3617DAF4D8529086EB3E4B6EC0000C6C648490000</t>
  </si>
  <si>
    <t>Poistunut hälytys - VAK8.JVP_F.HÄL1.DA0 2026.08.28 04</t>
  </si>
  <si>
    <t>04.07.31</t>
  </si>
  <si>
    <t>00000000F4188C90990C1D4F9592A85831DCA99307001CDFA5E3617DAF4D8529086EB3E4B6EC00000000010C00001CDFA5E3617DAF4D8529086EB3E4B6EC0000C6C648480000</t>
  </si>
  <si>
    <t>Kajaani Lohtajankatu 13,WL base</t>
  </si>
  <si>
    <t>Hälytys - ID_6622938 2026.08.27 22</t>
  </si>
  <si>
    <t>2026.08.27</t>
  </si>
  <si>
    <t>22.47.27</t>
  </si>
  <si>
    <t>00000000F4188C90990C1D4F9592A85831DCA99307001CDFA5E3617DAF4D8529086EB3E4B6EC00000000010C00001CDFA5E3617DAF4D8529086EB3E4B6EC0000C6C648470000</t>
  </si>
  <si>
    <t>As Oy Tornion Sairaalakatu 5,VAK1</t>
  </si>
  <si>
    <t>Inactive alarm - DeviceNoResponseAlarm 2026.08.28 00</t>
  </si>
  <si>
    <t>00.25.20</t>
  </si>
  <si>
    <t>Inactive alarm : As Oy Tornion Sairaalakatu 5</t>
  </si>
  <si>
    <t>00000000F4188C90990C1D4F9592A85831DCA99307001CDFA5E3617DAF4D8529086EB3E4B6EC00000000010C00001CDFA5E3617DAF4D8529086EB3E4B6EC0000C6C648460000</t>
  </si>
  <si>
    <t>Hälytys - ID_5176177 2026.08.27 22</t>
  </si>
  <si>
    <t>22.27.10</t>
  </si>
  <si>
    <t>00000000F4188C90990C1D4F9592A85831DCA99307001CDFA5E3617DAF4D8529086EB3E4B6EC00000000010C00001CDFA5E3617DAF4D8529086EB3E4B6EC0000C6C648450000</t>
  </si>
  <si>
    <t>Torikeskus,VAK10</t>
  </si>
  <si>
    <t>Poistunut hälytys - DeviceNoResponseAlarm 2026.08.28 00</t>
  </si>
  <si>
    <t>00.25.16</t>
  </si>
  <si>
    <t>00000000F4188C90990C1D4F9592A85831DCA99307001CDFA5E3617DAF4D8529086EB3E4B6EC00000000010C00001CDFA5E3617DAF4D8529086EB3E4B6EC0000C6C648440000</t>
  </si>
  <si>
    <t>00.24.09</t>
  </si>
  <si>
    <t>00000000F4188C90990C1D4F9592A85831DCA99307001CDFA5E3617DAF4D8529086EB3E4B6EC00000000010C00001CDFA5E3617DAF4D8529086EB3E4B6EC0000C6C648430000</t>
  </si>
  <si>
    <t>Torikeskus,VAK5</t>
  </si>
  <si>
    <t>00.20.12</t>
  </si>
  <si>
    <t>00000000F4188C90990C1D4F9592A85831DCA99307001CDFA5E3617DAF4D8529086EB3E4B6EC00000000010C00001CDFA5E3617DAF4D8529086EB3E4B6EC0000C6C648420000</t>
  </si>
  <si>
    <t>Torikeskus,VAK6.1</t>
  </si>
  <si>
    <t>00.18.33</t>
  </si>
  <si>
    <t>00000000F4188C90990C1D4F9592A85831DCA99307001CDFA5E3617DAF4D8529086EB3E4B6EC00000000010C00001CDFA5E3617DAF4D8529086EB3E4B6EC0000C6C648410000</t>
  </si>
  <si>
    <t>Kajaani Louhikatu 4,WL-Base</t>
  </si>
  <si>
    <t>Hälytys - ID_6399191 2026.08.27 22</t>
  </si>
  <si>
    <t>22.47.35</t>
  </si>
  <si>
    <t>Hälytys : Kajaani Louhikatu 4</t>
  </si>
  <si>
    <t>00000000F4188C90990C1D4F9592A85831DCA99307001CDFA5E3617DAF4D8529086EB3E4B6EC00000000010C00001CDFA5E3617DAF4D8529086EB3E4B6EC0000C6C648400000</t>
  </si>
  <si>
    <t>Hälytys - EK03.H2.A1 2026.08.27 23</t>
  </si>
  <si>
    <t>23.50.01</t>
  </si>
  <si>
    <t>00000000F4188C90990C1D4F9592A85831DCA99307001CDFA5E3617DAF4D8529086EB3E4B6EC00000000010C00001CDFA5E3617DAF4D8529086EB3E4B6EC0000C6C6483F0000</t>
  </si>
  <si>
    <t>Torikeskus,VAK7</t>
  </si>
  <si>
    <t>00.17.22</t>
  </si>
  <si>
    <t>00000000F4188C90990C1D4F9592A85831DCA99307001CDFA5E3617DAF4D8529086EB3E4B6EC00000000010C00001CDFA5E3617DAF4D8529086EB3E4B6EC0000C6C6483E0000</t>
  </si>
  <si>
    <t>Torikeskus,VAK3</t>
  </si>
  <si>
    <t>00.17.10</t>
  </si>
  <si>
    <t>00000000F4188C90990C1D4F9592A85831DCA99307001CDFA5E3617DAF4D8529086EB3E4B6EC00000000010C00001CDFA5E3617DAF4D8529086EB3E4B6EC0000C6C6483D0000</t>
  </si>
  <si>
    <t>00.16.59</t>
  </si>
  <si>
    <t>00000000F4188C90990C1D4F9592A85831DCA99307001CDFA5E3617DAF4D8529086EB3E4B6EC00000000010C00001CDFA5E3617DAF4D8529086EB3E4B6EC0000C6C6483C0000</t>
  </si>
  <si>
    <t>Hälytys - DeviceNoResponseAlarm 2026.08.27 23</t>
  </si>
  <si>
    <t>23.15.47</t>
  </si>
  <si>
    <t>00000000F4188C90990C1D4F9592A85831DCA99307001CDFA5E3617DAF4D8529086EB3E4B6EC00000000010C00001CDFA5E3617DAF4D8529086EB3E4B6EC0000C6C6483B0000</t>
  </si>
  <si>
    <t>Torikeskus,VAK1</t>
  </si>
  <si>
    <t>00.15.23</t>
  </si>
  <si>
    <t>00000000F4188C90990C1D4F9592A85831DCA99307001CDFA5E3617DAF4D8529086EB3E4B6EC00000000010C00001CDFA5E3617DAF4D8529086EB3E4B6EC0000C6C6483A0000</t>
  </si>
  <si>
    <t>Torikeskus,VAK9</t>
  </si>
  <si>
    <t>00.15.14</t>
  </si>
  <si>
    <t>00000000F4188C90990C1D4F9592A85831DCA99307001CDFA5E3617DAF4D8529086EB3E4B6EC00000000010C00001CDFA5E3617DAF4D8529086EB3E4B6EC0000C6C648390000</t>
  </si>
  <si>
    <t>23.16.47</t>
  </si>
  <si>
    <t>00000000F4188C90990C1D4F9592A85831DCA99307001CDFA5E3617DAF4D8529086EB3E4B6EC00000000010C00001CDFA5E3617DAF4D8529086EB3E4B6EC0000C6C648380000</t>
  </si>
  <si>
    <t>KOy Valtakatu 33 Lappeenranta,VAK3</t>
  </si>
  <si>
    <t>Hälytys - DeviceNoResponseAlarm 2026.08.27 22</t>
  </si>
  <si>
    <t>22.37.21</t>
  </si>
  <si>
    <t>00000000F4188C90990C1D4F9592A85831DCA99307001CDFA5E3617DAF4D8529086EB3E4B6EC00000000010C00001CDFA5E3617DAF4D8529086EB3E4B6EC0000C6C648370000</t>
  </si>
  <si>
    <t>Rovaniemi Ainonkatu 4-6 Pääsäädin (P),Flex</t>
  </si>
  <si>
    <t>22.25.18</t>
  </si>
  <si>
    <t>Hälytys : Rovaniemi Ainonkatu 4-6 Pääsäädin (P)</t>
  </si>
  <si>
    <t>00000000F4188C90990C1D4F9592A85831DCA99307001CDFA5E3617DAF4D8529086EB3E4B6EC00000000010C00001CDFA5E3617DAF4D8529086EB3E4B6EC0000C6C648360000</t>
  </si>
  <si>
    <t>22.24.20</t>
  </si>
  <si>
    <t>00000000F4188C90990C1D4F9592A85831DCA99307001CDFA5E3617DAF4D8529086EB3E4B6EC00000000010C00001CDFA5E3617DAF4D8529086EB3E4B6EC0000C6C648350000</t>
  </si>
  <si>
    <t>27/08/2026</t>
  </si>
  <si>
    <t>23.17.02</t>
  </si>
  <si>
    <t>00000000F4188C90990C1D4F9592A85831DCA99307001CDFA5E3617DAF4D8529086EB3E4B6EC00000000010C00001CDFA5E3617DAF4D8529086EB3E4B6EC0000C6C648340000</t>
  </si>
  <si>
    <t>Raahen Raatihovi,Flex</t>
  </si>
  <si>
    <t>23.38.02</t>
  </si>
  <si>
    <t>Hälytys : Raahen Raatihovi</t>
  </si>
  <si>
    <t>00000000F4188C90990C1D4F9592A85831DCA99307001CDFA5E3617DAF4D8529086EB3E4B6EC00000000010C00001CDFA5E3617DAF4D8529086EB3E4B6EC0000C6C648330000</t>
  </si>
  <si>
    <t>Oulu Rommakkokatu 9,Flex</t>
  </si>
  <si>
    <t>22.47.31</t>
  </si>
  <si>
    <t>Hälytys : Oulu Rommakkokatu 9</t>
  </si>
  <si>
    <t>00000000F4188C90990C1D4F9592A85831DCA99307001CDFA5E3617DAF4D8529086EB3E4B6EC00000000010C00001CDFA5E3617DAF4D8529086EB3E4B6EC0000C6C648320000</t>
  </si>
  <si>
    <t>Kajaani Kiskokangas,Flex BA</t>
  </si>
  <si>
    <t>23.39.33</t>
  </si>
  <si>
    <t>00000000F4188C90990C1D4F9592A85831DCA99307001CDFA5E3617DAF4D8529086EB3E4B6EC00000000010C00001CDFA5E3617DAF4D8529086EB3E4B6EC0000C6C648310000</t>
  </si>
  <si>
    <t>Poistunut hälytys - DeviceNoResponseAlarm 2026.08.27 23</t>
  </si>
  <si>
    <t>23.39.45</t>
  </si>
  <si>
    <t>00000000F4188C90990C1D4F9592A85831DCA99307001CDFA5E3617DAF4D8529086EB3E4B6EC00000000010C00001CDFA5E3617DAF4D8529086EB3E4B6EC0000C6C648300000</t>
  </si>
  <si>
    <t>Kauppakeskus Mega,WL-Base</t>
  </si>
  <si>
    <t>23.38.28</t>
  </si>
  <si>
    <t>00000000F4188C90990C1D4F9592A85831DCA99307001CDFA5E3617DAF4D8529086EB3E4B6EC00000000010C00001CDFA5E3617DAF4D8529086EB3E4B6EC0000C6C6482F0000</t>
  </si>
  <si>
    <t>Raahen Raatihovi,C203</t>
  </si>
  <si>
    <t>23.16.02</t>
  </si>
  <si>
    <t>00000000F4188C90990C1D4F9592A85831DCA99307001CDFA5E3617DAF4D8529086EB3E4B6EC00000000010C00001CDFA5E3617DAF4D8529086EB3E4B6EC0000C6C6482E0000</t>
  </si>
  <si>
    <t>Kajaani Tehdaskatu 10,Flex</t>
  </si>
  <si>
    <t>Hälytys - ID_6129670 2026.08.27 22</t>
  </si>
  <si>
    <t>22.28.26</t>
  </si>
  <si>
    <t>Hälytys : Kajaani Tehdaskatu 10</t>
  </si>
  <si>
    <t>00000000F4188C90990C1D4F9592A85831DCA99307001CDFA5E3617DAF4D8529086EB3E4B6EC00000000010C00001CDFA5E3617DAF4D8529086EB3E4B6EC0000C6C6482D0000</t>
  </si>
  <si>
    <t>Hälytys - ID_4736585 2026.08.27 22</t>
  </si>
  <si>
    <t>22.23.55</t>
  </si>
  <si>
    <t>00000000F4188C90990C1D4F9592A85831DCA99307001CDFA5E3617DAF4D8529086EB3E4B6EC00000000010C00001CDFA5E3617DAF4D8529086EB3E4B6EC0000C6C6482C0000</t>
  </si>
  <si>
    <t>23.16.43</t>
  </si>
  <si>
    <t>00000000F4188C90990C1D4F9592A85831DCA99307001CDFA5E3617DAF4D8529086EB3E4B6EC00000000010C00001CDFA5E3617DAF4D8529086EB3E4B6EC0000C6C6482B0000</t>
  </si>
  <si>
    <t>Hälytys - ID_5798719 2026.08.27 22</t>
  </si>
  <si>
    <t>22.55.54</t>
  </si>
  <si>
    <t>00000000F4188C90990C1D4F9592A85831DCA99307001CDFA5E3617DAF4D8529086EB3E4B6EC00000000010C00001CDFA5E3617DAF4D8529086EB3E4B6EC0000C6C6482A0000</t>
  </si>
  <si>
    <t>23.16.53</t>
  </si>
  <si>
    <t>00000000F4188C90990C1D4F9592A85831DCA99307001CDFA5E3617DAF4D8529086EB3E4B6EC00000000010C00001CDFA5E3617DAF4D8529086EB3E4B6EC0000C6C648290000</t>
  </si>
  <si>
    <t>23.16.33</t>
  </si>
  <si>
    <t>00000000F4188C90990C1D4F9592A85831DCA99307001CDFA5E3617DAF4D8529086EB3E4B6EC00000000010C00001CDFA5E3617DAF4D8529086EB3E4B6EC0000C6C648280000</t>
  </si>
  <si>
    <t>23.16.59</t>
  </si>
  <si>
    <t>00000000F4188C90990C1D4F9592A85831DCA99307001CDFA5E3617DAF4D8529086EB3E4B6EC00000000010C00001CDFA5E3617DAF4D8529086EB3E4B6EC0000C6C648270000</t>
  </si>
  <si>
    <t>22.28.36</t>
  </si>
  <si>
    <t>00000000F4188C90990C1D4F9592A85831DCA99307001CDFA5E3617DAF4D8529086EB3E4B6EC00000000010C00001CDFA5E3617DAF4D8529086EB3E4B6EC0000C6C648260000</t>
  </si>
  <si>
    <t>23.15.42</t>
  </si>
  <si>
    <t>00000000F4188C90990C1D4F9592A85831DCA99307001CDFA5E3617DAF4D8529086EB3E4B6EC00000000010C00001CDFA5E3617DAF4D8529086EB3E4B6EC0000C6C648250000</t>
  </si>
  <si>
    <t>23.15.55</t>
  </si>
  <si>
    <t>00000000F4188C90990C1D4F9592A85831DCA99307001CDFA5E3617DAF4D8529086EB3E4B6EC00000000010C00001CDFA5E3617DAF4D8529086EB3E4B6EC0000C6C648240000</t>
  </si>
  <si>
    <t>23.17.03</t>
  </si>
  <si>
    <t>00000000F4188C90990C1D4F9592A85831DCA99307001CDFA5E3617DAF4D8529086EB3E4B6EC00000000010C00001CDFA5E3617DAF4D8529086EB3E4B6EC0000C6C648230000</t>
  </si>
  <si>
    <t>23.16.45</t>
  </si>
  <si>
    <t>00000000F4188C90990C1D4F9592A85831DCA99307001CDFA5E3617DAF4D8529086EB3E4B6EC00000000010C00001CDFA5E3617DAF4D8529086EB3E4B6EC0000C6C648220000</t>
  </si>
  <si>
    <t>Oulu Rommakkokatu 9,C203</t>
  </si>
  <si>
    <t>23.09.22</t>
  </si>
  <si>
    <t>00000000F4188C90990C1D4F9592A85831DCA99307001CDFA5E3617DAF4D8529086EB3E4B6EC00000000010C00001CDFA5E3617DAF4D8529086EB3E4B6EC0000C6C648210000</t>
  </si>
  <si>
    <t>Alarm - DeviceNoResponseAlarm 2026.08.27 23</t>
  </si>
  <si>
    <t>23.07.53</t>
  </si>
  <si>
    <t>Alarm : As Oy Tornion Sairaalakatu 5</t>
  </si>
  <si>
    <t>00000000F4188C90990C1D4F9592A85831DCA99307001CDFA5E3617DAF4D8529086EB3E4B6EC00000000010C00001CDFA5E3617DAF4D8529086EB3E4B6EC0000C6C648200000</t>
  </si>
  <si>
    <t>Oulu Järvihiisi,Flex</t>
  </si>
  <si>
    <t>Alarm - DeviceNoResponseAlarm 2026.08.27 22</t>
  </si>
  <si>
    <t>22.27.58</t>
  </si>
  <si>
    <t>Alarm : Oulu Järvihiisi</t>
  </si>
  <si>
    <t>00000000F4188C90990C1D4F9592A85831DCA99307001CDFA5E3617DAF4D8529086EB3E4B6EC00000000010C00001CDFA5E3617DAF4D8529086EB3E4B6EC0000C6C6481F0000</t>
  </si>
  <si>
    <t>Kajaani Tehdaskatu 10,WL-Base</t>
  </si>
  <si>
    <t>Hälytys - ID_6974900 2026.08.27 22</t>
  </si>
  <si>
    <t>22.56.50</t>
  </si>
  <si>
    <t>00000000F4188C90990C1D4F9592A85831DCA99307001CDFA5E3617DAF4D8529086EB3E4B6EC00000000010C00001CDFA5E3617DAF4D8529086EB3E4B6EC0000C6C6481E0000</t>
  </si>
  <si>
    <t>Oulu Rommakkokatu 9,WL-Base</t>
  </si>
  <si>
    <t>Hälytys - ID_6691335 2026.08.27 22</t>
  </si>
  <si>
    <t>22.46.44</t>
  </si>
  <si>
    <t>00000000F4188C90990C1D4F9592A85831DCA99307001CDFA5E3617DAF4D8529086EB3E4B6EC00000000010C00001CDFA5E3617DAF4D8529086EB3E4B6EC0000C6C6481D0000</t>
  </si>
  <si>
    <t>Raahe Saaristokatu 54,WL base</t>
  </si>
  <si>
    <t>Hälytys - ID_4628123 2026.08.27 22</t>
  </si>
  <si>
    <t>22.47.30</t>
  </si>
  <si>
    <t>00000000F4188C90990C1D4F9592A85831DCA99307001CDFA5E3617DAF4D8529086EB3E4B6EC00000000010C00001CDFA5E3617DAF4D8529086EB3E4B6EC0000C6C6481C0000</t>
  </si>
  <si>
    <t>Oulu Suohaukka,FLEX</t>
  </si>
  <si>
    <t>Hälytys - ID_4687514 2026.08.27 22</t>
  </si>
  <si>
    <t>Hälytys : Oulu Suohaukka</t>
  </si>
  <si>
    <t>00000000F4188C90990C1D4F9592A85831DCA99307001CDFA5E3617DAF4D8529086EB3E4B6EC00000000010C00001CDFA5E3617DAF4D8529086EB3E4B6EC0000C6C6481B0000</t>
  </si>
  <si>
    <t>22.28.21</t>
  </si>
  <si>
    <t>00000000F4188C90990C1D4F9592A85831DCA99307001CDFA5E3617DAF4D8529086EB3E4B6EC00000000010C00001CDFA5E3617DAF4D8529086EB3E4B6EC0000C6C6481A0000</t>
  </si>
  <si>
    <t>Hälytys - ID_5718927 2026.08.27 22</t>
  </si>
  <si>
    <t>22.28.19</t>
  </si>
  <si>
    <t>00000000F4188C90990C1D4F9592A85831DCA99307001CDFA5E3617DAF4D8529086EB3E4B6EC00000000010C00001CDFA5E3617DAF4D8529086EB3E4B6EC0000C6C648190000</t>
  </si>
  <si>
    <t>Kajaani Louhikatu 4,Flex</t>
  </si>
  <si>
    <t>Hälytys - ID_6377637 2026.08.27 22</t>
  </si>
  <si>
    <t>22.27.23</t>
  </si>
  <si>
    <t>00000000F4188C90990C1D4F9592A85831DCA99307001CDFA5E3617DAF4D8529086EB3E4B6EC00000000010C00001CDFA5E3617DAF4D8529086EB3E4B6EC0000C6C648180000</t>
  </si>
  <si>
    <t>Oulun Ruustinna,Autohalli IV</t>
  </si>
  <si>
    <t>22.27.52</t>
  </si>
  <si>
    <t>00000000F4188C90990C1D4F9592A85831DCA99307001CDFA5E3617DAF4D8529086EB3E4B6EC00000000010C00001CDFA5E3617DAF4D8529086EB3E4B6EC0000C6C648170000</t>
  </si>
  <si>
    <t>22.37.06</t>
  </si>
  <si>
    <t>00000000F4188C90990C1D4F9592A85831DCA99307001CDFA5E3617DAF4D8529086EB3E4B6EC00000000010C00001CDFA5E3617DAF4D8529086EB3E4B6EC0000C6C648160000</t>
  </si>
  <si>
    <t>KOy Valtakatu 33 Lappeenranta,VAK2</t>
  </si>
  <si>
    <t>22.38.10</t>
  </si>
  <si>
    <t>00000000F4188C90990C1D4F9592A85831DCA99307001CDFA5E3617DAF4D8529086EB3E4B6EC00000000010C00001CDFA5E3617DAF4D8529086EB3E4B6EC0000C6C648150000</t>
  </si>
  <si>
    <t>00000000F4188C90990C1D4F9592A85831DCA99307001CDFA5E3617DAF4D8529086EB3E4B6EC00000000010C00001CDFA5E3617DAF4D8529086EB3E4B6EC0000C6C648140000</t>
  </si>
  <si>
    <t>Kalajoki Kalajoen liikekeskus,Flex</t>
  </si>
  <si>
    <t>22.36.19</t>
  </si>
  <si>
    <t>Hälytys : Kalajoki Kalajoen liikekeskus</t>
  </si>
  <si>
    <t>00000000F4188C90990C1D4F9592A85831DCA99307001CDFA5E3617DAF4D8529086EB3E4B6EC00000000010C00001CDFA5E3617DAF4D8529086EB3E4B6EC0000C6C648130000</t>
  </si>
  <si>
    <t>Hälytys - ID_2457360 2026.08.27 22</t>
  </si>
  <si>
    <t>22.33.16</t>
  </si>
  <si>
    <t>00000000F4188C90990C1D4F9592A85831DCA99307001CDFA5E3617DAF4D8529086EB3E4B6EC00000000010C00001CDFA5E3617DAF4D8529086EB3E4B6EC0000C6C648120000</t>
  </si>
  <si>
    <t>22.24.00</t>
  </si>
  <si>
    <t>00000000F4188C90990C1D4F9592A85831DCA99307001CDFA5E3617DAF4D8529086EB3E4B6EC00000000010C00001CDFA5E3617DAF4D8529086EB3E4B6EC0000C6C648110000</t>
  </si>
  <si>
    <t>22.23.57</t>
  </si>
  <si>
    <t>00000000F4188C90990C1D4F9592A85831DCA99307001CDFA5E3617DAF4D8529086EB3E4B6EC00000000010C00001CDFA5E3617DAF4D8529086EB3E4B6EC0000C6C648100000</t>
  </si>
  <si>
    <t>Oulu Varpushaukantie 4 (P),Flex</t>
  </si>
  <si>
    <t>22.27.14</t>
  </si>
  <si>
    <t>Hälytys : Oulu Varpushaukantie 4 (P)</t>
  </si>
  <si>
    <t>00000000F4188C90990C1D4F9592A85831DCA99307001CDFA5E3617DAF4D8529086EB3E4B6EC00000000010C00001CDFA5E3617DAF4D8529086EB3E4B6EC0000C6C6480F0000</t>
  </si>
  <si>
    <t>22.27.37</t>
  </si>
  <si>
    <t>00000000F4188C90990C1D4F9592A85831DCA99307001CDFA5E3617DAF4D8529086EB3E4B6EC00000000010C00001CDFA5E3617DAF4D8529086EB3E4B6EC0000C6C6480E0000</t>
  </si>
  <si>
    <t>Sotkamo Vatro 1 / Vatro 2,FLEX</t>
  </si>
  <si>
    <t>22.23.54</t>
  </si>
  <si>
    <t>Hälytys : Sotkamo Vatro 1 / Vatro 2</t>
  </si>
  <si>
    <t>00000000F4188C90990C1D4F9592A85831DCA99307001CDFA5E3617DAF4D8529086EB3E4B6EC00000000010C00001CDFA5E3617DAF4D8529086EB3E4B6EC0000C6C6480D0000</t>
  </si>
  <si>
    <t>22.28.33</t>
  </si>
  <si>
    <t>00000000F4188C90990C1D4F9592A85831DCA99307001CDFA5E3617DAF4D8529086EB3E4B6EC00000000010C00001CDFA5E3617DAF4D8529086EB3E4B6EC0000C6C6480C0000</t>
  </si>
  <si>
    <t>Oulu Saaristonkatu 5,Flex</t>
  </si>
  <si>
    <t>Hälytys - ID_5722588 2026.08.27 22</t>
  </si>
  <si>
    <t>22.27.46</t>
  </si>
  <si>
    <t>Hälytys : Oulu Saaristonkatu 5</t>
  </si>
  <si>
    <t>00000000F4188C90990C1D4F9592A85831DCA99307001CDFA5E3617DAF4D8529086EB3E4B6EC00000000010C00001CDFA5E3617DAF4D8529086EB3E4B6EC0000C6C6480B0000</t>
  </si>
  <si>
    <t>22.27.35</t>
  </si>
  <si>
    <t>00000000F4188C90990C1D4F9592A85831DCA99307001CDFA5E3617DAF4D8529086EB3E4B6EC00000000010C00001CDFA5E3617DAF4D8529086EB3E4B6EC0000C6C6480A0000</t>
  </si>
  <si>
    <t>22.27.33</t>
  </si>
  <si>
    <t>00000000F4188C90990C1D4F9592A85831DCA99307001CDFA5E3617DAF4D8529086EB3E4B6EC00000000010C00001CDFA5E3617DAF4D8529086EB3E4B6EC0000C6C648090000</t>
  </si>
  <si>
    <t>00000000F4188C90990C1D4F9592A85831DCA99307001CDFA5E3617DAF4D8529086EB3E4B6EC00000000010C00001CDFA5E3617DAF4D8529086EB3E4B6EC0000C6C648080000</t>
  </si>
  <si>
    <t>Oulu Rantakatu 9,Flex</t>
  </si>
  <si>
    <t>Hälytys - ID_5725466 2026.08.27 22</t>
  </si>
  <si>
    <t>22.27.36</t>
  </si>
  <si>
    <t>Hälytys : Oulu Rantakatu 9</t>
  </si>
  <si>
    <t>00000000F4188C90990C1D4F9592A85831DCA99307001CDFA5E3617DAF4D8529086EB3E4B6EC00000000010C00001CDFA5E3617DAF4D8529086EB3E4B6EC0000C6C648070000</t>
  </si>
  <si>
    <t>Raahe Reiponkatu 32,FLEX</t>
  </si>
  <si>
    <t>22.27.24</t>
  </si>
  <si>
    <t>Hälytys : Raahe Reiponkatu 32</t>
  </si>
  <si>
    <t>00000000F4188C90990C1D4F9592A85831DCA99307001CDFA5E3617DAF4D8529086EB3E4B6EC00000000010C00001CDFA5E3617DAF4D8529086EB3E4B6EC0000C6C648060000</t>
  </si>
  <si>
    <t>Oulu Vaskikotka (P),Flex</t>
  </si>
  <si>
    <t>Hälytys : Oulu Vaskikotka (P)</t>
  </si>
  <si>
    <t>00000000F4188C90990C1D4F9592A85831DCA99307001CDFA5E3617DAF4D8529086EB3E4B6EC00000000010C00001CDFA5E3617DAF4D8529086EB3E4B6EC0000C6C648050000</t>
  </si>
  <si>
    <t>22.24.21</t>
  </si>
  <si>
    <t>00000000F4188C90990C1D4F9592A85831DCA99307001CDFA5E3617DAF4D8529086EB3E4B6EC00000000010C00001CDFA5E3617DAF4D8529086EB3E4B6EC0000C6C648040000</t>
  </si>
  <si>
    <t>Oulu Metsälauhantie 3,FLEX</t>
  </si>
  <si>
    <t>Hälytys : Oulu Metsälauhantie 3</t>
  </si>
  <si>
    <t>00000000F4188C90990C1D4F9592A85831DCA99307001CDFA5E3617DAF4D8529086EB3E4B6EC00000000010C00001CDFA5E3617DAF4D8529086EB3E4B6EC0000C6C648030000</t>
  </si>
  <si>
    <t>00000000F4188C90990C1D4F9592A85831DCA99307001CDFA5E3617DAF4D8529086EB3E4B6EC00000000010C00001CDFA5E3617DAF4D8529086EB3E4B6EC0000C6C648020000</t>
  </si>
  <si>
    <t>Hälytys - ID_4716145 2026.08.27 22</t>
  </si>
  <si>
    <t>00000000F4188C90990C1D4F9592A85831DCA99307001CDFA5E3617DAF4D8529086EB3E4B6EC00000000010C00001CDFA5E3617DAF4D8529086EB3E4B6EC0000C6C648010000</t>
  </si>
  <si>
    <t>00000000F4188C90990C1D4F9592A85831DCA99307001CDFA5E3617DAF4D8529086EB3E4B6EC00000000010C00001CDFA5E3617DAF4D8529086EB3E4B6EC0000C6C648000000</t>
  </si>
  <si>
    <t>Oulu Haukanpolku,Flex</t>
  </si>
  <si>
    <t>22.24.50</t>
  </si>
  <si>
    <t>Hälytys : Oulu Haukanpolku</t>
  </si>
  <si>
    <t>00000000F4188C90990C1D4F9592A85831DCA99307001CDFA5E3617DAF4D8529086EB3E4B6EC00000000010C00001CDFA5E3617DAF4D8529086EB3E4B6EC0000C6C647FF0000</t>
  </si>
  <si>
    <t>22.24.18</t>
  </si>
  <si>
    <t>00000000F4188C90990C1D4F9592A85831DCA99307001CDFA5E3617DAF4D8529086EB3E4B6EC00000000010C00001CDFA5E3617DAF4D8529086EB3E4B6EC0000C6C647FE0000</t>
  </si>
  <si>
    <t>Alarm - ID_4736585 2026.08.27 22</t>
  </si>
  <si>
    <t>22.24.17</t>
  </si>
  <si>
    <t>00000000F4188C90990C1D4F9592A85831DCA99307001CDFA5E3617DAF4D8529086EB3E4B6EC00000000010C00001CDFA5E3617DAF4D8529086EB3E4B6EC0000C6C647FD0000</t>
  </si>
  <si>
    <t>00000000F4188C90990C1D4F9592A85831DCA99307001CDFA5E3617DAF4D8529086EB3E4B6EC00000000010C00001CDFA5E3617DAF4D8529086EB3E4B6EC0000C6C647FC0000</t>
  </si>
  <si>
    <t>00000000F4188C90990C1D4F9592A85831DCA99307001CDFA5E3617DAF4D8529086EB3E4B6EC00000000010C00001CDFA5E3617DAF4D8529086EB3E4B6EC0000C6C647FB0000</t>
  </si>
  <si>
    <t>Poistunut hälytys - DeviceNoResponseAlarm 2026.08.27 21</t>
  </si>
  <si>
    <t>22.13.11</t>
  </si>
  <si>
    <t>00000000F4188C90990C1D4F9592A85831DCA99307001CDFA5E3617DAF4D8529086EB3E4B6EC00000000010C00001CDFA5E3617DAF4D8529086EB3E4B6EC0000C6C647FA0000</t>
  </si>
  <si>
    <t>Sotkamo Kanervatie 4 ja 6,WL base</t>
  </si>
  <si>
    <t>Hälytys - ID_5702264 2026.08.27 22</t>
  </si>
  <si>
    <t>22.06.52</t>
  </si>
  <si>
    <t>00000000F4188C90990C1D4F9592A85831DCA99307001CDFA5E3617DAF4D8529086EB3E4B6EC00000000010C00001CDFA5E3617DAF4D8529086EB3E4B6EC0000C6C647F90000</t>
  </si>
  <si>
    <t>Tornionväylä,WL-Base</t>
  </si>
  <si>
    <t>22.06.49</t>
  </si>
  <si>
    <t>00000000F4188C90990C1D4F9592A85831DCA99307001CDFA5E3617DAF4D8529086EB3E4B6EC00000000010C00001CDFA5E3617DAF4D8529086EB3E4B6EC0000C6C647F80000</t>
  </si>
  <si>
    <t>Sotkamo Vatro 1 / Vatro 2,WL base</t>
  </si>
  <si>
    <t>Hälytys - ID_5704955 2026.08.27 22</t>
  </si>
  <si>
    <t>22.06.44</t>
  </si>
  <si>
    <t>00000000F4188C90990C1D4F9592A85831DCA99307001CDFA5E3617DAF4D8529086EB3E4B6EC00000000010C00001CDFA5E3617DAF4D8529086EB3E4B6EC0000C6C647F70000</t>
  </si>
  <si>
    <t>Hälytys - VAK4.MB1_ADDR6_TK3_PE01.A3 2026.08.27 22</t>
  </si>
  <si>
    <t>22.04.58</t>
  </si>
  <si>
    <t>00000000F4188C90990C1D4F9592A85831DCA99307001CDFA5E3617DAF4D8529086EB3E4B6EC00000000010C00001CDFA5E3617DAF4D8529086EB3E4B6EC0000C6C647F60000</t>
  </si>
  <si>
    <t>Inactive alarm - DeviceNoResponseAlarm 2026.08.27 21</t>
  </si>
  <si>
    <t>21.53.32</t>
  </si>
  <si>
    <t>00000000F4188C90990C1D4F9592A85831DCA99307001CDFA5E3617DAF4D8529086EB3E4B6EC00000000010C00001CDFA5E3617DAF4D8529086EB3E4B6EC0000C6C647F50000</t>
  </si>
  <si>
    <t>21.59.36</t>
  </si>
  <si>
    <t>00000000F4188C90990C1D4F9592A85831DCA99307001CDFA5E3617DAF4D8529086EB3E4B6EC00000000010C00001CDFA5E3617DAF4D8529086EB3E4B6EC0000C6C647F40000</t>
  </si>
  <si>
    <t>21.58.26</t>
  </si>
  <si>
    <t>00000000F4188C90990C1D4F9592A85831DCA99307001CDFA5E3617DAF4D8529086EB3E4B6EC00000000010C00001CDFA5E3617DAF4D8529086EB3E4B6EC0000C6C647F30000</t>
  </si>
  <si>
    <t>Hälytys - DeviceNoResponseAlarm 2026.08.27 21</t>
  </si>
  <si>
    <t>21.56.38</t>
  </si>
  <si>
    <t>00000000F4188C90990C1D4F9592A85831DCA99307001CDFA5E3617DAF4D8529086EB3E4B6EC00000000010C00001CDFA5E3617DAF4D8529086EB3E4B6EC0000C6C647F20000</t>
  </si>
  <si>
    <t>Hälytys - LM1.L1.TE41_L1.A2 2026.08.27 20</t>
  </si>
  <si>
    <t>20.54.12</t>
  </si>
  <si>
    <t>00000000F4188C90990C1D4F9592A85831DCA99307001CDFA5E3617DAF4D8529086EB3E4B6EC00000000010C00001CDFA5E3617DAF4D8529086EB3E4B6EC0000C6C647F10000</t>
  </si>
  <si>
    <t>21.55.04</t>
  </si>
  <si>
    <t>00000000F4188C90990C1D4F9592A85831DCA99307001CDFA5E3617DAF4D8529086EB3E4B6EC00000000010C00001CDFA5E3617DAF4D8529086EB3E4B6EC0000C6C647F00000</t>
  </si>
  <si>
    <t>21.53.40</t>
  </si>
  <si>
    <t>00000000F4188C90990C1D4F9592A85831DCA99307001CDFA5E3617DAF4D8529086EB3E4B6EC00000000010C00001CDFA5E3617DAF4D8529086EB3E4B6EC0000C6C647EF0000</t>
  </si>
  <si>
    <t>21.52.06</t>
  </si>
  <si>
    <t>00000000F4188C90990C1D4F9592A85831DCA99307001CDFA5E3617DAF4D8529086EB3E4B6EC00000000010C00001CDFA5E3617DAF4D8529086EB3E4B6EC0000C6C647EE0000</t>
  </si>
  <si>
    <t>21.50.17</t>
  </si>
  <si>
    <t>00000000F4188C90990C1D4F9592A85831DCA99307001CDFA5E3617DAF4D8529086EB3E4B6EC00000000010C00001CDFA5E3617DAF4D8529086EB3E4B6EC0000C6C647ED0000</t>
  </si>
  <si>
    <t>21.48.51</t>
  </si>
  <si>
    <t>00000000F4188C90990C1D4F9592A85831DCA99307001CDFA5E3617DAF4D8529086EB3E4B6EC00000000010C00001CDFA5E3617DAF4D8529086EB3E4B6EC0000C6C647EC0000</t>
  </si>
  <si>
    <t>21.48.25</t>
  </si>
  <si>
    <t>00000000F4188C90990C1D4F9592A85831DCA99307001CDFA5E3617DAF4D8529086EB3E4B6EC00000000010C00001CDFA5E3617DAF4D8529086EB3E4B6EC0000C6C647EB0000</t>
  </si>
  <si>
    <t>Hälytys - ID_6691335 2026.08.27 21</t>
  </si>
  <si>
    <t>21.36.07</t>
  </si>
  <si>
    <t>00000000F4188C90990C1D4F9592A85831DCA99307001CDFA5E3617DAF4D8529086EB3E4B6EC00000000010C00001CDFA5E3617DAF4D8529086EB3E4B6EC0000C6C647EA0000</t>
  </si>
  <si>
    <t>Hälytys - DeviceNoResponseAlarm 2026.08.27 20</t>
  </si>
  <si>
    <t>20.48.55</t>
  </si>
  <si>
    <t>00000000F4188C90990C1D4F9592A85831DCA99307001CDFA5E3617DAF4D8529086EB3E4B6EC00000000010C00001CDFA5E3617DAF4D8529086EB3E4B6EC0000C6C647E90000</t>
  </si>
  <si>
    <t>21.25.08</t>
  </si>
  <si>
    <t>00000000F4188C90990C1D4F9592A85831DCA99307001CDFA5E3617DAF4D8529086EB3E4B6EC00000000010C00001CDFA5E3617DAF4D8529086EB3E4B6EC0000C6C647E80000</t>
  </si>
  <si>
    <t>Alarm - DeviceNoResponseAlarm 2026.08.27 21</t>
  </si>
  <si>
    <t>21.17.22</t>
  </si>
  <si>
    <t>00000000F4188C90990C1D4F9592A85831DCA99307001CDFA5E3617DAF4D8529086EB3E4B6EC00000000010C00001CDFA5E3617DAF4D8529086EB3E4B6EC0000C6C647E70000</t>
  </si>
  <si>
    <t>21.16.41</t>
  </si>
  <si>
    <t>00000000F4188C90990C1D4F9592A85831DCA99307001CDFA5E3617DAF4D8529086EB3E4B6EC00000000010C00001CDFA5E3617DAF4D8529086EB3E4B6EC0000C6C647E60000</t>
  </si>
  <si>
    <t>21.15.57</t>
  </si>
  <si>
    <t>00000000F4188C90990C1D4F9592A85831DCA99307001CDFA5E3617DAF4D8529086EB3E4B6EC00000000010C00001CDFA5E3617DAF4D8529086EB3E4B6EC0000C6C647E50000</t>
  </si>
  <si>
    <t>21.17.18</t>
  </si>
  <si>
    <t>00000000F4188C90990C1D4F9592A85831DCA99307001CDFA5E3617DAF4D8529086EB3E4B6EC00000000010C00001CDFA5E3617DAF4D8529086EB3E4B6EC0000C6C647E40000</t>
  </si>
  <si>
    <t>21.16.04</t>
  </si>
  <si>
    <t>00000000F4188C90990C1D4F9592A85831DCA99307001CDFA5E3617DAF4D8529086EB3E4B6EC00000000010C00001CDFA5E3617DAF4D8529086EB3E4B6EC0000C6C647E30000</t>
  </si>
  <si>
    <t>21.16.01</t>
  </si>
  <si>
    <t>00000000F4188C90990C1D4F9592A85831DCA99307001CDFA5E3617DAF4D8529086EB3E4B6EC00000000010C00001CDFA5E3617DAF4D8529086EB3E4B6EC0000C6C647E20000</t>
  </si>
  <si>
    <t>21.16.21</t>
  </si>
  <si>
    <t>00000000F4188C90990C1D4F9592A85831DCA99307001CDFA5E3617DAF4D8529086EB3E4B6EC00000000010C00001CDFA5E3617DAF4D8529086EB3E4B6EC0000C6C647E10000</t>
  </si>
  <si>
    <t>21.16.06</t>
  </si>
  <si>
    <t>00000000F4188C90990C1D4F9592A85831DCA99307001CDFA5E3617DAF4D8529086EB3E4B6EC00000000010C00001CDFA5E3617DAF4D8529086EB3E4B6EC0000C6C647E00000</t>
  </si>
  <si>
    <t>Hälytys - VAK4.MB1_ADDR5_TK2_TK2_PE01.A3 2026.08.27 21</t>
  </si>
  <si>
    <t>21.08.56</t>
  </si>
  <si>
    <t>00000000F4188C90990C1D4F9592A85831DCA99307001CDFA5E3617DAF4D8529086EB3E4B6EC00000000010C00001CDFA5E3617DAF4D8529086EB3E4B6EC0000C6C647DF0000</t>
  </si>
  <si>
    <t>20.56.59</t>
  </si>
  <si>
    <t>00000000F4188C90990C1D4F9592A85831DCA99307001CDFA5E3617DAF4D8529086EB3E4B6EC00000000010C00001CDFA5E3617DAF4D8529086EB3E4B6EC0000C6C647DE0000</t>
  </si>
  <si>
    <t>20.48.42</t>
  </si>
  <si>
    <t>00000000F4188C90990C1D4F9592A85831DCA99307001CDFA5E3617DAF4D8529086EB3E4B6EC00000000010C00001CDFA5E3617DAF4D8529086EB3E4B6EC0000C6C647DD0000</t>
  </si>
  <si>
    <t>Kauppakeskus Mega,VAK1</t>
  </si>
  <si>
    <t>20.58.06</t>
  </si>
  <si>
    <t>00000000F4188C90990C1D4F9592A85831DCA99307001CDFA5E3617DAF4D8529086EB3E4B6EC00000000010C00001CDFA5E3617DAF4D8529086EB3E4B6EC0000C6C647DC0000</t>
  </si>
  <si>
    <t>Hälytys - ID_6622938 2026.08.27 20</t>
  </si>
  <si>
    <t>20.46.52</t>
  </si>
  <si>
    <t>00000000F4188C90990C1D4F9592A85831DCA99307001CDFA5E3617DAF4D8529086EB3E4B6EC00000000010C00001CDFA5E3617DAF4D8529086EB3E4B6EC0000C6C647DB0000</t>
  </si>
  <si>
    <t>Hälytys - ID_5798719 2026.08.27 20</t>
  </si>
  <si>
    <t>20.40.47</t>
  </si>
  <si>
    <t>00000000F4188C90990C1D4F9592A85831DCA99307001CDFA5E3617DAF4D8529086EB3E4B6EC00000000010C00001CDFA5E3617DAF4D8529086EB3E4B6EC0000C6C647DA0000</t>
  </si>
  <si>
    <t>Hälytys - ID_6974900 2026.08.27 20</t>
  </si>
  <si>
    <t>20.42.14</t>
  </si>
  <si>
    <t>00000000F4188C90990C1D4F9592A85831DCA99307001CDFA5E3617DAF4D8529086EB3E4B6EC00000000010C00001CDFA5E3617DAF4D8529086EB3E4B6EC0000C6C647D90000</t>
  </si>
  <si>
    <t>20.35.28</t>
  </si>
  <si>
    <t>00000000F4188C90990C1D4F9592A85831DCA99307001CDFA5E3617DAF4D8529086EB3E4B6EC00000000010C00001CDFA5E3617DAF4D8529086EB3E4B6EC0000C6C647D80000</t>
  </si>
  <si>
    <t>00000000F4188C90990C1D4F9592A85831DCA99307001CDFA5E3617DAF4D8529086EB3E4B6EC00000000010C00001CDFA5E3617DAF4D8529086EB3E4B6EC0000C6C647D70000</t>
  </si>
  <si>
    <t>Oulu Tuulimyllynkatu 7-9 (P),Flex</t>
  </si>
  <si>
    <t>20.34.31</t>
  </si>
  <si>
    <t>Hälytys : Oulu Tuulimyllynkatu 7-9 (P)</t>
  </si>
  <si>
    <t>00000000F4188C90990C1D4F9592A85831DCA99307001CDFA5E3617DAF4D8529086EB3E4B6EC00000000010C00001CDFA5E3617DAF4D8529086EB3E4B6EC0000C6C647D60000</t>
  </si>
  <si>
    <t>Hälytys - VAK4.MB2_WL_BaseVAK4_Alarm2.A 2026.08.27 20</t>
  </si>
  <si>
    <t>20.33.31</t>
  </si>
  <si>
    <t>00000000F4188C90990C1D4F9592A85831DCA99307001CDFA5E3617DAF4D8529086EB3E4B6EC00000000010C00001CDFA5E3617DAF4D8529086EB3E4B6EC0000C6C647D50000</t>
  </si>
  <si>
    <t>20.33.17</t>
  </si>
  <si>
    <t>00000000F4188C90990C1D4F9592A85831DCA99307001CDFA5E3617DAF4D8529086EB3E4B6EC00000000010C00001CDFA5E3617DAF4D8529086EB3E4B6EC0000C6C647D40000</t>
  </si>
  <si>
    <t>Hälytys - ID_6399191 2026.08.27 20</t>
  </si>
  <si>
    <t>20.30.55</t>
  </si>
  <si>
    <t>00000000F4188C90990C1D4F9592A85831DCA99307001CDFA5E3617DAF4D8529086EB3E4B6EC00000000010C00001CDFA5E3617DAF4D8529086EB3E4B6EC0000C6C647D30000</t>
  </si>
  <si>
    <t>20.30.20</t>
  </si>
  <si>
    <t>00000000F4188C90990C1D4F9592A85831DCA99307001CDFA5E3617DAF4D8529086EB3E4B6EC00000000010C00001CDFA5E3617DAF4D8529086EB3E4B6EC0000C6C647D20000</t>
  </si>
  <si>
    <t>Hälytys - ID_4628123 2026.08.27 20</t>
  </si>
  <si>
    <t>20.30.14</t>
  </si>
  <si>
    <t>00000000F4188C90990C1D4F9592A85831DCA99307001CDFA5E3617DAF4D8529086EB3E4B6EC00000000010C00001CDFA5E3617DAF4D8529086EB3E4B6EC0000C6C647D10000</t>
  </si>
  <si>
    <t>20.27.59</t>
  </si>
  <si>
    <t>00000000F4188C90990C1D4F9592A85831DCA99307001CDFA5E3617DAF4D8529086EB3E4B6EC00000000010C00001CDFA5E3617DAF4D8529086EB3E4B6EC0000C6C647D00000</t>
  </si>
  <si>
    <t>Hälytys - ID_6129670 2026.08.27 20</t>
  </si>
  <si>
    <t>20.25.28</t>
  </si>
  <si>
    <t>00000000F4188C90990C1D4F9592A85831DCA99307001CDFA5E3617DAF4D8529086EB3E4B6EC00000000010C00001CDFA5E3617DAF4D8529086EB3E4B6EC0000C6C647CF0000</t>
  </si>
  <si>
    <t>20.25.24</t>
  </si>
  <si>
    <t>00000000F4188C90990C1D4F9592A85831DCA99307001CDFA5E3617DAF4D8529086EB3E4B6EC00000000010C00001CDFA5E3617DAF4D8529086EB3E4B6EC0000C6C647CE0000</t>
  </si>
  <si>
    <t>20.25.21</t>
  </si>
  <si>
    <t>00000000F4188C90990C1D4F9592A85831DCA99307001CDFA5E3617DAF4D8529086EB3E4B6EC00000000010C00001CDFA5E3617DAF4D8529086EB3E4B6EC0000C6C647CD0000</t>
  </si>
  <si>
    <t>20.25.22</t>
  </si>
  <si>
    <t>00000000F4188C90990C1D4F9592A85831DCA99307001CDFA5E3617DAF4D8529086EB3E4B6EC00000000010C00001CDFA5E3617DAF4D8529086EB3E4B6EC0000C6C647CC0000</t>
  </si>
  <si>
    <t>Hälytys - ID_5718927 2026.08.27 20</t>
  </si>
  <si>
    <t>20.25.14</t>
  </si>
  <si>
    <t>00000000F4188C90990C1D4F9592A85831DCA99307001CDFA5E3617DAF4D8529086EB3E4B6EC00000000010C00001CDFA5E3617DAF4D8529086EB3E4B6EC0000C6C647CB0000</t>
  </si>
  <si>
    <t>Alarm - DeviceNoResponseAlarm 2026.08.27 20</t>
  </si>
  <si>
    <t>20.25.12</t>
  </si>
  <si>
    <t>00000000F4188C90990C1D4F9592A85831DCA99307001CDFA5E3617DAF4D8529086EB3E4B6EC00000000010C00001CDFA5E3617DAF4D8529086EB3E4B6EC0000C6C647CA0000</t>
  </si>
  <si>
    <t>20.25.13</t>
  </si>
  <si>
    <t>00000000F4188C90990C1D4F9592A85831DCA99307001CDFA5E3617DAF4D8529086EB3E4B6EC00000000010C00001CDFA5E3617DAF4D8529086EB3E4B6EC0000C6C647C90000</t>
  </si>
  <si>
    <t>20.25.10</t>
  </si>
  <si>
    <t>00000000F4188C90990C1D4F9592A85831DCA99307001CDFA5E3617DAF4D8529086EB3E4B6EC00000000010C00001CDFA5E3617DAF4D8529086EB3E4B6EC0000C6C647C80000</t>
  </si>
  <si>
    <t>20.24.59</t>
  </si>
  <si>
    <t>00000000F4188C90990C1D4F9592A85831DCA99307001CDFA5E3617DAF4D8529086EB3E4B6EC00000000010C00001CDFA5E3617DAF4D8529086EB3E4B6EC0000C6C647C70000</t>
  </si>
  <si>
    <t>20.24.39</t>
  </si>
  <si>
    <t>00000000F4188C90990C1D4F9592A85831DCA99307001CDFA5E3617DAF4D8529086EB3E4B6EC00000000010C00001CDFA5E3617DAF4D8529086EB3E4B6EC0000C6C647C60000</t>
  </si>
  <si>
    <t>20.24.31</t>
  </si>
  <si>
    <t>00000000F4188C90990C1D4F9592A85831DCA99307001CDFA5E3617DAF4D8529086EB3E4B6EC00000000010C00001CDFA5E3617DAF4D8529086EB3E4B6EC0000C6C647C50000</t>
  </si>
  <si>
    <t>20.24.32</t>
  </si>
  <si>
    <t>00000000F4188C90990C1D4F9592A85831DCA99307001CDFA5E3617DAF4D8529086EB3E4B6EC00000000010C00001CDFA5E3617DAF4D8529086EB3E4B6EC0000C6C647C40000</t>
  </si>
  <si>
    <t>20.24.25</t>
  </si>
  <si>
    <t>00000000F4188C90990C1D4F9592A85831DCA99307001CDFA5E3617DAF4D8529086EB3E4B6EC00000000010C00001CDFA5E3617DAF4D8529086EB3E4B6EC0000C6C647C30000</t>
  </si>
  <si>
    <t>20.24.17</t>
  </si>
  <si>
    <t>00000000F4188C90990C1D4F9592A85831DCA99307001CDFA5E3617DAF4D8529086EB3E4B6EC00000000010C00001CDFA5E3617DAF4D8529086EB3E4B6EC0000C6C647C20000</t>
  </si>
  <si>
    <t>Hälytys - ID_6377637 2026.08.27 20</t>
  </si>
  <si>
    <t>20.24.11</t>
  </si>
  <si>
    <t>00000000F4188C90990C1D4F9592A85831DCA99307001CDFA5E3617DAF4D8529086EB3E4B6EC00000000010C00001CDFA5E3617DAF4D8529086EB3E4B6EC0000C6C647C10000</t>
  </si>
  <si>
    <t>Hälytys - ID_5722588 2026.08.27 20</t>
  </si>
  <si>
    <t>20.24.12</t>
  </si>
  <si>
    <t>00000000F4188C90990C1D4F9592A85831DCA99307001CDFA5E3617DAF4D8529086EB3E4B6EC00000000010C00001CDFA5E3617DAF4D8529086EB3E4B6EC0000C6C647C00000</t>
  </si>
  <si>
    <t>Hälytys - ID_5725466 2026.08.27 20</t>
  </si>
  <si>
    <t>20.24.08</t>
  </si>
  <si>
    <t>00000000F4188C90990C1D4F9592A85831DCA99307001CDFA5E3617DAF4D8529086EB3E4B6EC00000000010C00001CDFA5E3617DAF4D8529086EB3E4B6EC0000C6C647BF0000</t>
  </si>
  <si>
    <t>Hälytys - ID_5176177 2026.08.27 20</t>
  </si>
  <si>
    <t>20.24.07</t>
  </si>
  <si>
    <t>00000000F4188C90990C1D4F9592A85831DCA99307001CDFA5E3617DAF4D8529086EB3E4B6EC00000000010C00001CDFA5E3617DAF4D8529086EB3E4B6EC0000C6C647BE0000</t>
  </si>
  <si>
    <t>20.23.59</t>
  </si>
  <si>
    <t>00000000F4188C90990C1D4F9592A85831DCA99307001CDFA5E3617DAF4D8529086EB3E4B6EC00000000010C00001CDFA5E3617DAF4D8529086EB3E4B6EC0000C6C647BD0000</t>
  </si>
  <si>
    <t>Hälytys - ID_2457360 2026.08.27 20</t>
  </si>
  <si>
    <t>20.23.50</t>
  </si>
  <si>
    <t>00000000F4188C90990C1D4F9592A85831DCA99307001CDFA5E3617DAF4D8529086EB3E4B6EC00000000010C00001CDFA5E3617DAF4D8529086EB3E4B6EC0000C6C647BC0000</t>
  </si>
  <si>
    <t>20.23.45</t>
  </si>
  <si>
    <t>00000000F4188C90990C1D4F9592A85831DCA99307001CDFA5E3617DAF4D8529086EB3E4B6EC00000000010C00001CDFA5E3617DAF4D8529086EB3E4B6EC0000C6C647BB0000</t>
  </si>
  <si>
    <t>Hälytys - ID_4736585 2026.08.27 20</t>
  </si>
  <si>
    <t>20.22.34</t>
  </si>
  <si>
    <t>00000000F4188C90990C1D4F9592A85831DCA99307001CDFA5E3617DAF4D8529086EB3E4B6EC00000000010C00001CDFA5E3617DAF4D8529086EB3E4B6EC0000C6C647BA0000</t>
  </si>
  <si>
    <t>20.22.32</t>
  </si>
  <si>
    <t>00000000F4188C90990C1D4F9592A85831DCA99307001CDFA5E3617DAF4D8529086EB3E4B6EC00000000010C00001CDFA5E3617DAF4D8529086EB3E4B6EC0000C6C647B90000</t>
  </si>
  <si>
    <t>Hälytys - ID_4687514 2026.08.27 20</t>
  </si>
  <si>
    <t>20.21.55</t>
  </si>
  <si>
    <t>00000000F4188C90990C1D4F9592A85831DCA99307001CDFA5E3617DAF4D8529086EB3E4B6EC00000000010C00001CDFA5E3617DAF4D8529086EB3E4B6EC0000C6C647B80000</t>
  </si>
  <si>
    <t>20.21.54</t>
  </si>
  <si>
    <t>00000000F4188C90990C1D4F9592A85831DCA99307001CDFA5E3617DAF4D8529086EB3E4B6EC00000000010C00001CDFA5E3617DAF4D8529086EB3E4B6EC0000C6C647B70000</t>
  </si>
  <si>
    <t>20.21.50</t>
  </si>
  <si>
    <t>00000000F4188C90990C1D4F9592A85831DCA99307001CDFA5E3617DAF4D8529086EB3E4B6EC00000000010C00001CDFA5E3617DAF4D8529086EB3E4B6EC0000C6C647B60000</t>
  </si>
  <si>
    <t>20.21.52</t>
  </si>
  <si>
    <t>00000000F4188C90990C1D4F9592A85831DCA99307001CDFA5E3617DAF4D8529086EB3E4B6EC00000000010C00001CDFA5E3617DAF4D8529086EB3E4B6EC0000C6C647B50000</t>
  </si>
  <si>
    <t>20.21.42</t>
  </si>
  <si>
    <t>00000000F4188C90990C1D4F9592A85831DCA99307001CDFA5E3617DAF4D8529086EB3E4B6EC00000000010C00001CDFA5E3617DAF4D8529086EB3E4B6EC0000C6C647B40000</t>
  </si>
  <si>
    <t>20.21.39</t>
  </si>
  <si>
    <t>00000000F4188C90990C1D4F9592A85831DCA99307001CDFA5E3617DAF4D8529086EB3E4B6EC00000000010C00001CDFA5E3617DAF4D8529086EB3E4B6EC0000C6C647B30000</t>
  </si>
  <si>
    <t>00000000F4188C90990C1D4F9592A85831DCA99307001CDFA5E3617DAF4D8529086EB3E4B6EC00000000010C00001CDFA5E3617DAF4D8529086EB3E4B6EC0000C6C647B20000</t>
  </si>
  <si>
    <t>20.21.38</t>
  </si>
  <si>
    <t>00000000F4188C90990C1D4F9592A85831DCA99307001CDFA5E3617DAF4D8529086EB3E4B6EC00000000010C00001CDFA5E3617DAF4D8529086EB3E4B6EC0000C6C647B10000</t>
  </si>
  <si>
    <t>Hälytys - ID_4716145 2026.08.27 20</t>
  </si>
  <si>
    <t>20.21.37</t>
  </si>
  <si>
    <t>00000000F4188C90990C1D4F9592A85831DCA99307001CDFA5E3617DAF4D8529086EB3E4B6EC00000000010C00001CDFA5E3617DAF4D8529086EB3E4B6EC0000C6C647B00000</t>
  </si>
  <si>
    <t>20.21.33</t>
  </si>
  <si>
    <t>00000000F4188C90990C1D4F9592A85831DCA99307001CDFA5E3617DAF4D8529086EB3E4B6EC00000000010C00001CDFA5E3617DAF4D8529086EB3E4B6EC0000C6C647AF0000</t>
  </si>
  <si>
    <t>00000000F4188C90990C1D4F9592A85831DCA99307001CDFA5E3617DAF4D8529086EB3E4B6EC00000000010C00001CDFA5E3617DAF4D8529086EB3E4B6EC0000C6C647AE0000</t>
  </si>
  <si>
    <t>Alarm - ID_4736585 2026.08.27 20</t>
  </si>
  <si>
    <t>20.21.25</t>
  </si>
  <si>
    <t>00000000F4188C90990C1D4F9592A85831DCA99307001CDFA5E3617DAF4D8529086EB3E4B6EC00000000010C00001CDFA5E3617DAF4D8529086EB3E4B6EC0000C6C647AD0000</t>
  </si>
  <si>
    <t>20.21.16</t>
  </si>
  <si>
    <t>00000000F4188C90990C1D4F9592A85831DCA99307001CDFA5E3617DAF4D8529086EB3E4B6EC00000000010C00001CDFA5E3617DAF4D8529086EB3E4B6EC0000C6C647AC0000</t>
  </si>
  <si>
    <t>20.20.38</t>
  </si>
  <si>
    <t>00000000F4188C90990C1D4F9592A85831DCA99307001CDFA5E3617DAF4D8529086EB3E4B6EC00000000010C00001CDFA5E3617DAF4D8529086EB3E4B6EC0000C6C647AB0000</t>
  </si>
  <si>
    <t>Hälytys - LM1.L1.TE41_L1.A2 2026.08.27 19</t>
  </si>
  <si>
    <t>19.50.14</t>
  </si>
  <si>
    <t>00000000F4188C90990C1D4F9592A85831DCA99307001CDFA5E3617DAF4D8529086EB3E4B6EC00000000010C00001CDFA5E3617DAF4D8529086EB3E4B6EC0000C6C647AA0000</t>
  </si>
  <si>
    <t>Hälytys - VAK8.JVP_F.HÄL1.DA0 2026.08.27 19</t>
  </si>
  <si>
    <t>19.29.19</t>
  </si>
  <si>
    <t>00000000F4188C90990C1D4F9592A85831DCA99307001CDFA5E3617DAF4D8529086EB3E4B6EC00000000010C00001CDFA5E3617DAF4D8529086EB3E4B6EC0000C6C647A90000</t>
  </si>
  <si>
    <t>Poistunut hälytys - VAK8.JVP_F.HÄL1.DA0 2026.08.27 19</t>
  </si>
  <si>
    <t>19.28.54</t>
  </si>
  <si>
    <t>00000000F4188C90990C1D4F9592A85831DCA99307001CDFA5E3617DAF4D8529086EB3E4B6EC00000000010C00001CDFA5E3617DAF4D8529086EB3E4B6EC0000C6C647A80000</t>
  </si>
  <si>
    <t>Hälytys - LM1.MB3_ADDR10_FlexM__Error.A 2026.08.27 18</t>
  </si>
  <si>
    <t>18.19.01</t>
  </si>
  <si>
    <t>00000000F4188C90990C1D4F9592A85831DCA99307001CDFA5E3617DAF4D8529086EB3E4B6EC00000000010C00001CDFA5E3617DAF4D8529086EB3E4B6EC0000C6C647A70000</t>
  </si>
  <si>
    <t>Hälytys - LM1.MB3_ADDR10_FlexM__Error.A 2026.08.27 17</t>
  </si>
  <si>
    <t>17.08.06</t>
  </si>
  <si>
    <t>00000000F4188C90990C1D4F9592A85831DCA99307001CDFA5E3617DAF4D8529086EB3E4B6EC00000000010C00001CDFA5E3617DAF4D8529086EB3E4B6EC0000C6C647A60000</t>
  </si>
  <si>
    <t>Hälytys - VAK8.JVP_F.HÄL1.DA0 2026.08.27 16</t>
  </si>
  <si>
    <t>16.55.37</t>
  </si>
  <si>
    <t>00000000F4188C90990C1D4F9592A85831DCA99307001CDFA5E3617DAF4D8529086EB3E4B6EC00000000010C00001CDFA5E3617DAF4D8529086EB3E4B6EC0000C6C647A50000</t>
  </si>
  <si>
    <t>Poistunut hälytys - VAK8.JVP_F.HÄL1.DA0 2026.08.27 16</t>
  </si>
  <si>
    <t>16.55.14</t>
  </si>
  <si>
    <t>00000000F4188C90990C1D4F9592A85831DCA99307001CDFA5E3617DAF4D8529086EB3E4B6EC00000000010C00001CDFA5E3617DAF4D8529086EB3E4B6EC0000C6C647A40000</t>
  </si>
  <si>
    <t>Hälytys - ID_4716145 2026.08.27 16</t>
  </si>
  <si>
    <t>16.27.11</t>
  </si>
  <si>
    <t>00000000F4188C90990C1D4F9592A85831DCA99307001CDFA5E3617DAF4D8529086EB3E4B6EC00000000010C00001CDFA5E3617DAF4D8529086EB3E4B6EC0000C6C647A30000</t>
  </si>
  <si>
    <t>16.19.39</t>
  </si>
  <si>
    <t>00000000F4188C90990C1D4F9592A85831DCA99307001CDFA5E3617DAF4D8529086EB3E4B6EC00000000010C00001CDFA5E3617DAF4D8529086EB3E4B6EC0000C6C647A20000</t>
  </si>
  <si>
    <t>Hälytys - VAK8.JVP_F.HÄL1.DA0 2026.08.27 14</t>
  </si>
  <si>
    <t>14.28.31</t>
  </si>
  <si>
    <t>00000000F4188C90990C1D4F9592A85831DCA99307001CDFA5E3617DAF4D8529086EB3E4B6EC00000000010C00001CDFA5E3617DAF4D8529086EB3E4B6EC0000C6C647A10000</t>
  </si>
  <si>
    <t>Poistunut hälytys - VAK8.JVP_F.HÄL1.DA0 2026.08.27 14</t>
  </si>
  <si>
    <t>14.28.15</t>
  </si>
  <si>
    <t>00000000F4188C90990C1D4F9592A85831DCA99307001CDFA5E3617DAF4D8529086EB3E4B6EC00000000010C00001CDFA5E3617DAF4D8529086EB3E4B6EC0000C6C647A00000</t>
  </si>
  <si>
    <t>OumanBlock.Huonemitt.8 pois väylältä</t>
  </si>
  <si>
    <t>Hälytys - EK03.H8.A1 2026.08.27 13</t>
  </si>
  <si>
    <t>13.05.25</t>
  </si>
  <si>
    <t>00000000F4188C90990C1D4F9592A85831DCA99307001CDFA5E3617DAF4D8529086EB3E4B6EC00000000010C00001CDFA5E3617DAF4D8529086EB3E4B6EC0000C6C6479F0000</t>
  </si>
  <si>
    <t>Hälytys - VAK8.JVP_F.HÄL1.DA0 2026.08.27 13</t>
  </si>
  <si>
    <t>13.03.44</t>
  </si>
  <si>
    <t>00000000F4188C90990C1D4F9592A85831DCA99307001CDFA5E3617DAF4D8529086EB3E4B6EC00000000010C00001CDFA5E3617DAF4D8529086EB3E4B6EC0000C6C6479E0000</t>
  </si>
  <si>
    <t>Poistunut hälytys - VAK8.JVP_F.HÄL1.DA0 2026.08.27 13</t>
  </si>
  <si>
    <t>13.03.30</t>
  </si>
  <si>
    <t>00000000F4188C90990C1D4F9592A85831DCA99307001CDFA5E3617DAF4D8529086EB3E4B6EC00000000010C00001CDFA5E3617DAF4D8529086EB3E4B6EC0000C6C6479D0000</t>
  </si>
  <si>
    <t>Hälytys - DeviceNoResponseAlarm 2026.08.27 12</t>
  </si>
  <si>
    <t>12.04.38</t>
  </si>
  <si>
    <t>00000000F4188C90990C1D4F9592A85831DCA99307001CDFA5E3617DAF4D8529086EB3E4B6EC00000000010C00001CDFA5E3617DAF4D8529086EB3E4B6EC0000C6C6479C0000</t>
  </si>
  <si>
    <t>Hälytys - VAK8.JVP_F.HÄL1.DA0 2026.08.27 11</t>
  </si>
  <si>
    <t>11.52.57</t>
  </si>
  <si>
    <t>00000000F4188C90990C1D4F9592A85831DCA99307001CDFA5E3617DAF4D8529086EB3E4B6EC00000000010C00001CDFA5E3617DAF4D8529086EB3E4B6EC0000C6C6479B0000</t>
  </si>
  <si>
    <t>Poistunut hälytys - VAK8.JVP_F.HÄL1.DA0 2026.08.27 11</t>
  </si>
  <si>
    <t>11.52.48</t>
  </si>
  <si>
    <t>00000000F4188C90990C1D4F9592A85831DCA99307001CDFA5E3617DAF4D8529086EB3E4B6EC00000000010C00001CDFA5E3617DAF4D8529086EB3E4B6EC0000C6C6479A0000</t>
  </si>
  <si>
    <t>Hälytys - VAK8.JVP_F.HÄL1.DA0 2026.08.27 10</t>
  </si>
  <si>
    <t>10.54.41</t>
  </si>
  <si>
    <t>00000000F4188C90990C1D4F9592A85831DCA99307001CDFA5E3617DAF4D8529086EB3E4B6EC00000000010C00001CDFA5E3617DAF4D8529086EB3E4B6EC0000C6C647990000</t>
  </si>
  <si>
    <t>Poistunut hälytys - VAK8.JVP_F.HÄL1.DA0 2026.08.27 10</t>
  </si>
  <si>
    <t>10.54.40</t>
  </si>
  <si>
    <t>00000000F4188C90990C1D4F9592A85831DCA99307001CDFA5E3617DAF4D8529086EB3E4B6EC00000000010C00001CDFA5E3617DAF4D8529086EB3E4B6EC0000C6C647980000</t>
  </si>
  <si>
    <t>TK66 Poistopuhallin ristiriita</t>
  </si>
  <si>
    <t>Poistunut hälytys - VAK5.TK66.PF.SUM_IND.CA1 2026.08.27 10</t>
  </si>
  <si>
    <t>10.19.49</t>
  </si>
  <si>
    <t>00000000F4188C90990C1D4F9592A85831DCA99307001CDFA5E3617DAF4D8529086EB3E4B6EC00000000010C00001CDFA5E3617DAF4D8529086EB3E4B6EC0000C6C647970000</t>
  </si>
  <si>
    <t>TK66 Tulopuhallin ristiriita</t>
  </si>
  <si>
    <t>Poistunut hälytys - VAK5.TK66.TF.SUM_IND.CA1 2026.08.27 10</t>
  </si>
  <si>
    <t>10.19.44</t>
  </si>
  <si>
    <t>00000000F4188C90990C1D4F9592A85831DCA99307001CDFA5E3617DAF4D8529086EB3E4B6EC00000000010C00001CDFA5E3617DAF4D8529086EB3E4B6EC0000C6C647960000</t>
  </si>
  <si>
    <t>Hälytys - VAK5.TK66.TF.SUM_IND.CA1 2026.08.27 10</t>
  </si>
  <si>
    <t>10.18.25</t>
  </si>
  <si>
    <t>00000000F4188C90990C1D4F9592A85831DCA99307001CDFA5E3617DAF4D8529086EB3E4B6EC00000000010C00001CDFA5E3617DAF4D8529086EB3E4B6EC0000C6C647950000</t>
  </si>
  <si>
    <t>Hälytys - VAK5.TK66.PF.SUM_IND.CA1 2026.08.27 10</t>
  </si>
  <si>
    <t>10.18.24</t>
  </si>
  <si>
    <t>00000000F4188C90990C1D4F9592A85831DCA99307001CDFA5E3617DAF4D8529086EB3E4B6EC00000000010C00001CDFA5E3617DAF4D8529086EB3E4B6EC0000C6C647940000</t>
  </si>
  <si>
    <t>Palohälytys D-F</t>
  </si>
  <si>
    <t>Poistunut hälytys - VAK8.PALO.1.DA0 2026.08.27 10</t>
  </si>
  <si>
    <t>10.18.20</t>
  </si>
  <si>
    <t>00000000F4188C90990C1D4F9592A85831DCA99307001CDFA5E3617DAF4D8529086EB3E4B6EC00000000010C00001CDFA5E3617DAF4D8529086EB3E4B6EC0000C6C647930000</t>
  </si>
  <si>
    <t>00000000F4188C90990C1D4F9592A85831DCA99307001CDFA5E3617DAF4D8529086EB3E4B6EC00000000010C00001CDFA5E3617DAF4D8529086EB3E4B6EC0000C6C647920000</t>
  </si>
  <si>
    <t>10.18.17</t>
  </si>
  <si>
    <t>00000000F4188C90990C1D4F9592A85831DCA99307001CDFA5E3617DAF4D8529086EB3E4B6EC00000000010C00001CDFA5E3617DAF4D8529086EB3E4B6EC0000C6C647910000</t>
  </si>
  <si>
    <t>Sprinkler pohj. märkähälytysventtiili</t>
  </si>
  <si>
    <t>Poistunut hälytys - VAK8.SPR_P.H2.MHV.DA0 2026.08.27 10</t>
  </si>
  <si>
    <t>10.15.41</t>
  </si>
  <si>
    <t>00000000F4188C90990C1D4F9592A85831DCA99307001CDFA5E3617DAF4D8529086EB3E4B6EC00000000010C00001CDFA5E3617DAF4D8529086EB3E4B6EC0000C6C647900000</t>
  </si>
  <si>
    <t>10.09.45</t>
  </si>
  <si>
    <t>00000000F4188C90990C1D4F9592A85831DCA99307001CDFA5E3617DAF4D8529086EB3E4B6EC00000000010C00001CDFA5E3617DAF4D8529086EB3E4B6EC0000C6C6478F0000</t>
  </si>
  <si>
    <t>Hälytys - VAK8.SPR_P.H2.MHV.DA0 2026.08.27 10</t>
  </si>
  <si>
    <t>10.09.38</t>
  </si>
  <si>
    <t>00000000F4188C90990C1D4F9592A85831DCA99307001CDFA5E3617DAF4D8529086EB3E4B6EC00000000010C00001CDFA5E3617DAF4D8529086EB3E4B6EC0000C6C6478E0000</t>
  </si>
  <si>
    <t>10.09.43</t>
  </si>
  <si>
    <t>00000000F4188C90990C1D4F9592A85831DCA99307001CDFA5E3617DAF4D8529086EB3E4B6EC00000000010C00001CDFA5E3617DAF4D8529086EB3E4B6EC0000C6C6478D0000</t>
  </si>
  <si>
    <t>10.09.42</t>
  </si>
  <si>
    <t>00000000F4188C90990C1D4F9592A85831DCA99307001CDFA5E3617DAF4D8529086EB3E4B6EC00000000010C00001CDFA5E3617DAF4D8529086EB3E4B6EC0000C6C6478C0000</t>
  </si>
  <si>
    <t>Hälytys - VAK8.PALO.1.DA0 2026.08.27 10</t>
  </si>
  <si>
    <t>10.09.29</t>
  </si>
  <si>
    <t>00000000F4188C90990C1D4F9592A85831DCA99307001CDFA5E3617DAF4D8529086EB3E4B6EC00000000010C00001CDFA5E3617DAF4D8529086EB3E4B6EC0000C6C6478B0000</t>
  </si>
  <si>
    <t>10.09.23</t>
  </si>
  <si>
    <t>00000000F4188C90990C1D4F9592A85831DCA99307001CDFA5E3617DAF4D8529086EB3E4B6EC00000000010C00001CDFA5E3617DAF4D8529086EB3E4B6EC0000C6C6478A0000</t>
  </si>
  <si>
    <t>Hälytys - VAK8.JVP_F.HÄL1.DA0 2026.08.27 09</t>
  </si>
  <si>
    <t>09.36.46</t>
  </si>
  <si>
    <t>00000000F4188C90990C1D4F9592A85831DCA99307001CDFA5E3617DAF4D8529086EB3E4B6EC00000000010C00001CDFA5E3617DAF4D8529086EB3E4B6EC0000C6C647890000</t>
  </si>
  <si>
    <t>Poistunut hälytys - VAK8.JVP_F.HÄL1.DA0 2026.08.27 09</t>
  </si>
  <si>
    <t>09.36.27</t>
  </si>
  <si>
    <t>00000000F4188C90990C1D4F9592A85831DCA99307001CDFA5E3617DAF4D8529086EB3E4B6EC00000000010C00001CDFA5E3617DAF4D8529086EB3E4B6EC0000C6C647880000</t>
  </si>
  <si>
    <t>Laite MB2.FLTA osoitteessa 1 ei vastaa</t>
  </si>
  <si>
    <t>Hälytys - MB2_ADDR1_FLTA__Error 2026.08.27 09</t>
  </si>
  <si>
    <t>09.32.35</t>
  </si>
  <si>
    <t>00000000F4188C90990C1D4F9592A85831DCA99307001CDFA5E3617DAF4D8529086EB3E4B6EC00000000010C00001CDFA5E3617DAF4D8529086EB3E4B6EC0000C6C647870000</t>
  </si>
  <si>
    <t>Hälytys - ID_4716145 2026.08.27 08</t>
  </si>
  <si>
    <t>08.32.08</t>
  </si>
  <si>
    <t>00000000F4188C90990C1D4F9592A85831DCA99307001CDFA5E3617DAF4D8529086EB3E4B6EC00000000010C00001CDFA5E3617DAF4D8529086EB3E4B6EC0000C6C647860000</t>
  </si>
  <si>
    <t>Hälytys - ID_5702262 2026.08.27 08</t>
  </si>
  <si>
    <t>08.00.12</t>
  </si>
  <si>
    <t>00000000F4188C90990C1D4F9592A85831DCA99307001CDFA5E3617DAF4D8529086EB3E4B6EC00000000010C00001CDFA5E3617DAF4D8529086EB3E4B6EC0000C6C647850000</t>
  </si>
  <si>
    <t>Poistunut hälytys - VAK4.MB2_WL_BaseVAK4_Alarm2.A 2026.08.27 05</t>
  </si>
  <si>
    <t>00000000F4188C90990C1D4F9592A85831DCA99307001CDFA5E3617DAF4D8529086EB3E4B6EC00000000010C00001CDFA5E3617DAF4D8529086EB3E4B6EC0000C6C647840000</t>
  </si>
  <si>
    <t>Hälytys - VK33.VAK1.4TK1.FlowAlarm_A.A 2026.08.27 04</t>
  </si>
  <si>
    <t>04.01.55</t>
  </si>
  <si>
    <t>00000000F4188C90990C1D4F9592A85831DCA99307001CDFA5E3617DAF4D8529086EB3E4B6EC00000000010C00001CDFA5E3617DAF4D8529086EB3E4B6EC0000C6C647830000</t>
  </si>
  <si>
    <t>Hälytys - VAK8.JVP_F.HÄL1.DA0 2026.08.27 01</t>
  </si>
  <si>
    <t>01.31.42</t>
  </si>
  <si>
    <t>00000000F4188C90990C1D4F9592A85831DCA99307001CDFA5E3617DAF4D8529086EB3E4B6EC00000000010C00001CDFA5E3617DAF4D8529086EB3E4B6EC0000C6C647820000</t>
  </si>
  <si>
    <t>Poistunut hälytys - VAK8.JVP_F.HÄL1.DA0 2026.08.27 01</t>
  </si>
  <si>
    <t>01.31.27</t>
  </si>
  <si>
    <t>00000000F4188C90990C1D4F9592A85831DCA99307001CDFA5E3617DAF4D8529086EB3E4B6EC00000000010C00001CDFA5E3617DAF4D8529086EB3E4B6EC0000C6C647810000</t>
  </si>
  <si>
    <t>Hälytys - VAK4.MB1_ADDR6_TK3_PE01.A3 2026.08.26 22</t>
  </si>
  <si>
    <t>2026.08.26</t>
  </si>
  <si>
    <t>22.04.47</t>
  </si>
  <si>
    <t>00000000F4188C90990C1D4F9592A85831DCA99307001CDFA5E3617DAF4D8529086EB3E4B6EC00000000010C00001CDFA5E3617DAF4D8529086EB3E4B6EC0000C6C647800000</t>
  </si>
  <si>
    <t>26/08/2026</t>
  </si>
  <si>
    <t>Hälytys - VAK4.MB1_ADDR5_TK2_TK2_PE01.A3 2026.08.26 21</t>
  </si>
  <si>
    <t>21.04.53</t>
  </si>
  <si>
    <t>00000000F4188C90990C1D4F9592A85831DCA99307001CDFA5E3617DAF4D8529086EB3E4B6EC00000000010C00001CDFA5E3617DAF4D8529086EB3E4B6EC0000C6C6477F0000</t>
  </si>
  <si>
    <t>Hälytys - VAK4.MB2_WL_BaseVAK4_Alarm2.A 2026.08.26 20</t>
  </si>
  <si>
    <t>20.43.29</t>
  </si>
  <si>
    <t>00000000F4188C90990C1D4F9592A85831DCA99307001CDFA5E3617DAF4D8529086EB3E4B6EC00000000010C00001CDFA5E3617DAF4D8529086EB3E4B6EC0000C6C6477E0000</t>
  </si>
  <si>
    <t>Hälytys - VAK8.JVP_F.HÄL1.DA0 2026.08.26 19</t>
  </si>
  <si>
    <t>19.53.21</t>
  </si>
  <si>
    <t>00000000F4188C90990C1D4F9592A85831DCA99307001CDFA5E3617DAF4D8529086EB3E4B6EC00000000010C00001CDFA5E3617DAF4D8529086EB3E4B6EC0000C6C6477D0000</t>
  </si>
  <si>
    <t>Poistunut hälytys - VAK8.JVP_F.HÄL1.DA0 2026.08.26 19</t>
  </si>
  <si>
    <t>19.52.59</t>
  </si>
  <si>
    <t>00000000F4188C90990C1D4F9592A85831DCA99307001CDFA5E3617DAF4D8529086EB3E4B6EC00000000010C00001CDFA5E3617DAF4D8529086EB3E4B6EC0000C6C6477C0000</t>
  </si>
  <si>
    <t>Hälytys - LM1.L1.TE41_L1.A2 2026.08.26 19</t>
  </si>
  <si>
    <t>19.35.45</t>
  </si>
  <si>
    <t>00000000F4188C90990C1D4F9592A85831DCA99307001CDFA5E3617DAF4D8529086EB3E4B6EC00000000010C00001CDFA5E3617DAF4D8529086EB3E4B6EC0000C6C6477B0000</t>
  </si>
  <si>
    <t>Hälytys - LM1.L1.TE41_L1.A2 2026.08.26 18</t>
  </si>
  <si>
    <t>18.53.10</t>
  </si>
  <si>
    <t>00000000F4188C90990C1D4F9592A85831DCA99307001CDFA5E3617DAF4D8529086EB3E4B6EC00000000010C00001CDFA5E3617DAF4D8529086EB3E4B6EC0000C6C6477A0000</t>
  </si>
  <si>
    <t>Hälytys - ID_4716145 2026.08.26 18</t>
  </si>
  <si>
    <t>18.50.51</t>
  </si>
  <si>
    <t>00000000F4188C90990C1D4F9592A85831DCA99307001CDFA5E3617DAF4D8529086EB3E4B6EC00000000010C00001CDFA5E3617DAF4D8529086EB3E4B6EC0000C6C647790000</t>
  </si>
  <si>
    <t>Hälytys - VAK8.JVP_F.HÄL1.DA0 2026.08.26 18</t>
  </si>
  <si>
    <t>18.34.12</t>
  </si>
  <si>
    <t>00000000F4188C90990C1D4F9592A85831DCA99307001CDFA5E3617DAF4D8529086EB3E4B6EC00000000010C00001CDFA5E3617DAF4D8529086EB3E4B6EC0000C6C647780000</t>
  </si>
  <si>
    <t>Poistunut hälytys - VAK8.JVP_F.HÄL1.DA0 2026.08.26 18</t>
  </si>
  <si>
    <t>18.33.46</t>
  </si>
  <si>
    <t>00000000F4188C90990C1D4F9592A85831DCA99307001CDFA5E3617DAF4D8529086EB3E4B6EC00000000010C00001CDFA5E3617DAF4D8529086EB3E4B6EC0000C6C647770000</t>
  </si>
  <si>
    <t>Hälytys - ID_5798719 2026.08.26 18</t>
  </si>
  <si>
    <t>18.30.31</t>
  </si>
  <si>
    <t>00000000F4188C90990C1D4F9592A85831DCA99307001CDFA5E3617DAF4D8529086EB3E4B6EC00000000010C00001CDFA5E3617DAF4D8529086EB3E4B6EC0000C6C647760000</t>
  </si>
  <si>
    <t>Hälytys - ID_5718927 2026.08.26 18</t>
  </si>
  <si>
    <t>18.23.05</t>
  </si>
  <si>
    <t>00000000F4188C90990C1D4F9592A85831DCA99307001CDFA5E3617DAF4D8529086EB3E4B6EC00000000010C00001CDFA5E3617DAF4D8529086EB3E4B6EC0000C6C647750000</t>
  </si>
  <si>
    <t>Hälytys - VAK8.JVP_F.HÄL1.DA0 2026.08.26 16</t>
  </si>
  <si>
    <t>16.36.22</t>
  </si>
  <si>
    <t>00000000F4188C90990C1D4F9592A85831DCA99307001CDFA5E3617DAF4D8529086EB3E4B6EC00000000010C00001CDFA5E3617DAF4D8529086EB3E4B6EC0000C6C647740000</t>
  </si>
  <si>
    <t>Poistunut hälytys - VAK8.JVP_F.HÄL1.DA0 2026.08.26 16</t>
  </si>
  <si>
    <t>16.35.58</t>
  </si>
  <si>
    <t>00000000F4188C90990C1D4F9592A85831DCA99307001CDFA5E3617DAF4D8529086EB3E4B6EC00000000010C00001CDFA5E3617DAF4D8529086EB3E4B6EC0000C6C647730000</t>
  </si>
  <si>
    <t>Hälytys - LM1.MB3_ADDR10_FlexM__Error.A 2026.08.26 15</t>
  </si>
  <si>
    <t>15.38.52</t>
  </si>
  <si>
    <t>00000000F4188C90990C1D4F9592A85831DCA99307001CDFA5E3617DAF4D8529086EB3E4B6EC00000000010C00001CDFA5E3617DAF4D8529086EB3E4B6EC0000C6C647720000</t>
  </si>
  <si>
    <t>Hälytys - VAK8.JVP_F.HÄL1.DA0 2026.08.26 14</t>
  </si>
  <si>
    <t>14.16.01</t>
  </si>
  <si>
    <t>00000000F4188C90990C1D4F9592A85831DCA99307001CDFA5E3617DAF4D8529086EB3E4B6EC00000000010C00001CDFA5E3617DAF4D8529086EB3E4B6EC0000C6C647710000</t>
  </si>
  <si>
    <t>Poistunut hälytys - VAK8.JVP_F.HÄL1.DA0 2026.08.26 14</t>
  </si>
  <si>
    <t>14.15.39</t>
  </si>
  <si>
    <t>00000000F4188C90990C1D4F9592A85831DCA99307001CDFA5E3617DAF4D8529086EB3E4B6EC00000000010C00001CDFA5E3617DAF4D8529086EB3E4B6EC0000C6C647700000</t>
  </si>
  <si>
    <t>Hälytys - KK31.VAK2.PF06.PF06PE02.1.A2 2026.08.26 13</t>
  </si>
  <si>
    <t>13.35.04</t>
  </si>
  <si>
    <t>00000000F4188C90990C1D4F9592A85831DCA99307001CDFA5E3617DAF4D8529086EB3E4B6EC00000000010C00001CDFA5E3617DAF4D8529086EB3E4B6EC0000C6C6476F0000</t>
  </si>
  <si>
    <t>Hälytys - VAK8.JVP_F.HÄL1.DA0 2026.08.26 12</t>
  </si>
  <si>
    <t>12.56.57</t>
  </si>
  <si>
    <t>00000000F4188C90990C1D4F9592A85831DCA99307001CDFA5E3617DAF4D8529086EB3E4B6EC00000000010C00001CDFA5E3617DAF4D8529086EB3E4B6EC0000C6C6476E0000</t>
  </si>
  <si>
    <t>Poistunut hälytys - VAK8.JVP_F.HÄL1.DA0 2026.08.26 12</t>
  </si>
  <si>
    <t>12.56.33</t>
  </si>
  <si>
    <t>00000000F4188C90990C1D4F9592A85831DCA99307001CDFA5E3617DAF4D8529086EB3E4B6EC00000000010C00001CDFA5E3617DAF4D8529086EB3E4B6EC0000C6C6476D0000</t>
  </si>
  <si>
    <t>Hälytys - VAK8.JVP_F.HÄL1.DA0 2026.08.26 11</t>
  </si>
  <si>
    <t>11.46.57</t>
  </si>
  <si>
    <t>00000000F4188C90990C1D4F9592A85831DCA99307001CDFA5E3617DAF4D8529086EB3E4B6EC00000000010C00001CDFA5E3617DAF4D8529086EB3E4B6EC0000C6C6476C0000</t>
  </si>
  <si>
    <t>Poistunut hälytys - VAK8.JVP_F.HÄL1.DA0 2026.08.26 11</t>
  </si>
  <si>
    <t>11.46.33</t>
  </si>
  <si>
    <t>00000000F4188C90990C1D4F9592A85831DCA99307001CDFA5E3617DAF4D8529086EB3E4B6EC00000000010C00001CDFA5E3617DAF4D8529086EB3E4B6EC0000C6C6476B0000</t>
  </si>
  <si>
    <t>Hälytys - LM1.L1.PE01.A1 2026.08.26 11</t>
  </si>
  <si>
    <t>11.33.06</t>
  </si>
  <si>
    <t>00000000F4188C90990C1D4F9592A85831DCA99307001CDFA5E3617DAF4D8529086EB3E4B6EC00000000010C00001CDFA5E3617DAF4D8529086EB3E4B6EC0000C6C6476A0000</t>
  </si>
  <si>
    <t>11.25.06</t>
  </si>
  <si>
    <t>00000000F4188C90990C1D4F9592A85831DCA99307001CDFA5E3617DAF4D8529086EB3E4B6EC00000000010C00001CDFA5E3617DAF4D8529086EB3E4B6EC0000C6C647690000</t>
  </si>
  <si>
    <t>Hälytys - VAK8.JVP_F.HÄL1.DA0 2026.08.26 10</t>
  </si>
  <si>
    <t>10.45.15</t>
  </si>
  <si>
    <t>00000000F4188C90990C1D4F9592A85831DCA99307001CDFA5E3617DAF4D8529086EB3E4B6EC00000000010C00001CDFA5E3617DAF4D8529086EB3E4B6EC0000C6C647680000</t>
  </si>
  <si>
    <t>Poistunut hälytys - VAK8.JVP_F.HÄL1.DA0 2026.08.26 10</t>
  </si>
  <si>
    <t>10.44.52</t>
  </si>
  <si>
    <t>00000000F4188C90990C1D4F9592A85831DCA99307001CDFA5E3617DAF4D8529086EB3E4B6EC00000000010C00001CDFA5E3617DAF4D8529086EB3E4B6EC0000C6C647670000</t>
  </si>
  <si>
    <t>Hälytys - ID_5798719 2026.08.26 10</t>
  </si>
  <si>
    <t>10.40.35</t>
  </si>
  <si>
    <t>00000000F4188C90990C1D4F9592A85831DCA99307001CDFA5E3617DAF4D8529086EB3E4B6EC00000000010C00001CDFA5E3617DAF4D8529086EB3E4B6EC0000C6C647660000</t>
  </si>
  <si>
    <t>Hälytys - LM1.L1.PE01.A1 2026.08.26 10</t>
  </si>
  <si>
    <t>10.33.41</t>
  </si>
  <si>
    <t>00000000F4188C90990C1D4F9592A85831DCA99307001CDFA5E3617DAF4D8529086EB3E4B6EC00000000010C00001CDFA5E3617DAF4D8529086EB3E4B6EC0000C6C647650000</t>
  </si>
  <si>
    <t>Hälytys - ID_5718927 2026.08.26 10</t>
  </si>
  <si>
    <t>10.31.12</t>
  </si>
  <si>
    <t>00000000F4188C90990C1D4F9592A85831DCA99307001CDFA5E3617DAF4D8529086EB3E4B6EC00000000010C00001CDFA5E3617DAF4D8529086EB3E4B6EC0000C6C647640000</t>
  </si>
  <si>
    <t>10.15.50</t>
  </si>
  <si>
    <t>00000000F4188C90990C1D4F9592A85831DCA99307001CDFA5E3617DAF4D8529086EB3E4B6EC00000000010C00001CDFA5E3617DAF4D8529086EB3E4B6EC0000C6C647630000</t>
  </si>
  <si>
    <t>10.06.16</t>
  </si>
  <si>
    <t>00000000F4188C90990C1D4F9592A85831DCA99307001CDFA5E3617DAF4D8529086EB3E4B6EC00000000010C00001CDFA5E3617DAF4D8529086EB3E4B6EC0000C6C647620000</t>
  </si>
  <si>
    <t>10.05.52</t>
  </si>
  <si>
    <t>00000000F4188C90990C1D4F9592A85831DCA99307001CDFA5E3617DAF4D8529086EB3E4B6EC00000000010C00001CDFA5E3617DAF4D8529086EB3E4B6EC0000C6C647610000</t>
  </si>
  <si>
    <t>Hälytys - KK31.VAK2.PF06.PF06PE02.1.A2 2026.08.26 09</t>
  </si>
  <si>
    <t>00000000F4188C90990C1D4F9592A85831DCA99307001CDFA5E3617DAF4D8529086EB3E4B6EC00000000010C00001CDFA5E3617DAF4D8529086EB3E4B6EC0000C6C647600000</t>
  </si>
  <si>
    <t>Hälytys - LM1.L1.PE01.A1 2026.08.26 09</t>
  </si>
  <si>
    <t>09.28.30</t>
  </si>
  <si>
    <t>00000000F4188C90990C1D4F9592A85831DCA99307001CDFA5E3617DAF4D8529086EB3E4B6EC00000000010C00001CDFA5E3617DAF4D8529086EB3E4B6EC0000C6C6475F0000</t>
  </si>
  <si>
    <t>09.11.24</t>
  </si>
  <si>
    <t>00000000F4188C90990C1D4F9592A85831DCA99307001CDFA5E3617DAF4D8529086EB3E4B6EC00000000010C00001CDFA5E3617DAF4D8529086EB3E4B6EC0000C6C6475E0000</t>
  </si>
  <si>
    <t>Hälytys - LM1.L1.PE01.A1 2026.08.26 08</t>
  </si>
  <si>
    <t>08.35.43</t>
  </si>
  <si>
    <t>00000000F4188C90990C1D4F9592A85831DCA99307001CDFA5E3617DAF4D8529086EB3E4B6EC00000000010C00001CDFA5E3617DAF4D8529086EB3E4B6EC0000C6C6475D0000</t>
  </si>
  <si>
    <t>Hälytys - ID_4716145 2026.08.26 08</t>
  </si>
  <si>
    <t>08.26.22</t>
  </si>
  <si>
    <t>00000000F4188C90990C1D4F9592A85831DCA99307001CDFA5E3617DAF4D8529086EB3E4B6EC00000000010C00001CDFA5E3617DAF4D8529086EB3E4B6EC0000C6C6475C0000</t>
  </si>
  <si>
    <t>Hälytys - LM1.L1.TE41_L1.A2 2026.08.26 07</t>
  </si>
  <si>
    <t>07.37.49</t>
  </si>
  <si>
    <t>00000000F4188C90990C1D4F9592A85831DCA99307001CDFA5E3617DAF4D8529086EB3E4B6EC00000000010C00001CDFA5E3617DAF4D8529086EB3E4B6EC0000C6B298600000</t>
  </si>
  <si>
    <t>Hälytys - VAK8.JVP_F.HÄL1.DA0 2026.08.26 06</t>
  </si>
  <si>
    <t>06.20.17</t>
  </si>
  <si>
    <t>00000000F4188C90990C1D4F9592A85831DCA99307001CDFA5E3617DAF4D8529086EB3E4B6EC00000000010C00001CDFA5E3617DAF4D8529086EB3E4B6EC0000C6B2985F0000</t>
  </si>
  <si>
    <t>Poistunut hälytys - VAK8.JVP_F.HÄL1.DA0 2026.08.26 06</t>
  </si>
  <si>
    <t>06.19.53</t>
  </si>
  <si>
    <t>00000000F4188C90990C1D4F9592A85831DCA99307001CDFA5E3617DAF4D8529086EB3E4B6EC00000000010C00001CDFA5E3617DAF4D8529086EB3E4B6EC0000C6B2985E0000</t>
  </si>
  <si>
    <t>Poistunut hälytys - VAK4.MB2_WL_BaseVAK4_Alarm2.A 2026.08.26 05</t>
  </si>
  <si>
    <t>00000000F4188C90990C1D4F9592A85831DCA99307001CDFA5E3617DAF4D8529086EB3E4B6EC00000000010C00001CDFA5E3617DAF4D8529086EB3E4B6EC0000C4E22FF20000</t>
  </si>
  <si>
    <t>Hälytys - VAK4.MB1_ADDR6_TK3_PE01.A3 2026.08.25 22</t>
  </si>
  <si>
    <t>22.05.11</t>
  </si>
  <si>
    <t>00000000F4188C90990C1D4F9592A85831DCA99307001CDFA5E3617DAF4D8529086EB3E4B6EC00000000010C00001CDFA5E3617DAF4D8529086EB3E4B6EC0000C4E22FF10000</t>
  </si>
  <si>
    <t>25/08/2026</t>
  </si>
  <si>
    <t>Hälytys - VAK4.MB1_ADDR5_TK2_TK2_PE01.A3 2026.08.25 21</t>
  </si>
  <si>
    <t>21.19.17</t>
  </si>
  <si>
    <t>00000000F4188C90990C1D4F9592A85831DCA99307001CDFA5E3617DAF4D8529086EB3E4B6EC00000000010C00001CDFA5E3617DAF4D8529086EB3E4B6EC0000C4E22FF00000</t>
  </si>
  <si>
    <t>Hälytys - VAK4.MB2_WL_BaseVAK4_Alarm2.A 2026.08.25 20</t>
  </si>
  <si>
    <t>20.43.19</t>
  </si>
  <si>
    <t>00000000F4188C90990C1D4F9592A85831DCA99307001CDFA5E3617DAF4D8529086EB3E4B6EC00000000010C00001CDFA5E3617DAF4D8529086EB3E4B6EC0000C4E22FEF0000</t>
  </si>
  <si>
    <t>Hälytys - VAK8.JVP_F.HÄL1.DA0 2026.08.25 20</t>
  </si>
  <si>
    <t>20.33.38</t>
  </si>
  <si>
    <t>00000000F4188C90990C1D4F9592A85831DCA99307001CDFA5E3617DAF4D8529086EB3E4B6EC00000000010C00001CDFA5E3617DAF4D8529086EB3E4B6EC0000C4E22FEE0000</t>
  </si>
  <si>
    <t>Poistunut hälytys - VAK8.JVP_F.HÄL1.DA0 2026.08.25 20</t>
  </si>
  <si>
    <t>20.33.18</t>
  </si>
  <si>
    <t>00000000F4188C90990C1D4F9592A85831DCA99307001CDFA5E3617DAF4D8529086EB3E4B6EC00000000010C00001CDFA5E3617DAF4D8529086EB3E4B6EC0000C4E22FED0000</t>
  </si>
  <si>
    <t>Hälytys - LM1.L1.TE41_L1.A2 2026.08.25 18</t>
  </si>
  <si>
    <t>18.56.22</t>
  </si>
  <si>
    <t>00000000F4188C90990C1D4F9592A85831DCA99307001CDFA5E3617DAF4D8529086EB3E4B6EC00000000010C00001CDFA5E3617DAF4D8529086EB3E4B6EC0000C4E22FEC0000</t>
  </si>
  <si>
    <t>Hälytys - VAK8.JVP_F.HÄL1.DA0 2026.08.25 18</t>
  </si>
  <si>
    <t>18.47.48</t>
  </si>
  <si>
    <t>00000000F4188C90990C1D4F9592A85831DCA99307001CDFA5E3617DAF4D8529086EB3E4B6EC00000000010C00001CDFA5E3617DAF4D8529086EB3E4B6EC0000C4E22FEB0000</t>
  </si>
  <si>
    <t>Poistunut hälytys - VAK8.JVP_F.HÄL1.DA0 2026.08.25 18</t>
  </si>
  <si>
    <t>18.47.21</t>
  </si>
  <si>
    <t>00000000F4188C90990C1D4F9592A85831DCA99307001CDFA5E3617DAF4D8529086EB3E4B6EC00000000010C00001CDFA5E3617DAF4D8529086EB3E4B6EC0000C4E22FEA0000</t>
  </si>
  <si>
    <t>Hälytys - VAK8.JVP_F.HÄL1.DA0 2026.08.25 15</t>
  </si>
  <si>
    <t>15.59.45</t>
  </si>
  <si>
    <t>00000000F4188C90990C1D4F9592A85831DCA99307001CDFA5E3617DAF4D8529086EB3E4B6EC00000000010C00001CDFA5E3617DAF4D8529086EB3E4B6EC0000C4E22FE90000</t>
  </si>
  <si>
    <t>Poistunut hälytys - VAK8.JVP_F.HÄL1.DA0 2026.08.25 15</t>
  </si>
  <si>
    <t>15.59.27</t>
  </si>
  <si>
    <t>00000000F4188C90990C1D4F9592A85831DCA99307001CDFA5E3617DAF4D8529086EB3E4B6EC00000000010C00001CDFA5E3617DAF4D8529086EB3E4B6EC0000C4E22FE80000</t>
  </si>
  <si>
    <t>Hälytys - VAK8.JVP_F.HÄL1.DA0 2026.08.25 14</t>
  </si>
  <si>
    <t>14.09.54</t>
  </si>
  <si>
    <t>00000000F4188C90990C1D4F9592A85831DCA99307001CDFA5E3617DAF4D8529086EB3E4B6EC00000000010C00001CDFA5E3617DAF4D8529086EB3E4B6EC0000C4E22FE70000</t>
  </si>
  <si>
    <t>Poistunut hälytys - VAK8.JVP_F.HÄL1.DA0 2026.08.25 14</t>
  </si>
  <si>
    <t>14.09.46</t>
  </si>
  <si>
    <t>00000000F4188C90990C1D4F9592A85831DCA99307001CDFA5E3617DAF4D8529086EB3E4B6EC00000000010C00001CDFA5E3617DAF4D8529086EB3E4B6EC0000C4E22FE60000</t>
  </si>
  <si>
    <t>Poistunut hälytys - DeviceNoResponseAlarm 2026.08.25 13</t>
  </si>
  <si>
    <t>13.41.07</t>
  </si>
  <si>
    <t>00000000F4188C90990C1D4F9592A85831DCA99307001CDFA5E3617DAF4D8529086EB3E4B6EC00000000010C00001CDFA5E3617DAF4D8529086EB3E4B6EC0000C4E22FE50000</t>
  </si>
  <si>
    <t>Hälytys - DeviceNoResponseAlarm 2026.08.25 13</t>
  </si>
  <si>
    <t>13.34.16</t>
  </si>
  <si>
    <t>00000000F4188C90990C1D4F9592A85831DCA99307001CDFA5E3617DAF4D8529086EB3E4B6EC00000000010C00001CDFA5E3617DAF4D8529086EB3E4B6EC0000C4E22FE40000</t>
  </si>
  <si>
    <t>Hälytys - LM1.MB3_ADDR10_FlexM__Error.A 2026.08.25 13</t>
  </si>
  <si>
    <t>13.29.57</t>
  </si>
  <si>
    <t>00000000F4188C90990C1D4F9592A85831DCA99307001CDFA5E3617DAF4D8529086EB3E4B6EC00000000010C00001CDFA5E3617DAF4D8529086EB3E4B6EC0000C4E22FE30000</t>
  </si>
  <si>
    <t>Hälytys - VAK8.JVP_F.HÄL1.DA0 2026.08.25 12</t>
  </si>
  <si>
    <t>12.45.19</t>
  </si>
  <si>
    <t>00000000F4188C90990C1D4F9592A85831DCA99307001CDFA5E3617DAF4D8529086EB3E4B6EC00000000010C00001CDFA5E3617DAF4D8529086EB3E4B6EC0000C4E22FE20000</t>
  </si>
  <si>
    <t>Poistunut hälytys - VAK8.JVP_F.HÄL1.DA0 2026.08.25 12</t>
  </si>
  <si>
    <t>12.45.02</t>
  </si>
  <si>
    <t>00000000F4188C90990C1D4F9592A85831DCA99307001CDFA5E3617DAF4D8529086EB3E4B6EC00000000010C00001CDFA5E3617DAF4D8529086EB3E4B6EC0000C4E22FE10000</t>
  </si>
  <si>
    <t>Hälytys - LM1.MB3_ADDR10_FlexM__Error.A 2026.08.25 11</t>
  </si>
  <si>
    <t>11.32.30</t>
  </si>
  <si>
    <t>00000000F4188C90990C1D4F9592A85831DCA99307001CDFA5E3617DAF4D8529086EB3E4B6EC00000000010C00001CDFA5E3617DAF4D8529086EB3E4B6EC0000C4E22FE00000</t>
  </si>
  <si>
    <t>Hälytys - VAK8.JVP_F.HÄL1.DA0 2026.08.25 11</t>
  </si>
  <si>
    <t>11.26.34</t>
  </si>
  <si>
    <t>00000000F4188C90990C1D4F9592A85831DCA99307001CDFA5E3617DAF4D8529086EB3E4B6EC00000000010C00001CDFA5E3617DAF4D8529086EB3E4B6EC0000C4E22FDF0000</t>
  </si>
  <si>
    <t>Poistunut hälytys - VAK8.JVP_F.HÄL1.DA0 2026.08.25 11</t>
  </si>
  <si>
    <t>11.26.11</t>
  </si>
  <si>
    <t>00000000F4188C90990C1D4F9592A85831DCA99307001CDFA5E3617DAF4D8529086EB3E4B6EC00000000010C00001CDFA5E3617DAF4D8529086EB3E4B6EC0000C4E22FDE0000</t>
  </si>
  <si>
    <t>TK2 Poistoilmasuodatin kytkin</t>
  </si>
  <si>
    <t>Poistunut hälytys - VAK11.TK2.PDA30.AL.A1 2026.08.25 10</t>
  </si>
  <si>
    <t>10.46.25</t>
  </si>
  <si>
    <t>00000000F4188C90990C1D4F9592A85831DCA99307001CDFA5E3617DAF4D8529086EB3E4B6EC00000000010C00001CDFA5E3617DAF4D8529086EB3E4B6EC0000C4E22FDD0000</t>
  </si>
  <si>
    <t>TK2 Höyrykostutin häiriö</t>
  </si>
  <si>
    <t>Poistunut hälytys - VAK11.HK01.AL.A1 2026.08.25 10</t>
  </si>
  <si>
    <t>10.46.15</t>
  </si>
  <si>
    <t>00000000F4188C90990C1D4F9592A85831DCA99307001CDFA5E3617DAF4D8529086EB3E4B6EC00000000010C00001CDFA5E3617DAF4D8529086EB3E4B6EC0000C4E22FDC0000</t>
  </si>
  <si>
    <t>TK2 Tuloilmasuodatin kytkin</t>
  </si>
  <si>
    <t>Poistunut hälytys - VAK11.TK2.PDA01.AL.A2 2026.08.25 10</t>
  </si>
  <si>
    <t>10.46.14</t>
  </si>
  <si>
    <t>00000000F4188C90990C1D4F9592A85831DCA99307001CDFA5E3617DAF4D8529086EB3E4B6EC00000000010C00001CDFA5E3617DAF4D8529086EB3E4B6EC0000C4E22FDB0000</t>
  </si>
  <si>
    <t>Hälytys - VAK11.TK2.PDA30.AL.A1 2026.08.25 10</t>
  </si>
  <si>
    <t>10.45.58</t>
  </si>
  <si>
    <t>00000000F4188C90990C1D4F9592A85831DCA99307001CDFA5E3617DAF4D8529086EB3E4B6EC00000000010C00001CDFA5E3617DAF4D8529086EB3E4B6EC0000C4E22FDA0000</t>
  </si>
  <si>
    <t>Hälytys - VAK11.HK01.AL.A1 2026.08.25 10</t>
  </si>
  <si>
    <t>10.45.57</t>
  </si>
  <si>
    <t>00000000F4188C90990C1D4F9592A85831DCA99307001CDFA5E3617DAF4D8529086EB3E4B6EC00000000010C00001CDFA5E3617DAF4D8529086EB3E4B6EC0000C4E22FD90000</t>
  </si>
  <si>
    <t>Hälytys - VAK11.TK2.PDA01.AL.A2 2026.08.25 10</t>
  </si>
  <si>
    <t>00000000F4188C90990C1D4F9592A85831DCA99307001CDFA5E3617DAF4D8529086EB3E4B6EC00000000010C00001CDFA5E3617DAF4D8529086EB3E4B6EC0000C4E22FD80000</t>
  </si>
  <si>
    <t>Kompensointiparisto hälytys</t>
  </si>
  <si>
    <t>Poistunut hälytys - VAK11.Kompensointiparisto.AL.A1 2026.08.25 10</t>
  </si>
  <si>
    <t>10.44.29</t>
  </si>
  <si>
    <t>00000000F4188C90990C1D4F9592A85831DCA99307001CDFA5E3617DAF4D8529086EB3E4B6EC00000000010C00001CDFA5E3617DAF4D8529086EB3E4B6EC0000C4E22FD70000</t>
  </si>
  <si>
    <t>TK4 Tuloilmasuodatin kytkin</t>
  </si>
  <si>
    <t>Poistunut hälytys - VAK11.TK4.PDA01.AL.A1 2026.08.25 10</t>
  </si>
  <si>
    <t>10.44.28</t>
  </si>
  <si>
    <t>00000000F4188C90990C1D4F9592A85831DCA99307001CDFA5E3617DAF4D8529086EB3E4B6EC00000000010C00001CDFA5E3617DAF4D8529086EB3E4B6EC0000C4E22FD60000</t>
  </si>
  <si>
    <t>TK4 Poistoilmasuodatin kytkin</t>
  </si>
  <si>
    <t>Poistunut hälytys - VAK11.TK4.PDA30.AL.A1 2026.08.25 10</t>
  </si>
  <si>
    <t>00000000F4188C90990C1D4F9592A85831DCA99307001CDFA5E3617DAF4D8529086EB3E4B6EC00000000010C00001CDFA5E3617DAF4D8529086EB3E4B6EC0000C4E22FD50000</t>
  </si>
  <si>
    <t>Paloilmoitinkeskus, palohälytys</t>
  </si>
  <si>
    <t>Poistunut hälytys - VAK11.PIK.Palo.A1 2026.08.25 10</t>
  </si>
  <si>
    <t>10.44.25</t>
  </si>
  <si>
    <t>00000000F4188C90990C1D4F9592A85831DCA99307001CDFA5E3617DAF4D8529086EB3E4B6EC00000000010C00001CDFA5E3617DAF4D8529086EB3E4B6EC0000C4E22FD40000</t>
  </si>
  <si>
    <t>Hälytys - VAK11.Kompensointiparisto.AL.A1 2026.08.25 10</t>
  </si>
  <si>
    <t>10.44.09</t>
  </si>
  <si>
    <t>00000000F4188C90990C1D4F9592A85831DCA99307001CDFA5E3617DAF4D8529086EB3E4B6EC00000000010C00001CDFA5E3617DAF4D8529086EB3E4B6EC0000C4E22FD30000</t>
  </si>
  <si>
    <t>Hälytys - VAK11.PIK.Palo.A1 2026.08.25 10</t>
  </si>
  <si>
    <t>10.44.05</t>
  </si>
  <si>
    <t>00000000F4188C90990C1D4F9592A85831DCA99307001CDFA5E3617DAF4D8529086EB3E4B6EC00000000010C00001CDFA5E3617DAF4D8529086EB3E4B6EC0000C4E22FD20000</t>
  </si>
  <si>
    <t>Hälytys - VAK11.TK4.PDA30.AL.A1 2026.08.25 10</t>
  </si>
  <si>
    <t>10.44.03</t>
  </si>
  <si>
    <t>00000000F4188C90990C1D4F9592A85831DCA99307001CDFA5E3617DAF4D8529086EB3E4B6EC00000000010C00001CDFA5E3617DAF4D8529086EB3E4B6EC0000C4E22FD10000</t>
  </si>
  <si>
    <t>Hälytys - VAK11.TK4.PDA01.AL.A1 2026.08.25 10</t>
  </si>
  <si>
    <t>10.44.00</t>
  </si>
  <si>
    <t>00000000F4188C90990C1D4F9592A85831DCA99307001CDFA5E3617DAF4D8529086EB3E4B6EC00000000010C00001CDFA5E3617DAF4D8529086EB3E4B6EC0000C4E22FD00000</t>
  </si>
  <si>
    <t>Poistunut hälytys - VAK11.TK1.LPPump.CA1 2026.08.25 10</t>
  </si>
  <si>
    <t>10.43.58</t>
  </si>
  <si>
    <t>00000000F4188C90990C1D4F9592A85831DCA99307001CDFA5E3617DAF4D8529086EB3E4B6EC00000000010C00001CDFA5E3617DAF4D8529086EB3E4B6EC0000C4E22FCF0000</t>
  </si>
  <si>
    <t>TK1 Poistopuhallin PK1.1 ristiriita</t>
  </si>
  <si>
    <t>Poistunut hälytys - VAK11.TK1.ExhaustFan1ContradictionAlarm.A 2026.08.25 10</t>
  </si>
  <si>
    <t>10.43.09</t>
  </si>
  <si>
    <t>00000000F4188C90990C1D4F9592A85831DCA99307001CDFA5E3617DAF4D8529086EB3E4B6EC00000000010C00001CDFA5E3617DAF4D8529086EB3E4B6EC0000C4E22FCE0000</t>
  </si>
  <si>
    <t>Hälytys - VAK8.JVP_F.HÄL1.DA0 2026.08.25 10</t>
  </si>
  <si>
    <t>10.41.55</t>
  </si>
  <si>
    <t>00000000F4188C90990C1D4F9592A85831DCA99307001CDFA5E3617DAF4D8529086EB3E4B6EC00000000010C00001CDFA5E3617DAF4D8529086EB3E4B6EC0000C4E22FCD0000</t>
  </si>
  <si>
    <t>Poistunut hälytys - VAK8.JVP_F.HÄL1.DA0 2026.08.25 10</t>
  </si>
  <si>
    <t>10.41.43</t>
  </si>
  <si>
    <t>00000000F4188C90990C1D4F9592A85831DCA99307001CDFA5E3617DAF4D8529086EB3E4B6EC00000000010C00001CDFA5E3617DAF4D8529086EB3E4B6EC0000C4E22FCC0000</t>
  </si>
  <si>
    <t>10.09.56</t>
  </si>
  <si>
    <t>00000000F4188C90990C1D4F9592A85831DCA99307001CDFA5E3617DAF4D8529086EB3E4B6EC00000000010C00001CDFA5E3617DAF4D8529086EB3E4B6EC0000C4E22FCB0000</t>
  </si>
  <si>
    <t>10.09.31</t>
  </si>
  <si>
    <t>00000000F4188C90990C1D4F9592A85831DCA99307001CDFA5E3617DAF4D8529086EB3E4B6EC00000000010C00001CDFA5E3617DAF4D8529086EB3E4B6EC0000C4E22FCA0000</t>
  </si>
  <si>
    <t>Hälytys - VAK11.TK1.ExhaustFan1ContradictionAlarm.A 2026.08.25 09</t>
  </si>
  <si>
    <t>09.58.42</t>
  </si>
  <si>
    <t>00000000F4188C90990C1D4F9592A85831DCA99307001CDFA5E3617DAF4D8529086EB3E4B6EC00000000010C00001CDFA5E3617DAF4D8529086EB3E4B6EC0000C4E22FC90000</t>
  </si>
  <si>
    <t>Hälytys - VAK11.TK1.LPPump.CA1 2026.08.25 09</t>
  </si>
  <si>
    <t>09.57.20</t>
  </si>
  <si>
    <t>00000000F4188C90990C1D4F9592A85831DCA99307001CDFA5E3617DAF4D8529086EB3E4B6EC00000000010C00001CDFA5E3617DAF4D8529086EB3E4B6EC0000C4E22FC80000</t>
  </si>
  <si>
    <t>Paloilmoittimen hälytys</t>
  </si>
  <si>
    <t>Hälytys - VAK1.PIK.DA 2026.08.25 08</t>
  </si>
  <si>
    <t>08.15.48</t>
  </si>
  <si>
    <t>00000000F4188C90990C1D4F9592A85831DCA99307001CDFA5E3617DAF4D8529086EB3E4B6EC00000000010C00001CDFA5E3617DAF4D8529086EB3E4B6EC0000C4E22FC70000</t>
  </si>
  <si>
    <t>24/08/2026</t>
  </si>
  <si>
    <t>23/08/2026</t>
  </si>
  <si>
    <t>22/08/2026</t>
  </si>
  <si>
    <t>21/08/2026</t>
  </si>
  <si>
    <t>20/08/2026</t>
  </si>
  <si>
    <t>19/08/2026</t>
  </si>
  <si>
    <t>Hälytys - VAK8.JVP_F.HÄL1.DA0 2026.08.18 22</t>
  </si>
  <si>
    <t>2026.08.18</t>
  </si>
  <si>
    <t>22.05.36</t>
  </si>
  <si>
    <t>00000000F4188C90990C1D4F9592A85831DCA99307001CDFA5E3617DAF4D8529086EB3E4B6EC00000000010C00001CDFA5E3617DAF4D8529086EB3E4B6EC0000C0BF6E460000</t>
  </si>
  <si>
    <t>18/08/2026</t>
  </si>
  <si>
    <t>Poistunut hälytys - VAK8.JVP_F.HÄL1.DA0 2026.08.18 22</t>
  </si>
  <si>
    <t>22.05.10</t>
  </si>
  <si>
    <t>00000000F4188C90990C1D4F9592A85831DCA99307001CDFA5E3617DAF4D8529086EB3E4B6EC00000000010C00001CDFA5E3617DAF4D8529086EB3E4B6EC0000C0BF6E450000</t>
  </si>
  <si>
    <t>Hälytys - VAK4.MB1_ADDR6_TK3_PE01.A3 2026.08.18 22</t>
  </si>
  <si>
    <t>22.03.39</t>
  </si>
  <si>
    <t>00000000F4188C90990C1D4F9592A85831DCA99307001CDFA5E3617DAF4D8529086EB3E4B6EC00000000010C00001CDFA5E3617DAF4D8529086EB3E4B6EC0000C0BF6E440000</t>
  </si>
  <si>
    <t>Hälytys - VAK4.MB1_ADDR5_TK2_TK2_PE01.A3 2026.08.18 21</t>
  </si>
  <si>
    <t>21.02.18</t>
  </si>
  <si>
    <t>00000000F4188C90990C1D4F9592A85831DCA99307001CDFA5E3617DAF4D8529086EB3E4B6EC00000000010C00001CDFA5E3617DAF4D8529086EB3E4B6EC0000C0BF6E430000</t>
  </si>
  <si>
    <t>Hälytys - VAK4.MB2_WL_BaseVAK4_Alarm2.A 2026.08.18 20</t>
  </si>
  <si>
    <t>20.43.21</t>
  </si>
  <si>
    <t>00000000F4188C90990C1D4F9592A85831DCA99307001CDFA5E3617DAF4D8529086EB3E4B6EC00000000010C00001CDFA5E3617DAF4D8529086EB3E4B6EC0000C0BF6E420000</t>
  </si>
  <si>
    <t>Hälytys - VAK8.JVP_F.HÄL1.DA0 2026.08.18 18</t>
  </si>
  <si>
    <t>18.58.18</t>
  </si>
  <si>
    <t>00000000F4188C90990C1D4F9592A85831DCA99307001CDFA5E3617DAF4D8529086EB3E4B6EC00000000010C00001CDFA5E3617DAF4D8529086EB3E4B6EC0000C0BF6E410000</t>
  </si>
  <si>
    <t>Poistunut hälytys - VAK8.JVP_F.HÄL1.DA0 2026.08.18 18</t>
  </si>
  <si>
    <t>18.57.52</t>
  </si>
  <si>
    <t>00000000F4188C90990C1D4F9592A85831DCA99307001CDFA5E3617DAF4D8529086EB3E4B6EC00000000010C00001CDFA5E3617DAF4D8529086EB3E4B6EC0000C0BF6E400000</t>
  </si>
  <si>
    <t>Hälytys - LM1.MB3_ADDR10_FlexM__Error.A 2026.08.18 17</t>
  </si>
  <si>
    <t>17.16.21</t>
  </si>
  <si>
    <t>00000000F4188C90990C1D4F9592A85831DCA99307001CDFA5E3617DAF4D8529086EB3E4B6EC00000000010C00001CDFA5E3617DAF4D8529086EB3E4B6EC0000C0BF6E3F0000</t>
  </si>
  <si>
    <t>Hälytys - VAK8.JVP_F.HÄL1.DA0 2026.08.18 16</t>
  </si>
  <si>
    <t>16.37.42</t>
  </si>
  <si>
    <t>00000000F4188C90990C1D4F9592A85831DCA99307001CDFA5E3617DAF4D8529086EB3E4B6EC00000000010C00001CDFA5E3617DAF4D8529086EB3E4B6EC0000C0BF6E3E0000</t>
  </si>
  <si>
    <t>Poistunut hälytys - VAK8.JVP_F.HÄL1.DA0 2026.08.18 16</t>
  </si>
  <si>
    <t>16.37.13</t>
  </si>
  <si>
    <t>00000000F4188C90990C1D4F9592A85831DCA99307001CDFA5E3617DAF4D8529086EB3E4B6EC00000000010C00001CDFA5E3617DAF4D8529086EB3E4B6EC0000C0BF6E3D0000</t>
  </si>
  <si>
    <t>HeatingControl.L1 pumppu hälytys</t>
  </si>
  <si>
    <t>Hälytys - LM1.L1.P01.A1 2026.08.18 16</t>
  </si>
  <si>
    <t>16.07.20</t>
  </si>
  <si>
    <t>00000000F4188C90990C1D4F9592A85831DCA99307001CDFA5E3617DAF4D8529086EB3E4B6EC00000000010C00001CDFA5E3617DAF4D8529086EB3E4B6EC0000C0BF6E3C0000</t>
  </si>
  <si>
    <t>Hälytys - LM1.MB3_ADDR10_FlexM__Error.A 2026.08.18 15</t>
  </si>
  <si>
    <t>15.37.59</t>
  </si>
  <si>
    <t>00000000F4188C90990C1D4F9592A85831DCA99307001CDFA5E3617DAF4D8529086EB3E4B6EC00000000010C00001CDFA5E3617DAF4D8529086EB3E4B6EC0000C0BF6E3B0000</t>
  </si>
  <si>
    <t>Hälytys - VAK8.JVP_F.HÄL1.DA0 2026.08.18 14</t>
  </si>
  <si>
    <t>14.30.42</t>
  </si>
  <si>
    <t>00000000F4188C90990C1D4F9592A85831DCA99307001CDFA5E3617DAF4D8529086EB3E4B6EC00000000010C00001CDFA5E3617DAF4D8529086EB3E4B6EC0000C0BF6E3A0000</t>
  </si>
  <si>
    <t>Poistunut hälytys - VAK8.JVP_F.HÄL1.DA0 2026.08.18 14</t>
  </si>
  <si>
    <t>14.30.22</t>
  </si>
  <si>
    <t>00000000F4188C90990C1D4F9592A85831DCA99307001CDFA5E3617DAF4D8529086EB3E4B6EC00000000010C00001CDFA5E3617DAF4D8529086EB3E4B6EC0000C0BF6E390000</t>
  </si>
  <si>
    <t>Hälytys - LM1.L1.A1 2026.08.18 14</t>
  </si>
  <si>
    <t>14.21.19</t>
  </si>
  <si>
    <t>00000000F4188C90990C1D4F9592A85831DCA99307001CDFA5E3617DAF4D8529086EB3E4B6EC00000000010C00001CDFA5E3617DAF4D8529086EB3E4B6EC0000C0BF6E380000</t>
  </si>
  <si>
    <t>Hälytys - VAK8.JVP_F.HÄL1.DA0 2026.08.18 12</t>
  </si>
  <si>
    <t>00000000F4188C90990C1D4F9592A85831DCA99307001CDFA5E3617DAF4D8529086EB3E4B6EC00000000010C00001CDFA5E3617DAF4D8529086EB3E4B6EC0000C0BF6E370000</t>
  </si>
  <si>
    <t>Poistunut hälytys - VAK8.JVP_F.HÄL1.DA0 2026.08.18 12</t>
  </si>
  <si>
    <t>12.51.40</t>
  </si>
  <si>
    <t>00000000F4188C90990C1D4F9592A85831DCA99307001CDFA5E3617DAF4D8529086EB3E4B6EC00000000010C00001CDFA5E3617DAF4D8529086EB3E4B6EC0000C0BF6E360000</t>
  </si>
  <si>
    <t>Hälytys - LM1.MB3_ADDR10_FlexM__Error.A 2026.08.18 12</t>
  </si>
  <si>
    <t>12.33.00</t>
  </si>
  <si>
    <t>00000000F4188C90990C1D4F9592A85831DCA99307001CDFA5E3617DAF4D8529086EB3E4B6EC00000000010C00001CDFA5E3617DAF4D8529086EB3E4B6EC0000C0BF6E350000</t>
  </si>
  <si>
    <t>Hälytys - VAK8.JVP_F.HÄL1.DA0 2026.08.18 11</t>
  </si>
  <si>
    <t>11.47.57</t>
  </si>
  <si>
    <t>00000000F4188C90990C1D4F9592A85831DCA99307001CDFA5E3617DAF4D8529086EB3E4B6EC00000000010C00001CDFA5E3617DAF4D8529086EB3E4B6EC0000C0BF6E340000</t>
  </si>
  <si>
    <t>Poistunut hälytys - VAK8.JVP_F.HÄL1.DA0 2026.08.18 11</t>
  </si>
  <si>
    <t>11.47.41</t>
  </si>
  <si>
    <t>00000000F4188C90990C1D4F9592A85831DCA99307001CDFA5E3617DAF4D8529086EB3E4B6EC00000000010C00001CDFA5E3617DAF4D8529086EB3E4B6EC0000C0BF6E330000</t>
  </si>
  <si>
    <t>Hälytys - ID_6129670 2026.08.18 11</t>
  </si>
  <si>
    <t>11.13.36</t>
  </si>
  <si>
    <t>00000000F4188C90990C1D4F9592A85831DCA99307001CDFA5E3617DAF4D8529086EB3E4B6EC00000000010C00001CDFA5E3617DAF4D8529086EB3E4B6EC0000C0BF6E320000</t>
  </si>
  <si>
    <t>Hälytys - VAK8.JVP_F.HÄL1.DA0 2026.08.18 10</t>
  </si>
  <si>
    <t>10.48.36</t>
  </si>
  <si>
    <t>00000000F4188C90990C1D4F9592A85831DCA99307001CDFA5E3617DAF4D8529086EB3E4B6EC00000000010C00001CDFA5E3617DAF4D8529086EB3E4B6EC0000C0BF6E310000</t>
  </si>
  <si>
    <t>Poistunut hälytys - VAK8.JVP_F.HÄL1.DA0 2026.08.18 10</t>
  </si>
  <si>
    <t>10.48.07</t>
  </si>
  <si>
    <t>00000000F4188C90990C1D4F9592A85831DCA99307001CDFA5E3617DAF4D8529086EB3E4B6EC00000000010C00001CDFA5E3617DAF4D8529086EB3E4B6EC0000C0BF6E300000</t>
  </si>
  <si>
    <t>Hälytys - LM1.L1.A1 2026.08.18 10</t>
  </si>
  <si>
    <t>10.35.21</t>
  </si>
  <si>
    <t>00000000F4188C90990C1D4F9592A85831DCA99307001CDFA5E3617DAF4D8529086EB3E4B6EC00000000010C00001CDFA5E3617DAF4D8529086EB3E4B6EC0000C0BF6E2F0000</t>
  </si>
  <si>
    <t>Hälytys - LM1.L1.TE41_L1.A2 2026.08.18 10</t>
  </si>
  <si>
    <t>10.21.28</t>
  </si>
  <si>
    <t>00000000F4188C90990C1D4F9592A85831DCA99307001CDFA5E3617DAF4D8529086EB3E4B6EC00000000010C00001CDFA5E3617DAF4D8529086EB3E4B6EC0000C0BF6E2E0000</t>
  </si>
  <si>
    <t>10.12.01</t>
  </si>
  <si>
    <t>00000000F4188C90990C1D4F9592A85831DCA99307001CDFA5E3617DAF4D8529086EB3E4B6EC00000000010C00001CDFA5E3617DAF4D8529086EB3E4B6EC0000C0BF6E2D0000</t>
  </si>
  <si>
    <t>10.11.35</t>
  </si>
  <si>
    <t>00000000F4188C90990C1D4F9592A85831DCA99307001CDFA5E3617DAF4D8529086EB3E4B6EC00000000010C00001CDFA5E3617DAF4D8529086EB3E4B6EC0000C0BF6E2C0000</t>
  </si>
  <si>
    <t>Hälytys - LM1.L1.P01.A1 2026.08.18 10</t>
  </si>
  <si>
    <t>00000000F4188C90990C1D4F9592A85831DCA99307001CDFA5E3617DAF4D8529086EB3E4B6EC00000000010C00001CDFA5E3617DAF4D8529086EB3E4B6EC0000C0BF6E2B0000</t>
  </si>
  <si>
    <t>Haapajärven monitoimitalo,VAK13</t>
  </si>
  <si>
    <t>TK3 Tulopuhallin ristiriita</t>
  </si>
  <si>
    <t>Poistunut hälytys - VAK13.TK3.TFContr.CA1 2026.08.18 10</t>
  </si>
  <si>
    <t>10.02.38</t>
  </si>
  <si>
    <t>00000000F4188C90990C1D4F9592A85831DCA99307001CDFA5E3617DAF4D8529086EB3E4B6EC00000000010C00001CDFA5E3617DAF4D8529086EB3E4B6EC0000C0BF6E2A0000</t>
  </si>
  <si>
    <t>TK3 Poistoilman paineen alaraja</t>
  </si>
  <si>
    <t>Poistunut hälytys - VAK13.TK3.EPressure.LL 2026.08.18 10</t>
  </si>
  <si>
    <t>10.02.36</t>
  </si>
  <si>
    <t>00000000F4188C90990C1D4F9592A85831DCA99307001CDFA5E3617DAF4D8529086EB3E4B6EC00000000010C00001CDFA5E3617DAF4D8529086EB3E4B6EC0000C0BF6E290000</t>
  </si>
  <si>
    <t>TK3 Tulopuhallin TaMu häiriö</t>
  </si>
  <si>
    <t>Poistunut hälytys - VAK13.EM01.AL.A1 2026.08.18 10</t>
  </si>
  <si>
    <t>10.02.32</t>
  </si>
  <si>
    <t>00000000F4188C90990C1D4F9592A85831DCA99307001CDFA5E3617DAF4D8529086EB3E4B6EC00000000010C00001CDFA5E3617DAF4D8529086EB3E4B6EC0000C0BF6E280000</t>
  </si>
  <si>
    <t>Hälytys - ID_5702262 2026.08.18 09</t>
  </si>
  <si>
    <t>09.59.56</t>
  </si>
  <si>
    <t>00000000F4188C90990C1D4F9592A85831DCA99307001CDFA5E3617DAF4D8529086EB3E4B6EC00000000010C00001CDFA5E3617DAF4D8529086EB3E4B6EC0000C0BF6E270000</t>
  </si>
  <si>
    <t>Hälytys - DeviceNoResponseAlarm 2026.08.18 08</t>
  </si>
  <si>
    <t>08.27.24</t>
  </si>
  <si>
    <t>00000000F4188C90990C1D4F9592A85831DCA99307001CDFA5E3617DAF4D8529086EB3E4B6EC00000000010C00001CDFA5E3617DAF4D8529086EB3E4B6EC0000C0BF6E260000</t>
  </si>
  <si>
    <t>Haapajärven monitoimitalo,VAKLJH</t>
  </si>
  <si>
    <t>Poistunut hälytys - DeviceNoResponseAlarm 2026.08.18 08</t>
  </si>
  <si>
    <t>08.27.54</t>
  </si>
  <si>
    <t>00000000F4188C90990C1D4F9592A85831DCA99307001CDFA5E3617DAF4D8529086EB3E4B6EC00000000010C00001CDFA5E3617DAF4D8529086EB3E4B6EC0000C0BF6E250000</t>
  </si>
  <si>
    <t>08.27.53</t>
  </si>
  <si>
    <t>00000000F4188C90990C1D4F9592A85831DCA99307001CDFA5E3617DAF4D8529086EB3E4B6EC00000000010C00001CDFA5E3617DAF4D8529086EB3E4B6EC0000C0BF6E240000</t>
  </si>
  <si>
    <t>08.24.27</t>
  </si>
  <si>
    <t>00000000F4188C90990C1D4F9592A85831DCA99307001CDFA5E3617DAF4D8529086EB3E4B6EC00000000010C00001CDFA5E3617DAF4D8529086EB3E4B6EC0000C0BF6E230000</t>
  </si>
  <si>
    <t>Hälytys - DeviceNoResponseAlarm 2026.08.18 07</t>
  </si>
  <si>
    <t>07.28.32</t>
  </si>
  <si>
    <t>00000000F4188C90990C1D4F9592A85831DCA99307001CDFA5E3617DAF4D8529086EB3E4B6EC00000000010C00001CDFA5E3617DAF4D8529086EB3E4B6EC0000C0BF6E220000</t>
  </si>
  <si>
    <t>Kalajoki Kalajoen liikekeskus,WL-Base</t>
  </si>
  <si>
    <t>07.20.47</t>
  </si>
  <si>
    <t>00000000F4188C90990C1D4F9592A85831DCA99307001CDFA5E3617DAF4D8529086EB3E4B6EC00000000010C00001CDFA5E3617DAF4D8529086EB3E4B6EC0000C0BF6E210000</t>
  </si>
  <si>
    <t>Hälytys - VAK8.JVP_F.HÄL1.DA0 2026.08.18 07</t>
  </si>
  <si>
    <t>07.16.59</t>
  </si>
  <si>
    <t>00000000F4188C90990C1D4F9592A85831DCA99307001CDFA5E3617DAF4D8529086EB3E4B6EC00000000010C00001CDFA5E3617DAF4D8529086EB3E4B6EC0000C0BF6E200000</t>
  </si>
  <si>
    <t>Poistunut hälytys - VAK8.JVP_F.HÄL1.DA0 2026.08.18 07</t>
  </si>
  <si>
    <t>07.17.06</t>
  </si>
  <si>
    <t>00000000F4188C90990C1D4F9592A85831DCA99307001CDFA5E3617DAF4D8529086EB3E4B6EC00000000010C00001CDFA5E3617DAF4D8529086EB3E4B6EC0000C0BF6E1F0000</t>
  </si>
  <si>
    <t>Hälytys - DeviceNoResponseAlarm 2026.08.18 06</t>
  </si>
  <si>
    <t>06.50.07</t>
  </si>
  <si>
    <t>00000000F4188C90990C1D4F9592A85831DCA99307001CDFA5E3617DAF4D8529086EB3E4B6EC00000000010C00001CDFA5E3617DAF4D8529086EB3E4B6EC0000C0BF6E1E0000</t>
  </si>
  <si>
    <t>KOy Valtakatu 33 Lappeenranta,WL-Base</t>
  </si>
  <si>
    <t>06.49.15</t>
  </si>
  <si>
    <t>00000000F4188C90990C1D4F9592A85831DCA99307001CDFA5E3617DAF4D8529086EB3E4B6EC00000000010C00001CDFA5E3617DAF4D8529086EB3E4B6EC0000C0BF6E1D0000</t>
  </si>
  <si>
    <t>06.48.52</t>
  </si>
  <si>
    <t>00000000F4188C90990C1D4F9592A85831DCA99307001CDFA5E3617DAF4D8529086EB3E4B6EC00000000010C00001CDFA5E3617DAF4D8529086EB3E4B6EC0000C0BF6E1C0000</t>
  </si>
  <si>
    <t>06.48.17</t>
  </si>
  <si>
    <t>00000000F4188C90990C1D4F9592A85831DCA99307001CDFA5E3617DAF4D8529086EB3E4B6EC00000000010C00001CDFA5E3617DAF4D8529086EB3E4B6EC0000C0BF6E1B0000</t>
  </si>
  <si>
    <t>06.42.32</t>
  </si>
  <si>
    <t>00000000F4188C90990C1D4F9592A85831DCA99307001CDFA5E3617DAF4D8529086EB3E4B6EC00000000010C00001CDFA5E3617DAF4D8529086EB3E4B6EC0000C0BF6E1A0000</t>
  </si>
  <si>
    <t>06.36.04</t>
  </si>
  <si>
    <t>00000000F4188C90990C1D4F9592A85831DCA99307001CDFA5E3617DAF4D8529086EB3E4B6EC00000000010C00001CDFA5E3617DAF4D8529086EB3E4B6EC0000C0BF6E190000</t>
  </si>
  <si>
    <t>Alarm - ID_4736585 2026.08.18 06</t>
  </si>
  <si>
    <t>06.36.05</t>
  </si>
  <si>
    <t>00000000F4188C90990C1D4F9592A85831DCA99307001CDFA5E3617DAF4D8529086EB3E4B6EC00000000010C00001CDFA5E3617DAF4D8529086EB3E4B6EC0000C0BF6E180000</t>
  </si>
  <si>
    <t>00000000F4188C90990C1D4F9592A85831DCA99307001CDFA5E3617DAF4D8529086EB3E4B6EC00000000010C00001CDFA5E3617DAF4D8529086EB3E4B6EC0000C0BF6E170000</t>
  </si>
  <si>
    <t>Hälytys - ID_5798719 2026.08.18 06</t>
  </si>
  <si>
    <t>06.35.32</t>
  </si>
  <si>
    <t>00000000F4188C90990C1D4F9592A85831DCA99307001CDFA5E3617DAF4D8529086EB3E4B6EC00000000010C00001CDFA5E3617DAF4D8529086EB3E4B6EC0000C0BF6E160000</t>
  </si>
  <si>
    <t>06.34.21</t>
  </si>
  <si>
    <t>00000000F4188C90990C1D4F9592A85831DCA99307001CDFA5E3617DAF4D8529086EB3E4B6EC00000000010C00001CDFA5E3617DAF4D8529086EB3E4B6EC0000C0BF6E150000</t>
  </si>
  <si>
    <t>Oulu Järvihiisi,WL-Base</t>
  </si>
  <si>
    <t>Alarm - DeviceNoResponseAlarm 2026.08.18 06</t>
  </si>
  <si>
    <t>06.33.54</t>
  </si>
  <si>
    <t>00000000F4188C90990C1D4F9592A85831DCA99307001CDFA5E3617DAF4D8529086EB3E4B6EC00000000010C00001CDFA5E3617DAF4D8529086EB3E4B6EC0000C0BF6E140000</t>
  </si>
  <si>
    <t>Hälytys - ID_6377637 2026.08.18 06</t>
  </si>
  <si>
    <t>06.32.19</t>
  </si>
  <si>
    <t>00000000F4188C90990C1D4F9592A85831DCA99307001CDFA5E3617DAF4D8529086EB3E4B6EC00000000010C00001CDFA5E3617DAF4D8529086EB3E4B6EC0000C0BF6E130000</t>
  </si>
  <si>
    <t>06.32.14</t>
  </si>
  <si>
    <t>00000000F4188C90990C1D4F9592A85831DCA99307001CDFA5E3617DAF4D8529086EB3E4B6EC00000000010C00001CDFA5E3617DAF4D8529086EB3E4B6EC0000C0BF6E120000</t>
  </si>
  <si>
    <t>06.31.58</t>
  </si>
  <si>
    <t>00000000F4188C90990C1D4F9592A85831DCA99307001CDFA5E3617DAF4D8529086EB3E4B6EC00000000010C00001CDFA5E3617DAF4D8529086EB3E4B6EC0000C0BF6E110000</t>
  </si>
  <si>
    <t>Hälytys - ID_6129670 2026.08.18 06</t>
  </si>
  <si>
    <t>06.31.30</t>
  </si>
  <si>
    <t>00000000F4188C90990C1D4F9592A85831DCA99307001CDFA5E3617DAF4D8529086EB3E4B6EC00000000010C00001CDFA5E3617DAF4D8529086EB3E4B6EC0000C0BF6E100000</t>
  </si>
  <si>
    <t>06.31.16</t>
  </si>
  <si>
    <t>00000000F4188C90990C1D4F9592A85831DCA99307001CDFA5E3617DAF4D8529086EB3E4B6EC00000000010C00001CDFA5E3617DAF4D8529086EB3E4B6EC0000C0BF6E0F0000</t>
  </si>
  <si>
    <t>06.31.09</t>
  </si>
  <si>
    <t>00000000F4188C90990C1D4F9592A85831DCA99307001CDFA5E3617DAF4D8529086EB3E4B6EC00000000010C00001CDFA5E3617DAF4D8529086EB3E4B6EC0000C0BF6E0E0000</t>
  </si>
  <si>
    <t>06.30.54</t>
  </si>
  <si>
    <t>00000000F4188C90990C1D4F9592A85831DCA99307001CDFA5E3617DAF4D8529086EB3E4B6EC00000000010C00001CDFA5E3617DAF4D8529086EB3E4B6EC0000C0BF6E0D0000</t>
  </si>
  <si>
    <t>06.30.45</t>
  </si>
  <si>
    <t>00000000F4188C90990C1D4F9592A85831DCA99307001CDFA5E3617DAF4D8529086EB3E4B6EC00000000010C00001CDFA5E3617DAF4D8529086EB3E4B6EC0000C0BF6E0C0000</t>
  </si>
  <si>
    <t>Hälytys - ID_5718927 2026.08.18 06</t>
  </si>
  <si>
    <t>06.30.43</t>
  </si>
  <si>
    <t>00000000F4188C90990C1D4F9592A85831DCA99307001CDFA5E3617DAF4D8529086EB3E4B6EC00000000010C00001CDFA5E3617DAF4D8529086EB3E4B6EC0000C0BF6E0B0000</t>
  </si>
  <si>
    <t>Hälytys - ID_4687514 2026.08.18 06</t>
  </si>
  <si>
    <t>06.30.29</t>
  </si>
  <si>
    <t>00000000F4188C90990C1D4F9592A85831DCA99307001CDFA5E3617DAF4D8529086EB3E4B6EC00000000010C00001CDFA5E3617DAF4D8529086EB3E4B6EC0000C0BF6E0A0000</t>
  </si>
  <si>
    <t>06.30.28</t>
  </si>
  <si>
    <t>00000000F4188C90990C1D4F9592A85831DCA99307001CDFA5E3617DAF4D8529086EB3E4B6EC00000000010C00001CDFA5E3617DAF4D8529086EB3E4B6EC0000C0BF6E090000</t>
  </si>
  <si>
    <t>06.30.27</t>
  </si>
  <si>
    <t>00000000F4188C90990C1D4F9592A85831DCA99307001CDFA5E3617DAF4D8529086EB3E4B6EC00000000010C00001CDFA5E3617DAF4D8529086EB3E4B6EC0000C0BF6E080000</t>
  </si>
  <si>
    <t>00000000F4188C90990C1D4F9592A85831DCA99307001CDFA5E3617DAF4D8529086EB3E4B6EC00000000010C00001CDFA5E3617DAF4D8529086EB3E4B6EC0000C0BF6E070000</t>
  </si>
  <si>
    <t>Hälytys - ID_4716145 2026.08.18 06</t>
  </si>
  <si>
    <t>00000000F4188C90990C1D4F9592A85831DCA99307001CDFA5E3617DAF4D8529086EB3E4B6EC00000000010C00001CDFA5E3617DAF4D8529086EB3E4B6EC0000C0BF6E060000</t>
  </si>
  <si>
    <t>06.30.13</t>
  </si>
  <si>
    <t>00000000F4188C90990C1D4F9592A85831DCA99307001CDFA5E3617DAF4D8529086EB3E4B6EC00000000010C00001CDFA5E3617DAF4D8529086EB3E4B6EC0000C0BF6E050000</t>
  </si>
  <si>
    <t>06.29.20</t>
  </si>
  <si>
    <t>00000000F4188C90990C1D4F9592A85831DCA99307001CDFA5E3617DAF4D8529086EB3E4B6EC00000000010C00001CDFA5E3617DAF4D8529086EB3E4B6EC0000C0BF6E040000</t>
  </si>
  <si>
    <t>Poistunut hälytys - VAK4.MB2_WL_BaseVAK4_Alarm2.A 2026.08.18 05</t>
  </si>
  <si>
    <t>05.10.40</t>
  </si>
  <si>
    <t>00000000F4188C90990C1D4F9592A85831DCA99307001CDFA5E3617DAF4D8529086EB3E4B6EC00000000010C00001CDFA5E3617DAF4D8529086EB3E4B6EC0000C0BF6E030000</t>
  </si>
  <si>
    <t>Laite MBTCP.VAK3 väylässä ModbusTCP ei vastaa</t>
  </si>
  <si>
    <t>Hälytys - VK33.VAK2.MBTCP_ADDR192_168_1_13_VAK3__Error.A 2026.08.18 05</t>
  </si>
  <si>
    <t>05.04.24</t>
  </si>
  <si>
    <t>00000000F4188C90990C1D4F9592A85831DCA99307001CDFA5E3617DAF4D8529086EB3E4B6EC00000000010C00001CDFA5E3617DAF4D8529086EB3E4B6EC0000C0BF6E020000</t>
  </si>
  <si>
    <t>Hälytys - VK33.VAK1.MBTCP_ADDR192_168_1_13_VAK3__Error.A 2026.08.18 05</t>
  </si>
  <si>
    <t>05.04.20</t>
  </si>
  <si>
    <t>00000000F4188C90990C1D4F9592A85831DCA99307001CDFA5E3617DAF4D8529086EB3E4B6EC00000000010C00001CDFA5E3617DAF4D8529086EB3E4B6EC0000C0BF6E010000</t>
  </si>
  <si>
    <t>Hälytys - ID_2457360 2026.08.18 01</t>
  </si>
  <si>
    <t>01.20.58</t>
  </si>
  <si>
    <t>00000000F4188C90990C1D4F9592A85831DCA99307001CDFA5E3617DAF4D8529086EB3E4B6EC00000000010C00001CDFA5E3617DAF4D8529086EB3E4B6EC0000C0BF6E000000</t>
  </si>
  <si>
    <t>Hälytys - DeviceNoResponseAlarm 2026.08.18 01</t>
  </si>
  <si>
    <t>01.16.42</t>
  </si>
  <si>
    <t>00000000F4188C90990C1D4F9592A85831DCA99307001CDFA5E3617DAF4D8529086EB3E4B6EC00000000010C00001CDFA5E3617DAF4D8529086EB3E4B6EC0000C0BF6DFF0000</t>
  </si>
  <si>
    <t>01.07.59</t>
  </si>
  <si>
    <t>00000000F4188C90990C1D4F9592A85831DCA99307001CDFA5E3617DAF4D8529086EB3E4B6EC00000000010C00001CDFA5E3617DAF4D8529086EB3E4B6EC0000C0BF6DFE0000</t>
  </si>
  <si>
    <t>Hälytys - VAK4.MB1_ADDR6_TK3_PE01.A3 2026.08.17 22</t>
  </si>
  <si>
    <t>2026.08.17</t>
  </si>
  <si>
    <t>22.04.25</t>
  </si>
  <si>
    <t>00000000F4188C90990C1D4F9592A85831DCA99307001CDFA5E3617DAF4D8529086EB3E4B6EC00000000010C00001CDFA5E3617DAF4D8529086EB3E4B6EC0000C0BF6DFD0000</t>
  </si>
  <si>
    <t>17/08/2026</t>
  </si>
  <si>
    <t>Hälytys - VAK8.JVP_F.HÄL1.DA0 2026.08.17 21</t>
  </si>
  <si>
    <t>21.32.56</t>
  </si>
  <si>
    <t>00000000F4188C90990C1D4F9592A85831DCA99307001CDFA5E3617DAF4D8529086EB3E4B6EC00000000010C00001CDFA5E3617DAF4D8529086EB3E4B6EC0000C0BF6DFC0000</t>
  </si>
  <si>
    <t>Poistunut hälytys - VAK8.JVP_F.HÄL1.DA0 2026.08.17 21</t>
  </si>
  <si>
    <t>21.32.27</t>
  </si>
  <si>
    <t>00000000F4188C90990C1D4F9592A85831DCA99307001CDFA5E3617DAF4D8529086EB3E4B6EC00000000010C00001CDFA5E3617DAF4D8529086EB3E4B6EC0000C0BF6DFB0000</t>
  </si>
  <si>
    <t>Poistoilman taajuusmuuttaja PF5</t>
  </si>
  <si>
    <t>Hälytys - KK31.VAK1_1.11TK1.11PF5.CA1 2026.08.17 21</t>
  </si>
  <si>
    <t>21.32.05</t>
  </si>
  <si>
    <t>00000000F4188C90990C1D4F9592A85831DCA99307001CDFA5E3617DAF4D8529086EB3E4B6EC00000000010C00001CDFA5E3617DAF4D8529086EB3E4B6EC0000C0BF6DFA0000</t>
  </si>
  <si>
    <t>Hälytys - VAK4.MB1_ADDR5_TK2_TK2_PE01.A3 2026.08.17 21</t>
  </si>
  <si>
    <t>21.02.56</t>
  </si>
  <si>
    <t>00000000F4188C90990C1D4F9592A85831DCA99307001CDFA5E3617DAF4D8529086EB3E4B6EC00000000010C00001CDFA5E3617DAF4D8529086EB3E4B6EC0000C0BF6DF90000</t>
  </si>
  <si>
    <t>Hälytys - VAK4.MB2_WL_BaseVAK4_Alarm2.A 2026.08.17 20</t>
  </si>
  <si>
    <t>20.43.22</t>
  </si>
  <si>
    <t>00000000F4188C90990C1D4F9592A85831DCA99307001CDFA5E3617DAF4D8529086EB3E4B6EC00000000010C00001CDFA5E3617DAF4D8529086EB3E4B6EC0000C0BF6DF80000</t>
  </si>
  <si>
    <t>Hälytys - VAK8.JVP_F.HÄL1.DA0 2026.08.17 17</t>
  </si>
  <si>
    <t>17.47.41</t>
  </si>
  <si>
    <t>00000000F4188C90990C1D4F9592A85831DCA99307001CDFA5E3617DAF4D8529086EB3E4B6EC00000000010C00001CDFA5E3617DAF4D8529086EB3E4B6EC0000C0BF6DF70000</t>
  </si>
  <si>
    <t>Poistunut hälytys - VAK8.JVP_F.HÄL1.DA0 2026.08.17 17</t>
  </si>
  <si>
    <t>17.47.13</t>
  </si>
  <si>
    <t>00000000F4188C90990C1D4F9592A85831DCA99307001CDFA5E3617DAF4D8529086EB3E4B6EC00000000010C00001CDFA5E3617DAF4D8529086EB3E4B6EC0000C0BF6DF60000</t>
  </si>
  <si>
    <t>Hälytys - LM1.L1.TE41_L1.A2 2026.08.17 17</t>
  </si>
  <si>
    <t>17.23.47</t>
  </si>
  <si>
    <t>00000000F4188C90990C1D4F9592A85831DCA99307001CDFA5E3617DAF4D8529086EB3E4B6EC00000000010C00001CDFA5E3617DAF4D8529086EB3E4B6EC0000C0BF6DF50000</t>
  </si>
  <si>
    <t>Hälytys - ID_4716145 2026.08.17 15</t>
  </si>
  <si>
    <t>15.15.29</t>
  </si>
  <si>
    <t>00000000F4188C90990C1D4F9592A85831DCA99307001CDFA5E3617DAF4D8529086EB3E4B6EC00000000010C00001CDFA5E3617DAF4D8529086EB3E4B6EC0000C0BF6DF40000</t>
  </si>
  <si>
    <t>Hälytys - VAK8.JVP_F.HÄL1.DA0 2026.08.17 14</t>
  </si>
  <si>
    <t>14.32.34</t>
  </si>
  <si>
    <t>00000000F4188C90990C1D4F9592A85831DCA99307001CDFA5E3617DAF4D8529086EB3E4B6EC00000000010C00001CDFA5E3617DAF4D8529086EB3E4B6EC0000C0BF6DF30000</t>
  </si>
  <si>
    <t>Poistunut hälytys - VAK8.JVP_F.HÄL1.DA0 2026.08.17 14</t>
  </si>
  <si>
    <t>14.32.08</t>
  </si>
  <si>
    <t>00000000F4188C90990C1D4F9592A85831DCA99307001CDFA5E3617DAF4D8529086EB3E4B6EC00000000010C00001CDFA5E3617DAF4D8529086EB3E4B6EC0000C0BF6DF20000</t>
  </si>
  <si>
    <t>Hälytys - VAK8.JVP_F.HÄL1.DA0 2026.08.17 12</t>
  </si>
  <si>
    <t>12.52.35</t>
  </si>
  <si>
    <t>00000000F4188C90990C1D4F9592A85831DCA99307001CDFA5E3617DAF4D8529086EB3E4B6EC00000000010C00001CDFA5E3617DAF4D8529086EB3E4B6EC0000C0BF6DF10000</t>
  </si>
  <si>
    <t>Poistunut hälytys - VAK8.JVP_F.HÄL1.DA0 2026.08.17 12</t>
  </si>
  <si>
    <t>12.52.09</t>
  </si>
  <si>
    <t>00000000F4188C90990C1D4F9592A85831DCA99307001CDFA5E3617DAF4D8529086EB3E4B6EC00000000010C00001CDFA5E3617DAF4D8529086EB3E4B6EC0000C0BF6DF00000</t>
  </si>
  <si>
    <t>Hälytys - VAK13.TK3.EPressure.LL 2026.08.17 11</t>
  </si>
  <si>
    <t>11.40.05</t>
  </si>
  <si>
    <t>00000000F4188C90990C1D4F9592A85831DCA99307001CDFA5E3617DAF4D8529086EB3E4B6EC00000000010C00001CDFA5E3617DAF4D8529086EB3E4B6EC0000C0BF6DEF0000</t>
  </si>
  <si>
    <t>TK2 Tulopuhallin TaMu häiriö</t>
  </si>
  <si>
    <t>Poistunut hälytys - VAK11.TK2.EM1.AL.A1 2026.08.17 11</t>
  </si>
  <si>
    <t>11.33.23</t>
  </si>
  <si>
    <t>00000000F4188C90990C1D4F9592A85831DCA99307001CDFA5E3617DAF4D8529086EB3E4B6EC00000000010C00001CDFA5E3617DAF4D8529086EB3E4B6EC0000C0BF6DEE0000</t>
  </si>
  <si>
    <t>TK2 LP Pumppu SEIS</t>
  </si>
  <si>
    <t>Poistunut hälytys - VAK11.TK2.LPPump.CA1 2026.08.17 11</t>
  </si>
  <si>
    <t>11.33.22</t>
  </si>
  <si>
    <t>00000000F4188C90990C1D4F9592A85831DCA99307001CDFA5E3617DAF4D8529086EB3E4B6EC00000000010C00001CDFA5E3617DAF4D8529086EB3E4B6EC0000C0BF6DED0000</t>
  </si>
  <si>
    <t>Hälytys - VAK11.TK2.LPPump.CA1 2026.08.17 11</t>
  </si>
  <si>
    <t>11.33.09</t>
  </si>
  <si>
    <t>00000000F4188C90990C1D4F9592A85831DCA99307001CDFA5E3617DAF4D8529086EB3E4B6EC00000000010C00001CDFA5E3617DAF4D8529086EB3E4B6EC0000C0BF6DEC0000</t>
  </si>
  <si>
    <t>Hälytys - VAK11.TK2.EM1.AL.A1 2026.08.17 11</t>
  </si>
  <si>
    <t>00000000F4188C90990C1D4F9592A85831DCA99307001CDFA5E3617DAF4D8529086EB3E4B6EC00000000010C00001CDFA5E3617DAF4D8529086EB3E4B6EC0000C0BF6DEB0000</t>
  </si>
  <si>
    <t>TK2 Poistopuhallin TaMu häiriö</t>
  </si>
  <si>
    <t>Poistunut hälytys - VAK11.TK2.EM2.AL.A1 2026.08.17 11</t>
  </si>
  <si>
    <t>11.31.55</t>
  </si>
  <si>
    <t>00000000F4188C90990C1D4F9592A85831DCA99307001CDFA5E3617DAF4D8529086EB3E4B6EC00000000010C00001CDFA5E3617DAF4D8529086EB3E4B6EC0000C0BF6DEA0000</t>
  </si>
  <si>
    <t>Hälytys - VAK13.TK3.TFContr.CA1 2026.08.17 11</t>
  </si>
  <si>
    <t>11.31.09</t>
  </si>
  <si>
    <t>00000000F4188C90990C1D4F9592A85831DCA99307001CDFA5E3617DAF4D8529086EB3E4B6EC00000000010C00001CDFA5E3617DAF4D8529086EB3E4B6EC0000C0BF6DE90000</t>
  </si>
  <si>
    <t>Hälytys - VAK13.EM01.AL.A1 2026.08.17 11</t>
  </si>
  <si>
    <t>11.29.11</t>
  </si>
  <si>
    <t>00000000F4188C90990C1D4F9592A85831DCA99307001CDFA5E3617DAF4D8529086EB3E4B6EC00000000010C00001CDFA5E3617DAF4D8529086EB3E4B6EC0000C0BF6DE80000</t>
  </si>
  <si>
    <t>Hälytys - LM1.MB3_ADDR10_FlexM__Error.A 2026.08.17 10</t>
  </si>
  <si>
    <t>10.53.59</t>
  </si>
  <si>
    <t>00000000F4188C90990C1D4F9592A85831DCA99307001CDFA5E3617DAF4D8529086EB3E4B6EC00000000010C00001CDFA5E3617DAF4D8529086EB3E4B6EC0000C0BF6DE70000</t>
  </si>
  <si>
    <t>Hälytys - VAK8.JVP_F.HÄL1.DA0 2026.08.17 10</t>
  </si>
  <si>
    <t>10.50.25</t>
  </si>
  <si>
    <t>00000000F4188C90990C1D4F9592A85831DCA99307001CDFA5E3617DAF4D8529086EB3E4B6EC00000000010C00001CDFA5E3617DAF4D8529086EB3E4B6EC0000C0BF6DE60000</t>
  </si>
  <si>
    <t>Poistunut hälytys - VAK8.JVP_F.HÄL1.DA0 2026.08.17 10</t>
  </si>
  <si>
    <t>10.50.00</t>
  </si>
  <si>
    <t>00000000F4188C90990C1D4F9592A85831DCA99307001CDFA5E3617DAF4D8529086EB3E4B6EC00000000010C00001CDFA5E3617DAF4D8529086EB3E4B6EC0000C0BF6DE50000</t>
  </si>
  <si>
    <t>Hälytys - VAK8.JVP_F.HÄL1.DA0 2026.08.17 09</t>
  </si>
  <si>
    <t>09.55.34</t>
  </si>
  <si>
    <t>00000000F4188C90990C1D4F9592A85831DCA99307001CDFA5E3617DAF4D8529086EB3E4B6EC00000000010C00001CDFA5E3617DAF4D8529086EB3E4B6EC0000C0BF6DE40000</t>
  </si>
  <si>
    <t>Poistunut hälytys - VAK8.JVP_F.HÄL1.DA0 2026.08.17 09</t>
  </si>
  <si>
    <t>09.54.42</t>
  </si>
  <si>
    <t>00000000F4188C90990C1D4F9592A85831DCA99307001CDFA5E3617DAF4D8529086EB3E4B6EC00000000010C00001CDFA5E3617DAF4D8529086EB3E4B6EC0000C0BF6DE30000</t>
  </si>
  <si>
    <t>Hälytys - DeviceNoResponseAlarm 2026.08.17 08</t>
  </si>
  <si>
    <t>08.51.12</t>
  </si>
  <si>
    <t>00000000F4188C90990C1D4F9592A85831DCA99307001CDFA5E3617DAF4D8529086EB3E4B6EC00000000010C00001CDFA5E3617DAF4D8529086EB3E4B6EC0000C0BF6DE20000</t>
  </si>
  <si>
    <t>Hälytys - ID_5718927 2026.08.17 07</t>
  </si>
  <si>
    <t>07.51.29</t>
  </si>
  <si>
    <t>00000000F4188C90990C1D4F9592A85831DCA99307001CDFA5E3617DAF4D8529086EB3E4B6EC00000000010C00001CDFA5E3617DAF4D8529086EB3E4B6EC0000C0BF6DE10000</t>
  </si>
  <si>
    <t>Hälytys - VAK8.JVP_F.HÄL1.DA0 2026.08.17 05</t>
  </si>
  <si>
    <t>05.55.52</t>
  </si>
  <si>
    <t>00000000F4188C90990C1D4F9592A85831DCA99307001CDFA5E3617DAF4D8529086EB3E4B6EC00000000010C00001CDFA5E3617DAF4D8529086EB3E4B6EC0000C0BF6DE00000</t>
  </si>
  <si>
    <t>Poistunut hälytys - VAK8.JVP_F.HÄL1.DA0 2026.08.17 05</t>
  </si>
  <si>
    <t>05.55.28</t>
  </si>
  <si>
    <t>00000000F4188C90990C1D4F9592A85831DCA99307001CDFA5E3617DAF4D8529086EB3E4B6EC00000000010C00001CDFA5E3617DAF4D8529086EB3E4B6EC0000C0BF6DDF0000</t>
  </si>
  <si>
    <t>Poistunut hälytys - VAK4.MB2_WL_BaseVAK4_Alarm2.A 2026.08.17 05</t>
  </si>
  <si>
    <t>00000000F4188C90990C1D4F9592A85831DCA99307001CDFA5E3617DAF4D8529086EB3E4B6EC00000000010C00001CDFA5E3617DAF4D8529086EB3E4B6EC0000C0B3C2D50000</t>
  </si>
  <si>
    <t>Hälytys - VK33.VAK1.4TK1.FlowAlarm_A.A 2026.08.17 02</t>
  </si>
  <si>
    <t>02.12.20</t>
  </si>
  <si>
    <t>00000000F4188C90990C1D4F9592A85831DCA99307001CDFA5E3617DAF4D8529086EB3E4B6EC00000000010C00001CDFA5E3617DAF4D8529086EB3E4B6EC0000BD6947D70000</t>
  </si>
  <si>
    <t>Hälytys - VAK8.JVP_F.HÄL1.DA0 2026.08.16 23</t>
  </si>
  <si>
    <t>2026.08.16</t>
  </si>
  <si>
    <t>23.10.11</t>
  </si>
  <si>
    <t>00000000F4188C90990C1D4F9592A85831DCA99307001CDFA5E3617DAF4D8529086EB3E4B6EC00000000010C00001CDFA5E3617DAF4D8529086EB3E4B6EC0000BD6947D60000</t>
  </si>
  <si>
    <t>16/08/2026</t>
  </si>
  <si>
    <t>Poistunut hälytys - VAK8.JVP_F.HÄL1.DA0 2026.08.16 23</t>
  </si>
  <si>
    <t>23.09.46</t>
  </si>
  <si>
    <t>00000000F4188C90990C1D4F9592A85831DCA99307001CDFA5E3617DAF4D8529086EB3E4B6EC00000000010C00001CDFA5E3617DAF4D8529086EB3E4B6EC0000BD6947D50000</t>
  </si>
  <si>
    <t>Hälytys - VAK4.MB1_ADDR6_TK3_PE01.A3 2026.08.16 22</t>
  </si>
  <si>
    <t>22.03.06</t>
  </si>
  <si>
    <t>00000000F4188C90990C1D4F9592A85831DCA99307001CDFA5E3617DAF4D8529086EB3E4B6EC00000000010C00001CDFA5E3617DAF4D8529086EB3E4B6EC0000BD6947D40000</t>
  </si>
  <si>
    <t>Hälytys - DeviceNoResponseAlarm 2026.08.16 21</t>
  </si>
  <si>
    <t>21.27.15</t>
  </si>
  <si>
    <t>00000000F4188C90990C1D4F9592A85831DCA99307001CDFA5E3617DAF4D8529086EB3E4B6EC00000000010C00001CDFA5E3617DAF4D8529086EB3E4B6EC0000BD6947D30000</t>
  </si>
  <si>
    <t>Hälytys - VAK4.MB1_ADDR5_TK2_TK2_PE01.A3 2026.08.16 21</t>
  </si>
  <si>
    <t>21.03.57</t>
  </si>
  <si>
    <t>00000000F4188C90990C1D4F9592A85831DCA99307001CDFA5E3617DAF4D8529086EB3E4B6EC00000000010C00001CDFA5E3617DAF4D8529086EB3E4B6EC0000BD6947D20000</t>
  </si>
  <si>
    <t>Hälytys - LM1.MB3_ADDR10_FlexM__Error.A 2026.08.16 20</t>
  </si>
  <si>
    <t>20.54.58</t>
  </si>
  <si>
    <t>00000000F4188C90990C1D4F9592A85831DCA99307001CDFA5E3617DAF4D8529086EB3E4B6EC00000000010C00001CDFA5E3617DAF4D8529086EB3E4B6EC0000BD6947D10000</t>
  </si>
  <si>
    <t>Hälytys - VAK8.JVP_F.HÄL1.DA0 2026.08.16 20</t>
  </si>
  <si>
    <t>20.25.07</t>
  </si>
  <si>
    <t>00000000F4188C90990C1D4F9592A85831DCA99307001CDFA5E3617DAF4D8529086EB3E4B6EC00000000010C00001CDFA5E3617DAF4D8529086EB3E4B6EC0000BD6947D00000</t>
  </si>
  <si>
    <t>Poistunut hälytys - VAK8.JVP_F.HÄL1.DA0 2026.08.16 20</t>
  </si>
  <si>
    <t>00000000F4188C90990C1D4F9592A85831DCA99307001CDFA5E3617DAF4D8529086EB3E4B6EC00000000010C00001CDFA5E3617DAF4D8529086EB3E4B6EC0000BD6947CF0000</t>
  </si>
  <si>
    <t>Hälytys - VAK8.JVP_F.HÄL1.DA0 2026.08.16 18</t>
  </si>
  <si>
    <t>18.39.41</t>
  </si>
  <si>
    <t>00000000F4188C90990C1D4F9592A85831DCA99307001CDFA5E3617DAF4D8529086EB3E4B6EC00000000010C00001CDFA5E3617DAF4D8529086EB3E4B6EC0000BD6947CE0000</t>
  </si>
  <si>
    <t>Poistunut hälytys - VAK8.JVP_F.HÄL1.DA0 2026.08.16 18</t>
  </si>
  <si>
    <t>18.39.21</t>
  </si>
  <si>
    <t>00000000F4188C90990C1D4F9592A85831DCA99307001CDFA5E3617DAF4D8529086EB3E4B6EC00000000010C00001CDFA5E3617DAF4D8529086EB3E4B6EC0000BD6947CD0000</t>
  </si>
  <si>
    <t>Hälytys - DeviceNoResponseAlarm 2026.08.16 18</t>
  </si>
  <si>
    <t>18.33.17</t>
  </si>
  <si>
    <t>00000000F4188C90990C1D4F9592A85831DCA99307001CDFA5E3617DAF4D8529086EB3E4B6EC00000000010C00001CDFA5E3617DAF4D8529086EB3E4B6EC0000BD6947CC0000</t>
  </si>
  <si>
    <t>Hälytys - LM1.L1.TE41_L1.A2 2026.08.16 17</t>
  </si>
  <si>
    <t>17.23.35</t>
  </si>
  <si>
    <t>00000000F4188C90990C1D4F9592A85831DCA99307001CDFA5E3617DAF4D8529086EB3E4B6EC00000000010C00001CDFA5E3617DAF4D8529086EB3E4B6EC0000BD6947CB0000</t>
  </si>
  <si>
    <t>Vaasa Hanhenpolku 3,FLEX</t>
  </si>
  <si>
    <t>WL-Base ei vastaa väylältä</t>
  </si>
  <si>
    <t>Hälytys - MB2_ADDR1_OumanWireless__Error 2026.08.16 17</t>
  </si>
  <si>
    <t>17.22.27</t>
  </si>
  <si>
    <t>Hälytys : Vaasa Hanhenpolku 3</t>
  </si>
  <si>
    <t>00000000F4188C90990C1D4F9592A85831DCA99307001CDFA5E3617DAF4D8529086EB3E4B6EC00000000010C00001CDFA5E3617DAF4D8529086EB3E4B6EC0000BD6947CA0000</t>
  </si>
  <si>
    <t>Hälytys - LM1.MB3_ADDR10_FlexM__Error.A 2026.08.16 16</t>
  </si>
  <si>
    <t>16.26.01</t>
  </si>
  <si>
    <t>00000000F4188C90990C1D4F9592A85831DCA99307001CDFA5E3617DAF4D8529086EB3E4B6EC00000000010C00001CDFA5E3617DAF4D8529086EB3E4B6EC0000BD6947C90000</t>
  </si>
  <si>
    <t>Hälytys - VAK8.JVP_F.HÄL1.DA0 2026.08.16 14</t>
  </si>
  <si>
    <t>14.04.28</t>
  </si>
  <si>
    <t>00000000F4188C90990C1D4F9592A85831DCA99307001CDFA5E3617DAF4D8529086EB3E4B6EC00000000010C00001CDFA5E3617DAF4D8529086EB3E4B6EC0000BD6947C80000</t>
  </si>
  <si>
    <t>Poistunut hälytys - VAK8.JVP_F.HÄL1.DA0 2026.08.16 14</t>
  </si>
  <si>
    <t>14.04.05</t>
  </si>
  <si>
    <t>00000000F4188C90990C1D4F9592A85831DCA99307001CDFA5E3617DAF4D8529086EB3E4B6EC00000000010C00001CDFA5E3617DAF4D8529086EB3E4B6EC0000BD6947C70000</t>
  </si>
  <si>
    <t>Laite MB3.C203 osoitteessa 10 ei vastaa</t>
  </si>
  <si>
    <t>Hälytys - OF01.MB3_ADDR1_C203__Error.A 2026.08.16 10</t>
  </si>
  <si>
    <t>10.43.32</t>
  </si>
  <si>
    <t>00000000F4188C90990C1D4F9592A85831DCA99307001CDFA5E3617DAF4D8529086EB3E4B6EC00000000010C00001CDFA5E3617DAF4D8529086EB3E4B6EC0000BD6947C60000</t>
  </si>
  <si>
    <t>Hälytys - DeviceNoResponseAlarm 2026.08.16 09</t>
  </si>
  <si>
    <t>09.50.25</t>
  </si>
  <si>
    <t>00000000F4188C90990C1D4F9592A85831DCA99307001CDFA5E3617DAF4D8529086EB3E4B6EC00000000010C00001CDFA5E3617DAF4D8529086EB3E4B6EC0000BD6947C50000</t>
  </si>
  <si>
    <t>Hälytys - DeviceNoResponseAlarm 2026.08.16 07</t>
  </si>
  <si>
    <t>07.57.48</t>
  </si>
  <si>
    <t>00000000F4188C90990C1D4F9592A85831DCA99307001CDFA5E3617DAF4D8529086EB3E4B6EC00000000010C00001CDFA5E3617DAF4D8529086EB3E4B6EC0000BD6947C40000</t>
  </si>
  <si>
    <t>Hälytys - VAK8.JVP_F.HÄL1.DA0 2026.08.16 07</t>
  </si>
  <si>
    <t>07.34.34</t>
  </si>
  <si>
    <t>00000000F4188C90990C1D4F9592A85831DCA99307001CDFA5E3617DAF4D8529086EB3E4B6EC00000000010C00001CDFA5E3617DAF4D8529086EB3E4B6EC0000BD6947C30000</t>
  </si>
  <si>
    <t>Poistunut hälytys - VAK8.JVP_F.HÄL1.DA0 2026.08.16 07</t>
  </si>
  <si>
    <t>07.33.59</t>
  </si>
  <si>
    <t>00000000F4188C90990C1D4F9592A85831DCA99307001CDFA5E3617DAF4D8529086EB3E4B6EC00000000010C00001CDFA5E3617DAF4D8529086EB3E4B6EC0000BD6947C20000</t>
  </si>
  <si>
    <t>Hälytys - VAK8.JVP_F.HÄL1.DA0 2026.08.16 03</t>
  </si>
  <si>
    <t>03.34.10</t>
  </si>
  <si>
    <t>00000000F4188C90990C1D4F9592A85831DCA99307001CDFA5E3617DAF4D8529086EB3E4B6EC00000000010C00001CDFA5E3617DAF4D8529086EB3E4B6EC0000BD6947C10000</t>
  </si>
  <si>
    <t>Poistunut hälytys - VAK8.JVP_F.HÄL1.DA0 2026.08.16 03</t>
  </si>
  <si>
    <t>03.33.53</t>
  </si>
  <si>
    <t>00000000F4188C90990C1D4F9592A85831DCA99307001CDFA5E3617DAF4D8529086EB3E4B6EC00000000010C00001CDFA5E3617DAF4D8529086EB3E4B6EC0000BD6947C00000</t>
  </si>
  <si>
    <t>DHeatMeasures.Kaukolämpövesi liian kylmää</t>
  </si>
  <si>
    <t>Hälytys - LM1.TE11.A1 2026.08.16 03</t>
  </si>
  <si>
    <t>03.07.11</t>
  </si>
  <si>
    <t>00000000F4188C90990C1D4F9592A85831DCA99307001CDFA5E3617DAF4D8529086EB3E4B6EC00000000010C00001CDFA5E3617DAF4D8529086EB3E4B6EC0000BD6947BF0000</t>
  </si>
  <si>
    <t>Hälytys - VK33.VAK1.4TK1.FlowAlarm_A.A 2026.08.16 02</t>
  </si>
  <si>
    <t>02.33.08</t>
  </si>
  <si>
    <t>00000000F4188C90990C1D4F9592A85831DCA99307001CDFA5E3617DAF4D8529086EB3E4B6EC00000000010C00001CDFA5E3617DAF4D8529086EB3E4B6EC0000BD6947BE0000</t>
  </si>
  <si>
    <t>Hälytys - KK31.VAK1_1.13TK1.13PDE2.LL1 2026.08.16 02</t>
  </si>
  <si>
    <t>02.12.41</t>
  </si>
  <si>
    <t>00000000F4188C90990C1D4F9592A85831DCA99307001CDFA5E3617DAF4D8529086EB3E4B6EC00000000010C00001CDFA5E3617DAF4D8529086EB3E4B6EC0000BD6947BD0000</t>
  </si>
  <si>
    <t>Hälytys - LM1.TE11.A1 2026.08.16 01</t>
  </si>
  <si>
    <t>01.15.36</t>
  </si>
  <si>
    <t>00000000F4188C90990C1D4F9592A85831DCA99307001CDFA5E3617DAF4D8529086EB3E4B6EC00000000010C00001CDFA5E3617DAF4D8529086EB3E4B6EC0000BD6947BC0000</t>
  </si>
  <si>
    <t>Hälytys - VAK8.JVP_F.HÄL1.DA0 2026.08.16 00</t>
  </si>
  <si>
    <t>00.04.33</t>
  </si>
  <si>
    <t>00000000F4188C90990C1D4F9592A85831DCA99307001CDFA5E3617DAF4D8529086EB3E4B6EC00000000010C00001CDFA5E3617DAF4D8529086EB3E4B6EC0000BD6947BB0000</t>
  </si>
  <si>
    <t>Poistunut hälytys - VAK8.JVP_F.HÄL1.DA0 2026.08.16 00</t>
  </si>
  <si>
    <t>00.04.06</t>
  </si>
  <si>
    <t>00000000F4188C90990C1D4F9592A85831DCA99307001CDFA5E3617DAF4D8529086EB3E4B6EC00000000010C00001CDFA5E3617DAF4D8529086EB3E4B6EC0000BD6947BA0000</t>
  </si>
  <si>
    <t>Hälytys - LM1.TE11.A1 2026.08.15 23</t>
  </si>
  <si>
    <t>2026.08.15</t>
  </si>
  <si>
    <t>23.38.13</t>
  </si>
  <si>
    <t>00000000F4188C90990C1D4F9592A85831DCA99307001CDFA5E3617DAF4D8529086EB3E4B6EC00000000010C00001CDFA5E3617DAF4D8529086EB3E4B6EC0000BD6947B90000</t>
  </si>
  <si>
    <t>15/08/2026</t>
  </si>
  <si>
    <t>Hälytys - VAK4.MB1_ADDR5_TK2_TK2_PE01.A3 2026.08.15 23</t>
  </si>
  <si>
    <t>23.34.59</t>
  </si>
  <si>
    <t>00000000F4188C90990C1D4F9592A85831DCA99307001CDFA5E3617DAF4D8529086EB3E4B6EC00000000010C00001CDFA5E3617DAF4D8529086EB3E4B6EC0000BD6947B80000</t>
  </si>
  <si>
    <t>Hälytys - VAK4.MB1_ADDR6_TK3_PE01.A3 2026.08.15 22</t>
  </si>
  <si>
    <t>22.05.41</t>
  </si>
  <si>
    <t>00000000F4188C90990C1D4F9592A85831DCA99307001CDFA5E3617DAF4D8529086EB3E4B6EC00000000010C00001CDFA5E3617DAF4D8529086EB3E4B6EC0000BD6947B70000</t>
  </si>
  <si>
    <t>Hälytys - LM1.TE11.A1 2026.08.15 22</t>
  </si>
  <si>
    <t>22.04.50</t>
  </si>
  <si>
    <t>00000000F4188C90990C1D4F9592A85831DCA99307001CDFA5E3617DAF4D8529086EB3E4B6EC00000000010C00001CDFA5E3617DAF4D8529086EB3E4B6EC0000BD6947B60000</t>
  </si>
  <si>
    <t>Hälytys - LM1.L1.TE41_L1.A2 2026.08.15 22</t>
  </si>
  <si>
    <t>22.01.26</t>
  </si>
  <si>
    <t>00000000F4188C90990C1D4F9592A85831DCA99307001CDFA5E3617DAF4D8529086EB3E4B6EC00000000010C00001CDFA5E3617DAF4D8529086EB3E4B6EC0000BD6947B50000</t>
  </si>
  <si>
    <t>Hälytys - LM1.L1.TE41_L1.A2 2026.08.15 21</t>
  </si>
  <si>
    <t>21.14.14</t>
  </si>
  <si>
    <t>00000000F4188C90990C1D4F9592A85831DCA99307001CDFA5E3617DAF4D8529086EB3E4B6EC00000000010C00001CDFA5E3617DAF4D8529086EB3E4B6EC0000BD6947B40000</t>
  </si>
  <si>
    <t>Hälytys - ID_2457360 2026.08.15 20</t>
  </si>
  <si>
    <t>20.46.09</t>
  </si>
  <si>
    <t>00000000F4188C90990C1D4F9592A85831DCA99307001CDFA5E3617DAF4D8529086EB3E4B6EC00000000010C00001CDFA5E3617DAF4D8529086EB3E4B6EC0000BD6947B30000</t>
  </si>
  <si>
    <t>Hälytys - LM1.L1.TE41_L1.A2 2026.08.15 20</t>
  </si>
  <si>
    <t>20.45.37</t>
  </si>
  <si>
    <t>00000000F4188C90990C1D4F9592A85831DCA99307001CDFA5E3617DAF4D8529086EB3E4B6EC00000000010C00001CDFA5E3617DAF4D8529086EB3E4B6EC0000BD6947B20000</t>
  </si>
  <si>
    <t>Hälytys - VAK4.MB2_WL_BaseVAK4_Alarm2.A 2026.08.15 20</t>
  </si>
  <si>
    <t>20.43.58</t>
  </si>
  <si>
    <t>00000000F4188C90990C1D4F9592A85831DCA99307001CDFA5E3617DAF4D8529086EB3E4B6EC00000000010C00001CDFA5E3617DAF4D8529086EB3E4B6EC0000BD6947B10000</t>
  </si>
  <si>
    <t>Anturivika UI7 L2 paluuveden lämpötila (L2 paluuveden lämpötila)</t>
  </si>
  <si>
    <t>Hälytys - LM1.TE42_L2.SE 2026.08.15 20</t>
  </si>
  <si>
    <t>00000000F4188C90990C1D4F9592A85831DCA99307001CDFA5E3617DAF4D8529086EB3E4B6EC00000000010C00001CDFA5E3617DAF4D8529086EB3E4B6EC0000BD6947B00000</t>
  </si>
  <si>
    <t>Laite MB2.OumanWireless osoitteessa 1 ei vastaa</t>
  </si>
  <si>
    <t>Hälytys - MB2_ADDR1_OumanWireless__Error 2026.08.15 20</t>
  </si>
  <si>
    <t>00000000F4188C90990C1D4F9592A85831DCA99307001CDFA5E3617DAF4D8529086EB3E4B6EC00000000010C00001CDFA5E3617DAF4D8529086EB3E4B6EC0000BD6947AF0000</t>
  </si>
  <si>
    <t>00000000F4188C90990C1D4F9592A85831DCA99307001CDFA5E3617DAF4D8529086EB3E4B6EC00000000010C00001CDFA5E3617DAF4D8529086EB3E4B6EC0000BD6947AE0000</t>
  </si>
  <si>
    <t>00000000F4188C90990C1D4F9592A85831DCA99307001CDFA5E3617DAF4D8529086EB3E4B6EC00000000010C00001CDFA5E3617DAF4D8529086EB3E4B6EC0000BD6947AD0000</t>
  </si>
  <si>
    <t>Hälytys - VAK8.JVP_F.HÄL1.DA0 2026.08.15 20</t>
  </si>
  <si>
    <t>20.35.37</t>
  </si>
  <si>
    <t>00000000F4188C90990C1D4F9592A85831DCA99307001CDFA5E3617DAF4D8529086EB3E4B6EC00000000010C00001CDFA5E3617DAF4D8529086EB3E4B6EC0000BD6947AC0000</t>
  </si>
  <si>
    <t>Poistunut hälytys - VAK8.JVP_F.HÄL1.DA0 2026.08.15 20</t>
  </si>
  <si>
    <t>20.35.20</t>
  </si>
  <si>
    <t>00000000F4188C90990C1D4F9592A85831DCA99307001CDFA5E3617DAF4D8529086EB3E4B6EC00000000010C00001CDFA5E3617DAF4D8529086EB3E4B6EC0000BD6947AB0000</t>
  </si>
  <si>
    <t>Hälytys - VAK8.JVP_F.HÄL1.DA0 2026.08.15 18</t>
  </si>
  <si>
    <t>18.56.12</t>
  </si>
  <si>
    <t>00000000F4188C90990C1D4F9592A85831DCA99307001CDFA5E3617DAF4D8529086EB3E4B6EC00000000010C00001CDFA5E3617DAF4D8529086EB3E4B6EC0000BD6947AA0000</t>
  </si>
  <si>
    <t>Poistunut hälytys - VAK8.JVP_F.HÄL1.DA0 2026.08.15 18</t>
  </si>
  <si>
    <t>18.55.56</t>
  </si>
  <si>
    <t>00000000F4188C90990C1D4F9592A85831DCA99307001CDFA5E3617DAF4D8529086EB3E4B6EC00000000010C00001CDFA5E3617DAF4D8529086EB3E4B6EC0000BD6947A90000</t>
  </si>
  <si>
    <t>Hälytys - VAK8.JVP_F.HÄL1.DA0 2026.08.15 17</t>
  </si>
  <si>
    <t>17.35.04</t>
  </si>
  <si>
    <t>00000000F4188C90990C1D4F9592A85831DCA99307001CDFA5E3617DAF4D8529086EB3E4B6EC00000000010C00001CDFA5E3617DAF4D8529086EB3E4B6EC0000BD6947A80000</t>
  </si>
  <si>
    <t>Poistunut hälytys - VAK8.JVP_F.HÄL1.DA0 2026.08.15 17</t>
  </si>
  <si>
    <t>00000000F4188C90990C1D4F9592A85831DCA99307001CDFA5E3617DAF4D8529086EB3E4B6EC00000000010C00001CDFA5E3617DAF4D8529086EB3E4B6EC0000BD6947A70000</t>
  </si>
  <si>
    <t>Hälytys - VAK8.JVP_F.HÄL1.DA0 2026.08.15 16</t>
  </si>
  <si>
    <t>16.27.57</t>
  </si>
  <si>
    <t>00000000F4188C90990C1D4F9592A85831DCA99307001CDFA5E3617DAF4D8529086EB3E4B6EC00000000010C00001CDFA5E3617DAF4D8529086EB3E4B6EC0000BD6947A60000</t>
  </si>
  <si>
    <t>Poistunut hälytys - VAK8.JVP_F.HÄL1.DA0 2026.08.15 16</t>
  </si>
  <si>
    <t>16.27.32</t>
  </si>
  <si>
    <t>00000000F4188C90990C1D4F9592A85831DCA99307001CDFA5E3617DAF4D8529086EB3E4B6EC00000000010C00001CDFA5E3617DAF4D8529086EB3E4B6EC0000BD6947A50000</t>
  </si>
  <si>
    <t>Hälytys - ID_5798719 2026.08.15 16</t>
  </si>
  <si>
    <t>16.03.50</t>
  </si>
  <si>
    <t>00000000F4188C90990C1D4F9592A85831DCA99307001CDFA5E3617DAF4D8529086EB3E4B6EC00000000010C00001CDFA5E3617DAF4D8529086EB3E4B6EC0000BD6947A40000</t>
  </si>
  <si>
    <t>Hälytys - ID_5718927 2026.08.15 15</t>
  </si>
  <si>
    <t>15.56.26</t>
  </si>
  <si>
    <t>00000000F4188C90990C1D4F9592A85831DCA99307001CDFA5E3617DAF4D8529086EB3E4B6EC00000000010C00001CDFA5E3617DAF4D8529086EB3E4B6EC0000BD6947A30000</t>
  </si>
  <si>
    <t>Hälytys - LM1.MB3_ADDR10_FlexM__Error.A 2026.08.15 15</t>
  </si>
  <si>
    <t>15.28.25</t>
  </si>
  <si>
    <t>00000000F4188C90990C1D4F9592A85831DCA99307001CDFA5E3617DAF4D8529086EB3E4B6EC00000000010C00001CDFA5E3617DAF4D8529086EB3E4B6EC0000BD6947A20000</t>
  </si>
  <si>
    <t>Hälytys - VAK8.JVP_F.HÄL1.DA0 2026.08.15 13</t>
  </si>
  <si>
    <t>13.30.13</t>
  </si>
  <si>
    <t>00000000F4188C90990C1D4F9592A85831DCA99307001CDFA5E3617DAF4D8529086EB3E4B6EC00000000010C00001CDFA5E3617DAF4D8529086EB3E4B6EC0000BD6947A10000</t>
  </si>
  <si>
    <t>Poistunut hälytys - VAK8.JVP_F.HÄL1.DA0 2026.08.15 13</t>
  </si>
  <si>
    <t>13.29.44</t>
  </si>
  <si>
    <t>00000000F4188C90990C1D4F9592A85831DCA99307001CDFA5E3617DAF4D8529086EB3E4B6EC00000000010C00001CDFA5E3617DAF4D8529086EB3E4B6EC0000BD6947A00000</t>
  </si>
  <si>
    <t>Hälytys - LM1.L1.TE41_L1.A2 2026.08.15 12</t>
  </si>
  <si>
    <t>12.35.38</t>
  </si>
  <si>
    <t>00000000F4188C90990C1D4F9592A85831DCA99307001CDFA5E3617DAF4D8529086EB3E4B6EC00000000010C00001CDFA5E3617DAF4D8529086EB3E4B6EC0000BD69479F0000</t>
  </si>
  <si>
    <t>Hälytys - VAK8.JVP_F.HÄL1.DA0 2026.08.15 11</t>
  </si>
  <si>
    <t>11.56.41</t>
  </si>
  <si>
    <t>00000000F4188C90990C1D4F9592A85831DCA99307001CDFA5E3617DAF4D8529086EB3E4B6EC00000000010C00001CDFA5E3617DAF4D8529086EB3E4B6EC0000BD69479E0000</t>
  </si>
  <si>
    <t>Poistunut hälytys - VAK8.JVP_F.HÄL1.DA0 2026.08.15 11</t>
  </si>
  <si>
    <t>11.56.13</t>
  </si>
  <si>
    <t>00000000F4188C90990C1D4F9592A85831DCA99307001CDFA5E3617DAF4D8529086EB3E4B6EC00000000010C00001CDFA5E3617DAF4D8529086EB3E4B6EC0000BD69479D0000</t>
  </si>
  <si>
    <t>11.24.45</t>
  </si>
  <si>
    <t>00000000F4188C90990C1D4F9592A85831DCA99307001CDFA5E3617DAF4D8529086EB3E4B6EC00000000010C00001CDFA5E3617DAF4D8529086EB3E4B6EC0000BD69479C0000</t>
  </si>
  <si>
    <t>11.24.20</t>
  </si>
  <si>
    <t>00000000F4188C90990C1D4F9592A85831DCA99307001CDFA5E3617DAF4D8529086EB3E4B6EC00000000010C00001CDFA5E3617DAF4D8529086EB3E4B6EC0000BD69479B0000</t>
  </si>
  <si>
    <t>Hälytys - DeviceNoResponseAlarm 2026.08.15 10</t>
  </si>
  <si>
    <t>10.01.01</t>
  </si>
  <si>
    <t>00000000F4188C90990C1D4F9592A85831DCA99307001CDFA5E3617DAF4D8529086EB3E4B6EC00000000010C00001CDFA5E3617DAF4D8529086EB3E4B6EC0000BD69479A0000</t>
  </si>
  <si>
    <t>Hälytys - ID_4716145 2026.08.15 06</t>
  </si>
  <si>
    <t>06.21.21</t>
  </si>
  <si>
    <t>00000000F4188C90990C1D4F9592A85831DCA99307001CDFA5E3617DAF4D8529086EB3E4B6EC00000000010C00001CDFA5E3617DAF4D8529086EB3E4B6EC0000BD6947990000</t>
  </si>
  <si>
    <t>Poistunut hälytys - VAK4.MB2_WL_BaseVAK4_Alarm2.A 2026.08.15 05</t>
  </si>
  <si>
    <t>00000000F4188C90990C1D4F9592A85831DCA99307001CDFA5E3617DAF4D8529086EB3E4B6EC00000000010C00001CDFA5E3617DAF4D8529086EB3E4B6EC0000BD6947980000</t>
  </si>
  <si>
    <t>Hälytys - EK03.H2.A1 2026.08.15 05</t>
  </si>
  <si>
    <t>05.07.42</t>
  </si>
  <si>
    <t>00000000F4188C90990C1D4F9592A85831DCA99307001CDFA5E3617DAF4D8529086EB3E4B6EC00000000010C00001CDFA5E3617DAF4D8529086EB3E4B6EC0000BD6947970000</t>
  </si>
  <si>
    <t>Hälytys - VAK8.JVP_F.HÄL1.DA0 2026.08.15 05</t>
  </si>
  <si>
    <t>05.01.57</t>
  </si>
  <si>
    <t>00000000F4188C90990C1D4F9592A85831DCA99307001CDFA5E3617DAF4D8529086EB3E4B6EC00000000010C00001CDFA5E3617DAF4D8529086EB3E4B6EC0000BD6947960000</t>
  </si>
  <si>
    <t>Poistunut hälytys - VAK8.JVP_F.HÄL1.DA0 2026.08.15 05</t>
  </si>
  <si>
    <t>05.01.43</t>
  </si>
  <si>
    <t>00000000F4188C90990C1D4F9592A85831DCA99307001CDFA5E3617DAF4D8529086EB3E4B6EC00000000010C00001CDFA5E3617DAF4D8529086EB3E4B6EC0000BD6947950000</t>
  </si>
  <si>
    <t>Hälytys - VK33.VAK1.4TK1.FlowAlarm_A.A 2026.08.15 02</t>
  </si>
  <si>
    <t>02.46.17</t>
  </si>
  <si>
    <t>00000000F4188C90990C1D4F9592A85831DCA99307001CDFA5E3617DAF4D8529086EB3E4B6EC00000000010C00001CDFA5E3617DAF4D8529086EB3E4B6EC0000BD6947940000</t>
  </si>
  <si>
    <t>Hälytys - EK03.H2.A1 2026.08.15 02</t>
  </si>
  <si>
    <t>00000000F4188C90990C1D4F9592A85831DCA99307001CDFA5E3617DAF4D8529086EB3E4B6EC00000000010C00001CDFA5E3617DAF4D8529086EB3E4B6EC0000BD6947930000</t>
  </si>
  <si>
    <t>Hälytys - VAK8.JVP_F.HÄL1.DA0 2026.08.15 01</t>
  </si>
  <si>
    <t>01.17.27</t>
  </si>
  <si>
    <t>00000000F4188C90990C1D4F9592A85831DCA99307001CDFA5E3617DAF4D8529086EB3E4B6EC00000000010C00001CDFA5E3617DAF4D8529086EB3E4B6EC0000BD6947920000</t>
  </si>
  <si>
    <t>Poistunut hälytys - VAK8.JVP_F.HÄL1.DA0 2026.08.15 01</t>
  </si>
  <si>
    <t>01.17.02</t>
  </si>
  <si>
    <t>00000000F4188C90990C1D4F9592A85831DCA99307001CDFA5E3617DAF4D8529086EB3E4B6EC00000000010C00001CDFA5E3617DAF4D8529086EB3E4B6EC0000BD6947910000</t>
  </si>
  <si>
    <t>Hälytys - VAK8.JVP_F.HÄL1.DA0 2026.08.14 22</t>
  </si>
  <si>
    <t>2026.08.14</t>
  </si>
  <si>
    <t>22.15.33</t>
  </si>
  <si>
    <t>00000000F4188C90990C1D4F9592A85831DCA99307001CDFA5E3617DAF4D8529086EB3E4B6EC00000000010C00001CDFA5E3617DAF4D8529086EB3E4B6EC0000BD6947900000</t>
  </si>
  <si>
    <t>14/08/2026</t>
  </si>
  <si>
    <t>Poistunut hälytys - VAK8.JVP_F.HÄL1.DA0 2026.08.14 22</t>
  </si>
  <si>
    <t>22.15.11</t>
  </si>
  <si>
    <t>00000000F4188C90990C1D4F9592A85831DCA99307001CDFA5E3617DAF4D8529086EB3E4B6EC00000000010C00001CDFA5E3617DAF4D8529086EB3E4B6EC0000BD69478F0000</t>
  </si>
  <si>
    <t>Hälytys - VAK4.MB1_ADDR6_TK3_PE01.A3 2026.08.14 22</t>
  </si>
  <si>
    <t>22.05.12</t>
  </si>
  <si>
    <t>00000000F4188C90990C1D4F9592A85831DCA99307001CDFA5E3617DAF4D8529086EB3E4B6EC00000000010C00001CDFA5E3617DAF4D8529086EB3E4B6EC0000BD69478E0000</t>
  </si>
  <si>
    <t>Hälytys - VAK4.MB1_ADDR5_TK2_TK2_PE01.A3 2026.08.14 21</t>
  </si>
  <si>
    <t>21.05.57</t>
  </si>
  <si>
    <t>00000000F4188C90990C1D4F9592A85831DCA99307001CDFA5E3617DAF4D8529086EB3E4B6EC00000000010C00001CDFA5E3617DAF4D8529086EB3E4B6EC0000BD69478D0000</t>
  </si>
  <si>
    <t>Hälytys - VAK4.MB2_WL_BaseVAK4_Alarm2.A 2026.08.14 20</t>
  </si>
  <si>
    <t>00000000F4188C90990C1D4F9592A85831DCA99307001CDFA5E3617DAF4D8529086EB3E4B6EC00000000010C00001CDFA5E3617DAF4D8529086EB3E4B6EC0000BD69478C0000</t>
  </si>
  <si>
    <t>Hälytys - VAK8.JVP_F.HÄL1.DA0 2026.08.14 19</t>
  </si>
  <si>
    <t>19.11.04</t>
  </si>
  <si>
    <t>00000000F4188C90990C1D4F9592A85831DCA99307001CDFA5E3617DAF4D8529086EB3E4B6EC00000000010C00001CDFA5E3617DAF4D8529086EB3E4B6EC0000BD69478B0000</t>
  </si>
  <si>
    <t>Poistunut hälytys - VAK8.JVP_F.HÄL1.DA0 2026.08.14 19</t>
  </si>
  <si>
    <t>19.10.37</t>
  </si>
  <si>
    <t>00000000F4188C90990C1D4F9592A85831DCA99307001CDFA5E3617DAF4D8529086EB3E4B6EC00000000010C00001CDFA5E3617DAF4D8529086EB3E4B6EC0000BD69478A0000</t>
  </si>
  <si>
    <t>Hälytys - LM1.L1.TE41_L1.A2 2026.08.14 19</t>
  </si>
  <si>
    <t>19.10.18</t>
  </si>
  <si>
    <t>00000000F4188C90990C1D4F9592A85831DCA99307001CDFA5E3617DAF4D8529086EB3E4B6EC00000000010C00001CDFA5E3617DAF4D8529086EB3E4B6EC0000BD6947890000</t>
  </si>
  <si>
    <t>Poistunut hälytys - VAK11.921.OVI03.Ind.A1 2026.08.14 18</t>
  </si>
  <si>
    <t>18.28.19</t>
  </si>
  <si>
    <t>00000000F4188C90990C1D4F9592A85831DCA99307001CDFA5E3617DAF4D8529086EB3E4B6EC00000000010C00001CDFA5E3617DAF4D8529086EB3E4B6EC0000BD6947880000</t>
  </si>
  <si>
    <t>Hälytys - VAK8.JVP_F.HÄL1.DA0 2026.08.14 17</t>
  </si>
  <si>
    <t>17.23.27</t>
  </si>
  <si>
    <t>00000000F4188C90990C1D4F9592A85831DCA99307001CDFA5E3617DAF4D8529086EB3E4B6EC00000000010C00001CDFA5E3617DAF4D8529086EB3E4B6EC0000BD6947870000</t>
  </si>
  <si>
    <t>Poistunut hälytys - VAK8.JVP_F.HÄL1.DA0 2026.08.14 17</t>
  </si>
  <si>
    <t>17.23.04</t>
  </si>
  <si>
    <t>00000000F4188C90990C1D4F9592A85831DCA99307001CDFA5E3617DAF4D8529086EB3E4B6EC00000000010C00001CDFA5E3617DAF4D8529086EB3E4B6EC0000BD6947860000</t>
  </si>
  <si>
    <t>Hälytys - VAK11.921.OVI03.Ind.A1 2026.08.14 17</t>
  </si>
  <si>
    <t>17.19.31</t>
  </si>
  <si>
    <t>00000000F4188C90990C1D4F9592A85831DCA99307001CDFA5E3617DAF4D8529086EB3E4B6EC00000000010C00001CDFA5E3617DAF4D8529086EB3E4B6EC0000BD6947850000</t>
  </si>
  <si>
    <t>Hälytys - VAK8.JVP_F.HÄL1.DA0 2026.08.14 15</t>
  </si>
  <si>
    <t>15.31.16</t>
  </si>
  <si>
    <t>00000000F4188C90990C1D4F9592A85831DCA99307001CDFA5E3617DAF4D8529086EB3E4B6EC00000000010C00001CDFA5E3617DAF4D8529086EB3E4B6EC0000BD6947840000</t>
  </si>
  <si>
    <t>Poistunut hälytys - VAK8.JVP_F.HÄL1.DA0 2026.08.14 15</t>
  </si>
  <si>
    <t>15.31.09</t>
  </si>
  <si>
    <t>00000000F4188C90990C1D4F9592A85831DCA99307001CDFA5E3617DAF4D8529086EB3E4B6EC00000000010C00001CDFA5E3617DAF4D8529086EB3E4B6EC0000BD6947830000</t>
  </si>
  <si>
    <t>Hälytys - ID_4716145 2026.08.14 14</t>
  </si>
  <si>
    <t>14.00.32</t>
  </si>
  <si>
    <t>00000000F4188C90990C1D4F9592A85831DCA99307001CDFA5E3617DAF4D8529086EB3E4B6EC00000000010C00001CDFA5E3617DAF4D8529086EB3E4B6EC0000BD6947820000</t>
  </si>
  <si>
    <t>Hälytys - VAK8.JVP_F.HÄL1.DA0 2026.08.14 13</t>
  </si>
  <si>
    <t>13.41.39</t>
  </si>
  <si>
    <t>00000000F4188C90990C1D4F9592A85831DCA99307001CDFA5E3617DAF4D8529086EB3E4B6EC00000000010C00001CDFA5E3617DAF4D8529086EB3E4B6EC0000BD6947810000</t>
  </si>
  <si>
    <t>Poistunut hälytys - VAK8.JVP_F.HÄL1.DA0 2026.08.14 13</t>
  </si>
  <si>
    <t>13.41.26</t>
  </si>
  <si>
    <t>00000000F4188C90990C1D4F9592A85831DCA99307001CDFA5E3617DAF4D8529086EB3E4B6EC00000000010C00001CDFA5E3617DAF4D8529086EB3E4B6EC0000BD6947800000</t>
  </si>
  <si>
    <t>Hälytys - VAK8.JVP_F.HÄL1.DA0 2026.08.14 12</t>
  </si>
  <si>
    <t>12.28.57</t>
  </si>
  <si>
    <t>00000000F4188C90990C1D4F9592A85831DCA99307001CDFA5E3617DAF4D8529086EB3E4B6EC00000000010C00001CDFA5E3617DAF4D8529086EB3E4B6EC0000BD69477F0000</t>
  </si>
  <si>
    <t>Poistunut hälytys - VAK8.JVP_F.HÄL1.DA0 2026.08.14 12</t>
  </si>
  <si>
    <t>12.28.33</t>
  </si>
  <si>
    <t>00000000F4188C90990C1D4F9592A85831DCA99307001CDFA5E3617DAF4D8529086EB3E4B6EC00000000010C00001CDFA5E3617DAF4D8529086EB3E4B6EC0000BD69477E0000</t>
  </si>
  <si>
    <t>Hälytys - VAK8.JVP_F.HÄL1.DA0 2026.08.14 11</t>
  </si>
  <si>
    <t>11.05.05</t>
  </si>
  <si>
    <t>00000000F4188C90990C1D4F9592A85831DCA99307001CDFA5E3617DAF4D8529086EB3E4B6EC00000000010C00001CDFA5E3617DAF4D8529086EB3E4B6EC0000BD69477D0000</t>
  </si>
  <si>
    <t>Poistunut hälytys - VAK8.JVP_F.HÄL1.DA0 2026.08.14 11</t>
  </si>
  <si>
    <t>11.04.37</t>
  </si>
  <si>
    <t>00000000F4188C90990C1D4F9592A85831DCA99307001CDFA5E3617DAF4D8529086EB3E4B6EC00000000010C00001CDFA5E3617DAF4D8529086EB3E4B6EC0000BD69477C0000</t>
  </si>
  <si>
    <t>Hälytys - VAK8.JVP_F.HÄL1.DA0 2026.08.14 10</t>
  </si>
  <si>
    <t>10.25.40</t>
  </si>
  <si>
    <t>00000000F4188C90990C1D4F9592A85831DCA99307001CDFA5E3617DAF4D8529086EB3E4B6EC00000000010C00001CDFA5E3617DAF4D8529086EB3E4B6EC0000BD69477B0000</t>
  </si>
  <si>
    <t>Poistunut hälytys - VAK8.JVP_F.HÄL1.DA0 2026.08.14 10</t>
  </si>
  <si>
    <t>10.25.15</t>
  </si>
  <si>
    <t>00000000F4188C90990C1D4F9592A85831DCA99307001CDFA5E3617DAF4D8529086EB3E4B6EC00000000010C00001CDFA5E3617DAF4D8529086EB3E4B6EC0000BD69477A0000</t>
  </si>
  <si>
    <t>Hälytys - ID_4716145 2026.08.14 10</t>
  </si>
  <si>
    <t>10.01.09</t>
  </si>
  <si>
    <t>00000000F4188C90990C1D4F9592A85831DCA99307001CDFA5E3617DAF4D8529086EB3E4B6EC00000000010C00001CDFA5E3617DAF4D8529086EB3E4B6EC0000BD6947790000</t>
  </si>
  <si>
    <t>Hälytys - VAK8.JVP_F.HÄL1.DA0 2026.08.14 08</t>
  </si>
  <si>
    <t>08.24.34</t>
  </si>
  <si>
    <t>00000000F4188C90990C1D4F9592A85831DCA99307001CDFA5E3617DAF4D8529086EB3E4B6EC00000000010C00001CDFA5E3617DAF4D8529086EB3E4B6EC0000BD6947780000</t>
  </si>
  <si>
    <t>Poistunut hälytys - VAK8.JVP_F.HÄL1.DA0 2026.08.14 08</t>
  </si>
  <si>
    <t>08.24.20</t>
  </si>
  <si>
    <t>00000000F4188C90990C1D4F9592A85831DCA99307001CDFA5E3617DAF4D8529086EB3E4B6EC00000000010C00001CDFA5E3617DAF4D8529086EB3E4B6EC0000BD6947770000</t>
  </si>
  <si>
    <t>Poistunut hälytys - VAK4.MB2_WL_BaseVAK4_Alarm2.A 2026.08.14 05</t>
  </si>
  <si>
    <t>05.10.43</t>
  </si>
  <si>
    <t>00000000F4188C90990C1D4F9592A85831DCA99307001CDFA5E3617DAF4D8529086EB3E4B6EC00000000010C00001CDFA5E3617DAF4D8529086EB3E4B6EC0000BD6947760000</t>
  </si>
  <si>
    <t>Hälytys - ID_2457360 2026.08.14 03</t>
  </si>
  <si>
    <t>03.40.05</t>
  </si>
  <si>
    <t>00000000F4188C90990C1D4F9592A85831DCA99307001CDFA5E3617DAF4D8529086EB3E4B6EC00000000010C00001CDFA5E3617DAF4D8529086EB3E4B6EC0000BD6947750000</t>
  </si>
  <si>
    <t>Hälytys - VAK8.JVP_F.HÄL1.DA0 2026.08.13 22</t>
  </si>
  <si>
    <t>2026.08.13</t>
  </si>
  <si>
    <t>22.45.48</t>
  </si>
  <si>
    <t>00000000F4188C90990C1D4F9592A85831DCA99307001CDFA5E3617DAF4D8529086EB3E4B6EC00000000010C00001CDFA5E3617DAF4D8529086EB3E4B6EC0000BD6947740000</t>
  </si>
  <si>
    <t>13/08/2026</t>
  </si>
  <si>
    <t>Poistunut hälytys - VAK8.JVP_F.HÄL1.DA0 2026.08.13 22</t>
  </si>
  <si>
    <t>22.45.24</t>
  </si>
  <si>
    <t>00000000F4188C90990C1D4F9592A85831DCA99307001CDFA5E3617DAF4D8529086EB3E4B6EC00000000010C00001CDFA5E3617DAF4D8529086EB3E4B6EC0000BD6947730000</t>
  </si>
  <si>
    <t>Hälytys - VAK4.MB1_ADDR6_TK3_PE01.A3 2026.08.13 22</t>
  </si>
  <si>
    <t>22.05.23</t>
  </si>
  <si>
    <t>00000000F4188C90990C1D4F9592A85831DCA99307001CDFA5E3617DAF4D8529086EB3E4B6EC00000000010C00001CDFA5E3617DAF4D8529086EB3E4B6EC0000BD6947720000</t>
  </si>
  <si>
    <t>Hälytys - VAK4.MB1_ADDR5_TK2_TK2_PE01.A3 2026.08.13 21</t>
  </si>
  <si>
    <t>00000000F4188C90990C1D4F9592A85831DCA99307001CDFA5E3617DAF4D8529086EB3E4B6EC00000000010C00001CDFA5E3617DAF4D8529086EB3E4B6EC0000BD6947710000</t>
  </si>
  <si>
    <t>Hälytys - LM1.L1.TE41_L1.A2 2026.08.13 20</t>
  </si>
  <si>
    <t>20.57.52</t>
  </si>
  <si>
    <t>00000000F4188C90990C1D4F9592A85831DCA99307001CDFA5E3617DAF4D8529086EB3E4B6EC00000000010C00001CDFA5E3617DAF4D8529086EB3E4B6EC0000BD6947700000</t>
  </si>
  <si>
    <t>Hälytys - VAK4.MB2_WL_BaseVAK4_Alarm2.A 2026.08.13 20</t>
  </si>
  <si>
    <t>00000000F4188C90990C1D4F9592A85831DCA99307001CDFA5E3617DAF4D8529086EB3E4B6EC00000000010C00001CDFA5E3617DAF4D8529086EB3E4B6EC0000BD69476F0000</t>
  </si>
  <si>
    <t>Hälytys - LM1.MB3_ADDR10_FlexM__Error.A 2026.08.13 20</t>
  </si>
  <si>
    <t>20.39.05</t>
  </si>
  <si>
    <t>00000000F4188C90990C1D4F9592A85831DCA99307001CDFA5E3617DAF4D8529086EB3E4B6EC00000000010C00001CDFA5E3617DAF4D8529086EB3E4B6EC0000BD69476E0000</t>
  </si>
  <si>
    <t>Hälytys - EK03.H2.A1 2026.08.13 20</t>
  </si>
  <si>
    <t>20.34.52</t>
  </si>
  <si>
    <t>00000000F4188C90990C1D4F9592A85831DCA99307001CDFA5E3617DAF4D8529086EB3E4B6EC00000000010C00001CDFA5E3617DAF4D8529086EB3E4B6EC0000BD69476D0000</t>
  </si>
  <si>
    <t>20.18.42</t>
  </si>
  <si>
    <t>00000000F4188C90990C1D4F9592A85831DCA99307001CDFA5E3617DAF4D8529086EB3E4B6EC00000000010C00001CDFA5E3617DAF4D8529086EB3E4B6EC0000BD69476C0000</t>
  </si>
  <si>
    <t>Hälytys - LM1.L1.TE41_L1.A2 2026.08.13 19</t>
  </si>
  <si>
    <t>19.11.40</t>
  </si>
  <si>
    <t>00000000F4188C90990C1D4F9592A85831DCA99307001CDFA5E3617DAF4D8529086EB3E4B6EC00000000010C00001CDFA5E3617DAF4D8529086EB3E4B6EC0000BD69476B0000</t>
  </si>
  <si>
    <t>Hälytys - VAK8.JVP_F.HÄL1.DA0 2026.08.13 19</t>
  </si>
  <si>
    <t>19.09.42</t>
  </si>
  <si>
    <t>00000000F4188C90990C1D4F9592A85831DCA99307001CDFA5E3617DAF4D8529086EB3E4B6EC00000000010C00001CDFA5E3617DAF4D8529086EB3E4B6EC0000BD69476A0000</t>
  </si>
  <si>
    <t>Poistunut hälytys - VAK8.JVP_F.HÄL1.DA0 2026.08.13 19</t>
  </si>
  <si>
    <t>19.09.11</t>
  </si>
  <si>
    <t>00000000F4188C90990C1D4F9592A85831DCA99307001CDFA5E3617DAF4D8529086EB3E4B6EC00000000010C00001CDFA5E3617DAF4D8529086EB3E4B6EC0000BD6947690000</t>
  </si>
  <si>
    <t>TK1 Poistopuhallin PK1.2 ristiriita</t>
  </si>
  <si>
    <t>Poistunut hälytys - VAK11.TK1.ExhaustFan2ContradictionAlarm.A 2026.08.13 17</t>
  </si>
  <si>
    <t>17.34.53</t>
  </si>
  <si>
    <t>00000000F4188C90990C1D4F9592A85831DCA99307001CDFA5E3617DAF4D8529086EB3E4B6EC00000000010C00001CDFA5E3617DAF4D8529086EB3E4B6EC0000BD6947680000</t>
  </si>
  <si>
    <t>Hälytys - VAK8.JVP_F.HÄL1.DA0 2026.08.13 17</t>
  </si>
  <si>
    <t>17.32.20</t>
  </si>
  <si>
    <t>00000000F4188C90990C1D4F9592A85831DCA99307001CDFA5E3617DAF4D8529086EB3E4B6EC00000000010C00001CDFA5E3617DAF4D8529086EB3E4B6EC0000BD6947670000</t>
  </si>
  <si>
    <t>Poistunut hälytys - VAK8.JVP_F.HÄL1.DA0 2026.08.13 17</t>
  </si>
  <si>
    <t>17.31.57</t>
  </si>
  <si>
    <t>00000000F4188C90990C1D4F9592A85831DCA99307001CDFA5E3617DAF4D8529086EB3E4B6EC00000000010C00001CDFA5E3617DAF4D8529086EB3E4B6EC0000BD6947660000</t>
  </si>
  <si>
    <t>PK9 Poistopuhallin WC ristiriita</t>
  </si>
  <si>
    <t>Poistunut hälytys - VAK11.PK9.Ohjausnopeus.A2 2026.08.13 16</t>
  </si>
  <si>
    <t>16.07.32</t>
  </si>
  <si>
    <t>00000000F4188C90990C1D4F9592A85831DCA99307001CDFA5E3617DAF4D8529086EB3E4B6EC00000000010C00001CDFA5E3617DAF4D8529086EB3E4B6EC0000BD6947650000</t>
  </si>
  <si>
    <t>Hälytys - VAK11.PK9.Ohjausnopeus.A2 2026.08.13 15</t>
  </si>
  <si>
    <t>15.57.26</t>
  </si>
  <si>
    <t>00000000F4188C90990C1D4F9592A85831DCA99307001CDFA5E3617DAF4D8529086EB3E4B6EC00000000010C00001CDFA5E3617DAF4D8529086EB3E4B6EC0000BD6947640000</t>
  </si>
  <si>
    <t>Poistunut hälytys - VAK11.PK9.Ohjausnopeus.A2 2026.08.13 15</t>
  </si>
  <si>
    <t>15.52.50</t>
  </si>
  <si>
    <t>00000000F4188C90990C1D4F9592A85831DCA99307001CDFA5E3617DAF4D8529086EB3E4B6EC00000000010C00001CDFA5E3617DAF4D8529086EB3E4B6EC0000BD6947630000</t>
  </si>
  <si>
    <t>15.41.16</t>
  </si>
  <si>
    <t>00000000F4188C90990C1D4F9592A85831DCA99307001CDFA5E3617DAF4D8529086EB3E4B6EC00000000010C00001CDFA5E3617DAF4D8529086EB3E4B6EC0000BD6947620000</t>
  </si>
  <si>
    <t>Hälytys - VAK8.JVP_F.HÄL1.DA0 2026.08.13 15</t>
  </si>
  <si>
    <t>15.08.12</t>
  </si>
  <si>
    <t>00000000F4188C90990C1D4F9592A85831DCA99307001CDFA5E3617DAF4D8529086EB3E4B6EC00000000010C00001CDFA5E3617DAF4D8529086EB3E4B6EC0000BD6947610000</t>
  </si>
  <si>
    <t>Poistunut hälytys - VAK8.JVP_F.HÄL1.DA0 2026.08.13 15</t>
  </si>
  <si>
    <t>15.07.48</t>
  </si>
  <si>
    <t>00000000F4188C90990C1D4F9592A85831DCA99307001CDFA5E3617DAF4D8529086EB3E4B6EC00000000010C00001CDFA5E3617DAF4D8529086EB3E4B6EC0000BD6947600000</t>
  </si>
  <si>
    <t>Hälytys - LM1.L1.TE41_L1.A2 2026.08.13 15</t>
  </si>
  <si>
    <t>15.06.05</t>
  </si>
  <si>
    <t>00000000F4188C90990C1D4F9592A85831DCA99307001CDFA5E3617DAF4D8529086EB3E4B6EC00000000010C00001CDFA5E3617DAF4D8529086EB3E4B6EC0000BD69475F0000</t>
  </si>
  <si>
    <t>Hälytys - LM1.L1.A1 2026.08.13 14</t>
  </si>
  <si>
    <t>14.03.09</t>
  </si>
  <si>
    <t>00000000F4188C90990C1D4F9592A85831DCA99307001CDFA5E3617DAF4D8529086EB3E4B6EC00000000010C00001CDFA5E3617DAF4D8529086EB3E4B6EC0000BD69475E0000</t>
  </si>
  <si>
    <t>Hälytys - VAK8.JVP_F.HÄL1.DA0 2026.08.13 13</t>
  </si>
  <si>
    <t>13.27.03</t>
  </si>
  <si>
    <t>00000000F4188C90990C1D4F9592A85831DCA99307001CDFA5E3617DAF4D8529086EB3E4B6EC00000000010C00001CDFA5E3617DAF4D8529086EB3E4B6EC0000BD69475D0000</t>
  </si>
  <si>
    <t>Poistunut hälytys - VAK8.JVP_F.HÄL1.DA0 2026.08.13 13</t>
  </si>
  <si>
    <t>13.26.37</t>
  </si>
  <si>
    <t>00000000F4188C90990C1D4F9592A85831DCA99307001CDFA5E3617DAF4D8529086EB3E4B6EC00000000010C00001CDFA5E3617DAF4D8529086EB3E4B6EC0000BD69475C0000</t>
  </si>
  <si>
    <t>Hälytys - LM1.MB3_ADDR10_FlexM__Error.A 2026.08.13 13</t>
  </si>
  <si>
    <t>13.23.28</t>
  </si>
  <si>
    <t>00000000F4188C90990C1D4F9592A85831DCA99307001CDFA5E3617DAF4D8529086EB3E4B6EC00000000010C00001CDFA5E3617DAF4D8529086EB3E4B6EC0000BD69475B0000</t>
  </si>
  <si>
    <t>Hälytys - VAK8.JVP_F.HÄL1.DA0 2026.08.13 11</t>
  </si>
  <si>
    <t>11.49.46</t>
  </si>
  <si>
    <t>00000000F4188C90990C1D4F9592A85831DCA99307001CDFA5E3617DAF4D8529086EB3E4B6EC00000000010C00001CDFA5E3617DAF4D8529086EB3E4B6EC0000BD69475A0000</t>
  </si>
  <si>
    <t>Poistunut hälytys - VAK8.JVP_F.HÄL1.DA0 2026.08.13 11</t>
  </si>
  <si>
    <t>11.49.30</t>
  </si>
  <si>
    <t>00000000F4188C90990C1D4F9592A85831DCA99307001CDFA5E3617DAF4D8529086EB3E4B6EC00000000010C00001CDFA5E3617DAF4D8529086EB3E4B6EC0000BD6947590000</t>
  </si>
  <si>
    <t>Hälytys - VAK8.JVP_F.HÄL1.DA0 2026.08.13 10</t>
  </si>
  <si>
    <t>00000000F4188C90990C1D4F9592A85831DCA99307001CDFA5E3617DAF4D8529086EB3E4B6EC00000000010C00001CDFA5E3617DAF4D8529086EB3E4B6EC0000BD6947580000</t>
  </si>
  <si>
    <t>Poistunut hälytys - VAK8.JVP_F.HÄL1.DA0 2026.08.13 10</t>
  </si>
  <si>
    <t>10.45.48</t>
  </si>
  <si>
    <t>00000000F4188C90990C1D4F9592A85831DCA99307001CDFA5E3617DAF4D8529086EB3E4B6EC00000000010C00001CDFA5E3617DAF4D8529086EB3E4B6EC0000BD6947570000</t>
  </si>
  <si>
    <t>10.06.38</t>
  </si>
  <si>
    <t>00000000F4188C90990C1D4F9592A85831DCA99307001CDFA5E3617DAF4D8529086EB3E4B6EC00000000010C00001CDFA5E3617DAF4D8529086EB3E4B6EC0000BD6947560000</t>
  </si>
  <si>
    <t>10.06.17</t>
  </si>
  <si>
    <t>00000000F4188C90990C1D4F9592A85831DCA99307001CDFA5E3617DAF4D8529086EB3E4B6EC00000000010C00001CDFA5E3617DAF4D8529086EB3E4B6EC0000BD6947550000</t>
  </si>
  <si>
    <t>Hälytys - ID_4716145 2026.08.13 09</t>
  </si>
  <si>
    <t>09.13.39</t>
  </si>
  <si>
    <t>00000000F4188C90990C1D4F9592A85831DCA99307001CDFA5E3617DAF4D8529086EB3E4B6EC00000000010C00001CDFA5E3617DAF4D8529086EB3E4B6EC0000BD6947540000</t>
  </si>
  <si>
    <t>09.00.37</t>
  </si>
  <si>
    <t>00000000F4188C90990C1D4F9592A85831DCA99307001CDFA5E3617DAF4D8529086EB3E4B6EC00000000010C00001CDFA5E3617DAF4D8529086EB3E4B6EC0000BD6947530000</t>
  </si>
  <si>
    <t>Poistunut hälytys - VAK11.921.OVI01.Ind.A1 2026.08.13 08</t>
  </si>
  <si>
    <t>08.00.15</t>
  </si>
  <si>
    <t>00000000F4188C90990C1D4F9592A85831DCA99307001CDFA5E3617DAF4D8529086EB3E4B6EC00000000010C00001CDFA5E3617DAF4D8529086EB3E4B6EC0000BD6947520000</t>
  </si>
  <si>
    <t>Hälytys - VAK11.921.OVI01.Ind.A1 2026.08.13 07</t>
  </si>
  <si>
    <t>07.50.39</t>
  </si>
  <si>
    <t>00000000F4188C90990C1D4F9592A85831DCA99307001CDFA5E3617DAF4D8529086EB3E4B6EC00000000010C00001CDFA5E3617DAF4D8529086EB3E4B6EC0000BD6947510000</t>
  </si>
  <si>
    <t>TK94 PF01 Nopea ristiriita</t>
  </si>
  <si>
    <t>Poistunut hälytys - VAK10.TK94.PF01.NOP.IND.A1 2026.08.13 07</t>
  </si>
  <si>
    <t>07.41.18</t>
  </si>
  <si>
    <t>00000000F4188C90990C1D4F9592A85831DCA99307001CDFA5E3617DAF4D8529086EB3E4B6EC00000000010C00001CDFA5E3617DAF4D8529086EB3E4B6EC0000BD6947500000</t>
  </si>
  <si>
    <t>Hälytys - VAK10.TK94.PF01.NOP.IND.A1 2026.08.13 07</t>
  </si>
  <si>
    <t>07.40.55</t>
  </si>
  <si>
    <t>00000000F4188C90990C1D4F9592A85831DCA99307001CDFA5E3617DAF4D8529086EB3E4B6EC00000000010C00001CDFA5E3617DAF4D8529086EB3E4B6EC0000BD69474F0000</t>
  </si>
  <si>
    <t>Hälytys - VAK8.JVP_F.HÄL1.DA0 2026.08.13 06</t>
  </si>
  <si>
    <t>06.42.45</t>
  </si>
  <si>
    <t>00000000F4188C90990C1D4F9592A85831DCA99307001CDFA5E3617DAF4D8529086EB3E4B6EC00000000010C00001CDFA5E3617DAF4D8529086EB3E4B6EC0000BD69474E0000</t>
  </si>
  <si>
    <t>Poistunut hälytys - VAK8.JVP_F.HÄL1.DA0 2026.08.13 06</t>
  </si>
  <si>
    <t>06.42.18</t>
  </si>
  <si>
    <t>00000000F4188C90990C1D4F9592A85831DCA99307001CDFA5E3617DAF4D8529086EB3E4B6EC00000000010C00001CDFA5E3617DAF4D8529086EB3E4B6EC0000BD69474D0000</t>
  </si>
  <si>
    <t>Poistunut hälytys - VAK4.MB2_WL_BaseVAK4_Alarm2.A 2026.08.13 05</t>
  </si>
  <si>
    <t>00000000F4188C90990C1D4F9592A85831DCA99307001CDFA5E3617DAF4D8529086EB3E4B6EC00000000010C00001CDFA5E3617DAF4D8529086EB3E4B6EC0000BD69474C0000</t>
  </si>
  <si>
    <t>Hälytys - LM1.L1.TE41_L1.A2 2026.08.13 02</t>
  </si>
  <si>
    <t>02.03.46</t>
  </si>
  <si>
    <t>00000000F4188C90990C1D4F9592A85831DCA99307001CDFA5E3617DAF4D8529086EB3E4B6EC00000000010C00001CDFA5E3617DAF4D8529086EB3E4B6EC0000BD69474B0000</t>
  </si>
  <si>
    <t>Hälytys - VAK11.TK1.ExhaustFan2ContradictionAlarm.A 2026.08.13 00</t>
  </si>
  <si>
    <t>00.05.38</t>
  </si>
  <si>
    <t>00000000F4188C90990C1D4F9592A85831DCA99307001CDFA5E3617DAF4D8529086EB3E4B6EC00000000010C00001CDFA5E3617DAF4D8529086EB3E4B6EC0000BD69474A0000</t>
  </si>
  <si>
    <t>Hälytys - VAK8.JVP_F.HÄL1.DA0 2026.08.12 23</t>
  </si>
  <si>
    <t>2026.08.12</t>
  </si>
  <si>
    <t>23.05.29</t>
  </si>
  <si>
    <t>00000000F4188C90990C1D4F9592A85831DCA99307001CDFA5E3617DAF4D8529086EB3E4B6EC00000000010C00001CDFA5E3617DAF4D8529086EB3E4B6EC0000BD6947490000</t>
  </si>
  <si>
    <t>Poistunut hälytys - VAK8.JVP_F.HÄL1.DA0 2026.08.12 23</t>
  </si>
  <si>
    <t>23.05.03</t>
  </si>
  <si>
    <t>00000000F4188C90990C1D4F9592A85831DCA99307001CDFA5E3617DAF4D8529086EB3E4B6EC00000000010C00001CDFA5E3617DAF4D8529086EB3E4B6EC0000BD6947480000</t>
  </si>
  <si>
    <t>Hälytys - VAK4.MB1_ADDR6_TK3_PE01.A3 2026.08.12 22</t>
  </si>
  <si>
    <t>22.03.52</t>
  </si>
  <si>
    <t>00000000F4188C90990C1D4F9592A85831DCA99307001CDFA5E3617DAF4D8529086EB3E4B6EC00000000010C00001CDFA5E3617DAF4D8529086EB3E4B6EC0000BD6947470000</t>
  </si>
  <si>
    <t>Hälytys - VAK4.MB1_ADDR5_TK2_TK2_PE01.A3 2026.08.12 21</t>
  </si>
  <si>
    <t>21.02.47</t>
  </si>
  <si>
    <t>00000000F4188C90990C1D4F9592A85831DCA99307001CDFA5E3617DAF4D8529086EB3E4B6EC00000000010C00001CDFA5E3617DAF4D8529086EB3E4B6EC0000BD6947460000</t>
  </si>
  <si>
    <t>Hälytys - VAK4.MB2_WL_BaseVAK4_Alarm2.A 2026.08.12 20</t>
  </si>
  <si>
    <t>20.44.22</t>
  </si>
  <si>
    <t>00000000F4188C90990C1D4F9592A85831DCA99307001CDFA5E3617DAF4D8529086EB3E4B6EC00000000010C00001CDFA5E3617DAF4D8529086EB3E4B6EC0000BD6947450000</t>
  </si>
  <si>
    <t>Hälytys - LM1.L1.TE41_L1.A2 2026.08.12 20</t>
  </si>
  <si>
    <t>20.39.01</t>
  </si>
  <si>
    <t>00000000F4188C90990C1D4F9592A85831DCA99307001CDFA5E3617DAF4D8529086EB3E4B6EC00000000010C00001CDFA5E3617DAF4D8529086EB3E4B6EC0000BD6947440000</t>
  </si>
  <si>
    <t>Hälytys - LM1.L1.TE41_L1.A2 2026.08.12 19</t>
  </si>
  <si>
    <t>19.11.45</t>
  </si>
  <si>
    <t>00000000F4188C90990C1D4F9592A85831DCA99307001CDFA5E3617DAF4D8529086EB3E4B6EC00000000010C00001CDFA5E3617DAF4D8529086EB3E4B6EC0000BD6947430000</t>
  </si>
  <si>
    <t>Hälytys - VAK8.JVP_F.HÄL1.DA0 2026.08.12 19</t>
  </si>
  <si>
    <t>19.11.09</t>
  </si>
  <si>
    <t>00000000F4188C90990C1D4F9592A85831DCA99307001CDFA5E3617DAF4D8529086EB3E4B6EC00000000010C00001CDFA5E3617DAF4D8529086EB3E4B6EC0000BD6947420000</t>
  </si>
  <si>
    <t>Poistunut hälytys - VAK8.JVP_F.HÄL1.DA0 2026.08.12 19</t>
  </si>
  <si>
    <t>19.10.27</t>
  </si>
  <si>
    <t>00000000F4188C90990C1D4F9592A85831DCA99307001CDFA5E3617DAF4D8529086EB3E4B6EC00000000010C00001CDFA5E3617DAF4D8529086EB3E4B6EC0000BD6947410000</t>
  </si>
  <si>
    <t>Hälytys - LM1.MB3_ADDR10_FlexM__Error.A 2026.08.12 18</t>
  </si>
  <si>
    <t>18.31.57</t>
  </si>
  <si>
    <t>00000000F4188C90990C1D4F9592A85831DCA99307001CDFA5E3617DAF4D8529086EB3E4B6EC00000000010C00001CDFA5E3617DAF4D8529086EB3E4B6EC0000BD6947400000</t>
  </si>
  <si>
    <t>Hälytys - DeviceNoResponseAlarm 2026.08.12 17</t>
  </si>
  <si>
    <t>17.53.45</t>
  </si>
  <si>
    <t>00000000F4188C90990C1D4F9592A85831DCA99307001CDFA5E3617DAF4D8529086EB3E4B6EC00000000010C00001CDFA5E3617DAF4D8529086EB3E4B6EC0000BD69473F0000</t>
  </si>
  <si>
    <t>Hälytys - LM1.MB3_ADDR10_FlexM__Error.A 2026.08.12 17</t>
  </si>
  <si>
    <t>17.34.35</t>
  </si>
  <si>
    <t>00000000F4188C90990C1D4F9592A85831DCA99307001CDFA5E3617DAF4D8529086EB3E4B6EC00000000010C00001CDFA5E3617DAF4D8529086EB3E4B6EC0000BD69473E0000</t>
  </si>
  <si>
    <t>Hälytys - VAK8.JVP_F.HÄL1.DA0 2026.08.12 16</t>
  </si>
  <si>
    <t>16.52.27</t>
  </si>
  <si>
    <t>00000000F4188C90990C1D4F9592A85831DCA99307001CDFA5E3617DAF4D8529086EB3E4B6EC00000000010C00001CDFA5E3617DAF4D8529086EB3E4B6EC0000BD69473D0000</t>
  </si>
  <si>
    <t>Poistunut hälytys - VAK8.JVP_F.HÄL1.DA0 2026.08.12 16</t>
  </si>
  <si>
    <t>16.51.54</t>
  </si>
  <si>
    <t>00000000F4188C90990C1D4F9592A85831DCA99307001CDFA5E3617DAF4D8529086EB3E4B6EC00000000010C00001CDFA5E3617DAF4D8529086EB3E4B6EC0000BD69473C0000</t>
  </si>
  <si>
    <t>Hälytys - VAK8.JVP_F.HÄL1.DA0 2026.08.12 14</t>
  </si>
  <si>
    <t>14.01.20</t>
  </si>
  <si>
    <t>00000000F4188C90990C1D4F9592A85831DCA99307001CDFA5E3617DAF4D8529086EB3E4B6EC00000000010C00001CDFA5E3617DAF4D8529086EB3E4B6EC0000BD69473B0000</t>
  </si>
  <si>
    <t>Poistunut hälytys - VAK8.JVP_F.HÄL1.DA0 2026.08.12 14</t>
  </si>
  <si>
    <t>14.01.05</t>
  </si>
  <si>
    <t>00000000F4188C90990C1D4F9592A85831DCA99307001CDFA5E3617DAF4D8529086EB3E4B6EC00000000010C00001CDFA5E3617DAF4D8529086EB3E4B6EC0000BD69473A0000</t>
  </si>
  <si>
    <t>Hälytys - VAK8.JVP_F.HÄL1.DA0 2026.08.12 12</t>
  </si>
  <si>
    <t>12.15.16</t>
  </si>
  <si>
    <t>00000000F4188C90990C1D4F9592A85831DCA99307001CDFA5E3617DAF4D8529086EB3E4B6EC00000000010C00001CDFA5E3617DAF4D8529086EB3E4B6EC0000BD6947390000</t>
  </si>
  <si>
    <t>Poistunut hälytys - VAK8.JVP_F.HÄL1.DA0 2026.08.12 12</t>
  </si>
  <si>
    <t>12.14.51</t>
  </si>
  <si>
    <t>00000000F4188C90990C1D4F9592A85831DCA99307001CDFA5E3617DAF4D8529086EB3E4B6EC00000000010C00001CDFA5E3617DAF4D8529086EB3E4B6EC0000BD6947380000</t>
  </si>
  <si>
    <t>Hälytys - VAK8.JVP_F.HÄL1.DA0 2026.08.12 11</t>
  </si>
  <si>
    <t>11.02.27</t>
  </si>
  <si>
    <t>00000000F4188C90990C1D4F9592A85831DCA99307001CDFA5E3617DAF4D8529086EB3E4B6EC00000000010C00001CDFA5E3617DAF4D8529086EB3E4B6EC0000BD6947370000</t>
  </si>
  <si>
    <t>Poistunut hälytys - VAK8.JVP_F.HÄL1.DA0 2026.08.12 11</t>
  </si>
  <si>
    <t>11.01.59</t>
  </si>
  <si>
    <t>00000000F4188C90990C1D4F9592A85831DCA99307001CDFA5E3617DAF4D8529086EB3E4B6EC00000000010C00001CDFA5E3617DAF4D8529086EB3E4B6EC0000BD6947360000</t>
  </si>
  <si>
    <t>Hälytys - ID_5702262 2026.08.12 10</t>
  </si>
  <si>
    <t>10.40.01</t>
  </si>
  <si>
    <t>00000000F4188C90990C1D4F9592A85831DCA99307001CDFA5E3617DAF4D8529086EB3E4B6EC00000000010C00001CDFA5E3617DAF4D8529086EB3E4B6EC0000BD6947350000</t>
  </si>
  <si>
    <t>Hälytys - VAK8.JVP_F.HÄL1.DA0 2026.08.12 10</t>
  </si>
  <si>
    <t>10.19.35</t>
  </si>
  <si>
    <t>00000000F4188C90990C1D4F9592A85831DCA99307001CDFA5E3617DAF4D8529086EB3E4B6EC00000000010C00001CDFA5E3617DAF4D8529086EB3E4B6EC0000BD6947340000</t>
  </si>
  <si>
    <t>Poistunut hälytys - VAK8.JVP_F.HÄL1.DA0 2026.08.12 10</t>
  </si>
  <si>
    <t>10.19.09</t>
  </si>
  <si>
    <t>00000000F4188C90990C1D4F9592A85831DCA99307001CDFA5E3617DAF4D8529086EB3E4B6EC00000000010C00001CDFA5E3617DAF4D8529086EB3E4B6EC0000BD6947330000</t>
  </si>
  <si>
    <t>Hälytys - VAK8.JVP_F.HÄL1.DA0 2026.08.12 09</t>
  </si>
  <si>
    <t>09.27.28</t>
  </si>
  <si>
    <t>00000000F4188C90990C1D4F9592A85831DCA99307001CDFA5E3617DAF4D8529086EB3E4B6EC00000000010C00001CDFA5E3617DAF4D8529086EB3E4B6EC0000BD6947320000</t>
  </si>
  <si>
    <t>Poistunut hälytys - VAK8.JVP_F.HÄL1.DA0 2026.08.12 09</t>
  </si>
  <si>
    <t>09.27.01</t>
  </si>
  <si>
    <t>00000000F4188C90990C1D4F9592A85831DCA99307001CDFA5E3617DAF4D8529086EB3E4B6EC00000000010C00001CDFA5E3617DAF4D8529086EB3E4B6EC0000BD6947310000</t>
  </si>
  <si>
    <t>Poistunut hälytys - VAK4.MB2_WL_BaseVAK4_Alarm2.A 2026.08.12 05</t>
  </si>
  <si>
    <t>05.01.28</t>
  </si>
  <si>
    <t>00000000F4188C90990C1D4F9592A85831DCA99307001CDFA5E3617DAF4D8529086EB3E4B6EC00000000010C00001CDFA5E3617DAF4D8529086EB3E4B6EC0000BD6947300000</t>
  </si>
  <si>
    <t>Hälytys - VAK8.JVP_F.HÄL1.DA0 2026.08.12 02</t>
  </si>
  <si>
    <t>02.04.42</t>
  </si>
  <si>
    <t>00000000F4188C90990C1D4F9592A85831DCA99307001CDFA5E3617DAF4D8529086EB3E4B6EC00000000010C00001CDFA5E3617DAF4D8529086EB3E4B6EC0000BD5740620000</t>
  </si>
  <si>
    <t>Poistunut hälytys - VAK8.JVP_F.HÄL1.DA0 2026.08.12 02</t>
  </si>
  <si>
    <t>02.04.27</t>
  </si>
  <si>
    <t>00000000F4188C90990C1D4F9592A85831DCA99307001CDFA5E3617DAF4D8529086EB3E4B6EC00000000010C00001CDFA5E3617DAF4D8529086EB3E4B6EC0000BD5740610000</t>
  </si>
  <si>
    <t>Hälytys - VAK4.MB1_ADDR6_TK3_PE01.A3 2026.08.11 22</t>
  </si>
  <si>
    <t>2026.08.11</t>
  </si>
  <si>
    <t>22.03.57</t>
  </si>
  <si>
    <t>00000000F4188C90990C1D4F9592A85831DCA99307001CDFA5E3617DAF4D8529086EB3E4B6EC00000000010C00001CDFA5E3617DAF4D8529086EB3E4B6EC0000BBFEF5700000</t>
  </si>
  <si>
    <t>Hälytys - VAK8.JVP_F.HÄL1.DA0 2026.08.11 21</t>
  </si>
  <si>
    <t>21.04.46</t>
  </si>
  <si>
    <t>00000000F4188C90990C1D4F9592A85831DCA99307001CDFA5E3617DAF4D8529086EB3E4B6EC00000000010C00001CDFA5E3617DAF4D8529086EB3E4B6EC0000BBFEF56F0000</t>
  </si>
  <si>
    <t>Poistunut hälytys - VAK8.JVP_F.HÄL1.DA0 2026.08.11 21</t>
  </si>
  <si>
    <t>21.04.43</t>
  </si>
  <si>
    <t>00000000F4188C90990C1D4F9592A85831DCA99307001CDFA5E3617DAF4D8529086EB3E4B6EC00000000010C00001CDFA5E3617DAF4D8529086EB3E4B6EC0000BBFEF56E0000</t>
  </si>
  <si>
    <t>Hälytys - VAK4.MB1_ADDR5_TK2_TK2_PE01.A3 2026.08.11 21</t>
  </si>
  <si>
    <t>21.02.49</t>
  </si>
  <si>
    <t>00000000F4188C90990C1D4F9592A85831DCA99307001CDFA5E3617DAF4D8529086EB3E4B6EC00000000010C00001CDFA5E3617DAF4D8529086EB3E4B6EC0000BBFEF56D0000</t>
  </si>
  <si>
    <t>Hälytys - VAK4.MB2_WL_BaseVAK4_Alarm2.A 2026.08.11 20</t>
  </si>
  <si>
    <t>20.33.12</t>
  </si>
  <si>
    <t>00000000F4188C90990C1D4F9592A85831DCA99307001CDFA5E3617DAF4D8529086EB3E4B6EC00000000010C00001CDFA5E3617DAF4D8529086EB3E4B6EC0000BBFEF56C0000</t>
  </si>
  <si>
    <t>Hälytys - LM1.L1.TE41_L1.A2 2026.08.11 20</t>
  </si>
  <si>
    <t>20.22.38</t>
  </si>
  <si>
    <t>00000000F4188C90990C1D4F9592A85831DCA99307001CDFA5E3617DAF4D8529086EB3E4B6EC00000000010C00001CDFA5E3617DAF4D8529086EB3E4B6EC0000BBFEF56B0000</t>
  </si>
  <si>
    <t>Hälytys - VAK8.JVP_F.HÄL1.DA0 2026.08.11 18</t>
  </si>
  <si>
    <t>18.32.39</t>
  </si>
  <si>
    <t>00000000F4188C90990C1D4F9592A85831DCA99307001CDFA5E3617DAF4D8529086EB3E4B6EC00000000010C00001CDFA5E3617DAF4D8529086EB3E4B6EC0000BBFEF56A0000</t>
  </si>
  <si>
    <t>Poistunut hälytys - VAK8.JVP_F.HÄL1.DA0 2026.08.11 18</t>
  </si>
  <si>
    <t>18.31.44</t>
  </si>
  <si>
    <t>00000000F4188C90990C1D4F9592A85831DCA99307001CDFA5E3617DAF4D8529086EB3E4B6EC00000000010C00001CDFA5E3617DAF4D8529086EB3E4B6EC0000BBFEF5690000</t>
  </si>
  <si>
    <t>Hälytys - LM1.MB3_ADDR10_FlexM__Error.A 2026.08.11 18</t>
  </si>
  <si>
    <t>18.06.48</t>
  </si>
  <si>
    <t>00000000F4188C90990C1D4F9592A85831DCA99307001CDFA5E3617DAF4D8529086EB3E4B6EC00000000010C00001CDFA5E3617DAF4D8529086EB3E4B6EC0000BBFEF5680000</t>
  </si>
  <si>
    <t>Hälytys - VAK8.JVP_F.HÄL1.DA0 2026.08.11 17</t>
  </si>
  <si>
    <t>17.07.20</t>
  </si>
  <si>
    <t>00000000F4188C90990C1D4F9592A85831DCA99307001CDFA5E3617DAF4D8529086EB3E4B6EC00000000010C00001CDFA5E3617DAF4D8529086EB3E4B6EC0000BBFEF5670000</t>
  </si>
  <si>
    <t>Poistunut hälytys - VAK8.JVP_F.HÄL1.DA0 2026.08.11 17</t>
  </si>
  <si>
    <t>17.06.55</t>
  </si>
  <si>
    <t>00000000F4188C90990C1D4F9592A85831DCA99307001CDFA5E3617DAF4D8529086EB3E4B6EC00000000010C00001CDFA5E3617DAF4D8529086EB3E4B6EC0000BBFEF5660000</t>
  </si>
  <si>
    <t>Hälytys - LM1.TE11.A1 2026.08.11 16</t>
  </si>
  <si>
    <t>16.14.05</t>
  </si>
  <si>
    <t>00000000F4188C90990C1D4F9592A85831DCA99307001CDFA5E3617DAF4D8529086EB3E4B6EC00000000010C00001CDFA5E3617DAF4D8529086EB3E4B6EC0000BBFEF5650000</t>
  </si>
  <si>
    <t>Hälytys - LM1.TE11.A1 2026.08.11 15</t>
  </si>
  <si>
    <t>15.57.37</t>
  </si>
  <si>
    <t>00000000F4188C90990C1D4F9592A85831DCA99307001CDFA5E3617DAF4D8529086EB3E4B6EC00000000010C00001CDFA5E3617DAF4D8529086EB3E4B6EC0000BBFEF5640000</t>
  </si>
  <si>
    <t>Hälytys - KK31.VAK2.PF05.PF05PE02.1.A2 2026.08.11 15</t>
  </si>
  <si>
    <t>15.28.09</t>
  </si>
  <si>
    <t>00000000F4188C90990C1D4F9592A85831DCA99307001CDFA5E3617DAF4D8529086EB3E4B6EC00000000010C00001CDFA5E3617DAF4D8529086EB3E4B6EC0000BBFEF5630000</t>
  </si>
  <si>
    <t>Hälytys - LM1.MB3_ADDR10_FlexM__Error.A 2026.08.11 14</t>
  </si>
  <si>
    <t>14.53.39</t>
  </si>
  <si>
    <t>00000000F4188C90990C1D4F9592A85831DCA99307001CDFA5E3617DAF4D8529086EB3E4B6EC00000000010C00001CDFA5E3617DAF4D8529086EB3E4B6EC0000BBFEF5620000</t>
  </si>
  <si>
    <t>Hälytys - VAK8.JVP_F.HÄL1.DA0 2026.08.11 14</t>
  </si>
  <si>
    <t>14.43.05</t>
  </si>
  <si>
    <t>00000000F4188C90990C1D4F9592A85831DCA99307001CDFA5E3617DAF4D8529086EB3E4B6EC00000000010C00001CDFA5E3617DAF4D8529086EB3E4B6EC0000BBFEF5610000</t>
  </si>
  <si>
    <t>Poistunut hälytys - VAK8.JVP_F.HÄL1.DA0 2026.08.11 14</t>
  </si>
  <si>
    <t>14.42.39</t>
  </si>
  <si>
    <t>00000000F4188C90990C1D4F9592A85831DCA99307001CDFA5E3617DAF4D8529086EB3E4B6EC00000000010C00001CDFA5E3617DAF4D8529086EB3E4B6EC0000BBFEF5600000</t>
  </si>
  <si>
    <t>14.40.19</t>
  </si>
  <si>
    <t>00000000F4188C90990C1D4F9592A85831DCA99307001CDFA5E3617DAF4D8529086EB3E4B6EC00000000010C00001CDFA5E3617DAF4D8529086EB3E4B6EC0000BBFEF55F0000</t>
  </si>
  <si>
    <t>14.40.21</t>
  </si>
  <si>
    <t>00000000F4188C90990C1D4F9592A85831DCA99307001CDFA5E3617DAF4D8529086EB3E4B6EC00000000010C00001CDFA5E3617DAF4D8529086EB3E4B6EC0000BBFEF55E0000</t>
  </si>
  <si>
    <t>Hälytys - ID_4716145 2026.08.11 14</t>
  </si>
  <si>
    <t>14.12.13</t>
  </si>
  <si>
    <t>00000000F4188C90990C1D4F9592A85831DCA99307001CDFA5E3617DAF4D8529086EB3E4B6EC00000000010C00001CDFA5E3617DAF4D8529086EB3E4B6EC0000BBFEF55D0000</t>
  </si>
  <si>
    <t>Torikeskus,VAK6.2</t>
  </si>
  <si>
    <t>TK67 Poistopuhallin ristiriita</t>
  </si>
  <si>
    <t>Poistunut hälytys - VAK6.2.TK67.PF.SUM_IND.CA1 2026.08.11 13</t>
  </si>
  <si>
    <t>13.22.41</t>
  </si>
  <si>
    <t>00000000F4188C90990C1D4F9592A85831DCA99307001CDFA5E3617DAF4D8529086EB3E4B6EC00000000010C00001CDFA5E3617DAF4D8529086EB3E4B6EC0000BBFEF55C0000</t>
  </si>
  <si>
    <t>Hälytys - VAK6.2.TK67.PF.SUM_IND.CA1 2026.08.11 13</t>
  </si>
  <si>
    <t>13.22.02</t>
  </si>
  <si>
    <t>00000000F4188C90990C1D4F9592A85831DCA99307001CDFA5E3617DAF4D8529086EB3E4B6EC00000000010C00001CDFA5E3617DAF4D8529086EB3E4B6EC0000BBFEF55B0000</t>
  </si>
  <si>
    <t>Hälytys - VAK8.JVP_F.HÄL1.DA0 2026.08.11 12</t>
  </si>
  <si>
    <t>12.57.42</t>
  </si>
  <si>
    <t>00000000F4188C90990C1D4F9592A85831DCA99307001CDFA5E3617DAF4D8529086EB3E4B6EC00000000010C00001CDFA5E3617DAF4D8529086EB3E4B6EC0000BBFEF55A0000</t>
  </si>
  <si>
    <t>Poistunut hälytys - VAK8.JVP_F.HÄL1.DA0 2026.08.11 12</t>
  </si>
  <si>
    <t>12.57.38</t>
  </si>
  <si>
    <t>00000000F4188C90990C1D4F9592A85831DCA99307001CDFA5E3617DAF4D8529086EB3E4B6EC00000000010C00001CDFA5E3617DAF4D8529086EB3E4B6EC0000BBFEF5590000</t>
  </si>
  <si>
    <t>Hälytys - LM1.TE11.A1 2026.08.11 12</t>
  </si>
  <si>
    <t>12.25.52</t>
  </si>
  <si>
    <t>00000000F4188C90990C1D4F9592A85831DCA99307001CDFA5E3617DAF4D8529086EB3E4B6EC00000000010C00001CDFA5E3617DAF4D8529086EB3E4B6EC0000BBFEF5580000</t>
  </si>
  <si>
    <t>Hälytys - LM1.MB3_ADDR10_FlexM__Error.A 2026.08.11 12</t>
  </si>
  <si>
    <t>12.19.30</t>
  </si>
  <si>
    <t>00000000F4188C90990C1D4F9592A85831DCA99307001CDFA5E3617DAF4D8529086EB3E4B6EC00000000010C00001CDFA5E3617DAF4D8529086EB3E4B6EC0000BBFEF5570000</t>
  </si>
  <si>
    <t>Hälytys - VAK8.JVP_F.HÄL1.DA0 2026.08.11 11</t>
  </si>
  <si>
    <t>11.24.15</t>
  </si>
  <si>
    <t>00000000F4188C90990C1D4F9592A85831DCA99307001CDFA5E3617DAF4D8529086EB3E4B6EC00000000010C00001CDFA5E3617DAF4D8529086EB3E4B6EC0000BBFEF5560000</t>
  </si>
  <si>
    <t>Poistunut hälytys - VAK8.JVP_F.HÄL1.DA0 2026.08.11 11</t>
  </si>
  <si>
    <t>11.24.14</t>
  </si>
  <si>
    <t>00000000F4188C90990C1D4F9592A85831DCA99307001CDFA5E3617DAF4D8529086EB3E4B6EC00000000010C00001CDFA5E3617DAF4D8529086EB3E4B6EC0000BBFEF5550000</t>
  </si>
  <si>
    <t>Hälytys - LM1.TE11.A1 2026.08.11 10</t>
  </si>
  <si>
    <t>10.48.00</t>
  </si>
  <si>
    <t>00000000F4188C90990C1D4F9592A85831DCA99307001CDFA5E3617DAF4D8529086EB3E4B6EC00000000010C00001CDFA5E3617DAF4D8529086EB3E4B6EC0000BBFEF5540000</t>
  </si>
  <si>
    <t>Hälytys - VAK8.JVP_F.HÄL1.DA0 2026.08.11 10</t>
  </si>
  <si>
    <t>10.37.56</t>
  </si>
  <si>
    <t>00000000F4188C90990C1D4F9592A85831DCA99307001CDFA5E3617DAF4D8529086EB3E4B6EC00000000010C00001CDFA5E3617DAF4D8529086EB3E4B6EC0000BBFEF5530000</t>
  </si>
  <si>
    <t>Poistunut hälytys - VAK8.JVP_F.HÄL1.DA0 2026.08.11 10</t>
  </si>
  <si>
    <t>10.38.11</t>
  </si>
  <si>
    <t>00000000F4188C90990C1D4F9592A85831DCA99307001CDFA5E3617DAF4D8529086EB3E4B6EC00000000010C00001CDFA5E3617DAF4D8529086EB3E4B6EC0000BBFEF5520000</t>
  </si>
  <si>
    <t>Hälytys - VAK1.TK1.PE1.2.HL1 2026.08.11 10</t>
  </si>
  <si>
    <t>10.17.21</t>
  </si>
  <si>
    <t>00000000F4188C90990C1D4F9592A85831DCA99307001CDFA5E3617DAF4D8529086EB3E4B6EC00000000010C00001CDFA5E3617DAF4D8529086EB3E4B6EC0000BBFEF5510000</t>
  </si>
  <si>
    <t>Hälytys - VAK1.TK1.PE1.1.HL1 2026.08.11 10</t>
  </si>
  <si>
    <t>10.17.19</t>
  </si>
  <si>
    <t>00000000F4188C90990C1D4F9592A85831DCA99307001CDFA5E3617DAF4D8529086EB3E4B6EC00000000010C00001CDFA5E3617DAF4D8529086EB3E4B6EC0000BBFEF5500000</t>
  </si>
  <si>
    <t>Hälytys - DeviceNoResponseAlarm 2026.08.11 10</t>
  </si>
  <si>
    <t>10.12.25</t>
  </si>
  <si>
    <t>00000000F4188C90990C1D4F9592A85831DCA99307001CDFA5E3617DAF4D8529086EB3E4B6EC00000000010C00001CDFA5E3617DAF4D8529086EB3E4B6EC0000BBFEF54F0000</t>
  </si>
  <si>
    <t>10.11.57</t>
  </si>
  <si>
    <t>00000000F4188C90990C1D4F9592A85831DCA99307001CDFA5E3617DAF4D8529086EB3E4B6EC00000000010C00001CDFA5E3617DAF4D8529086EB3E4B6EC0000BBFEF54E0000</t>
  </si>
  <si>
    <t>10.11.52</t>
  </si>
  <si>
    <t>00000000F4188C90990C1D4F9592A85831DCA99307001CDFA5E3617DAF4D8529086EB3E4B6EC00000000010C00001CDFA5E3617DAF4D8529086EB3E4B6EC0000BBFEF54D0000</t>
  </si>
  <si>
    <t>Hälytys - LM1.TE11.A1 2026.08.11 09</t>
  </si>
  <si>
    <t>09.59.28</t>
  </si>
  <si>
    <t>00000000F4188C90990C1D4F9592A85831DCA99307001CDFA5E3617DAF4D8529086EB3E4B6EC00000000010C00001CDFA5E3617DAF4D8529086EB3E4B6EC0000BBFEF54C0000</t>
  </si>
  <si>
    <t>09.59.22</t>
  </si>
  <si>
    <t>00000000F4188C90990C1D4F9592A85831DCA99307001CDFA5E3617DAF4D8529086EB3E4B6EC00000000010C00001CDFA5E3617DAF4D8529086EB3E4B6EC0000BBFEF54B0000</t>
  </si>
  <si>
    <t>Hälytys - DeviceNoResponseAlarm 2026.08.11 09</t>
  </si>
  <si>
    <t>09.29.19</t>
  </si>
  <si>
    <t>00000000F4188C90990C1D4F9592A85831DCA99307001CDFA5E3617DAF4D8529086EB3E4B6EC00000000010C00001CDFA5E3617DAF4D8529086EB3E4B6EC0000BBFEF54A0000</t>
  </si>
  <si>
    <t>Hälytys - DeviceNoResponseAlarm 2026.08.11 08</t>
  </si>
  <si>
    <t>08.40.32</t>
  </si>
  <si>
    <t>00000000F4188C90990C1D4F9592A85831DCA99307001CDFA5E3617DAF4D8529086EB3E4B6EC00000000010C00001CDFA5E3617DAF4D8529086EB3E4B6EC0000BBFEF5490000</t>
  </si>
  <si>
    <t>Hälytys - ID_5798719 2026.08.11 07</t>
  </si>
  <si>
    <t>07.54.16</t>
  </si>
  <si>
    <t>00000000F4188C90990C1D4F9592A85831DCA99307001CDFA5E3617DAF4D8529086EB3E4B6EC00000000010C00001CDFA5E3617DAF4D8529086EB3E4B6EC0000BBFEF5480000</t>
  </si>
  <si>
    <t>Hälytys - ID_5702262 2026.08.11 07</t>
  </si>
  <si>
    <t>07.53.00</t>
  </si>
  <si>
    <t>00000000F4188C90990C1D4F9592A85831DCA99307001CDFA5E3617DAF4D8529086EB3E4B6EC00000000010C00001CDFA5E3617DAF4D8529086EB3E4B6EC0000BBFEF5470000</t>
  </si>
  <si>
    <t>Hälytys - ID_5718927 2026.08.11 07</t>
  </si>
  <si>
    <t>07.43.52</t>
  </si>
  <si>
    <t>00000000F4188C90990C1D4F9592A85831DCA99307001CDFA5E3617DAF4D8529086EB3E4B6EC00000000010C00001CDFA5E3617DAF4D8529086EB3E4B6EC0000BBFEF5460000</t>
  </si>
  <si>
    <t>Poistunut hälytys - VAK4.MB2_WL_BaseVAK4_Alarm2.A 2026.08.11 05</t>
  </si>
  <si>
    <t>05.10.29</t>
  </si>
  <si>
    <t>00000000F4188C90990C1D4F9592A85831DCA99307001CDFA5E3617DAF4D8529086EB3E4B6EC00000000010C00001CDFA5E3617DAF4D8529086EB3E4B6EC0000BBFEF5450000</t>
  </si>
  <si>
    <t>Poistunut hälytys - VAK8.JVP_F.HÄL1.DA0 2026.08.11 04</t>
  </si>
  <si>
    <t>04.16.59</t>
  </si>
  <si>
    <t>00000000F4188C90990C1D4F9592A85831DCA99307001CDFA5E3617DAF4D8529086EB3E4B6EC00000000010C00001CDFA5E3617DAF4D8529086EB3E4B6EC0000BBFEF5440000</t>
  </si>
  <si>
    <t>Hälytys - VAK8.JVP_F.HÄL1.DA0 2026.08.11 04</t>
  </si>
  <si>
    <t>04.15.58</t>
  </si>
  <si>
    <t>00000000F4188C90990C1D4F9592A85831DCA99307001CDFA5E3617DAF4D8529086EB3E4B6EC00000000010C00001CDFA5E3617DAF4D8529086EB3E4B6EC0000BBFEF5430000</t>
  </si>
  <si>
    <t>Hälytys - VK33.VAK1.4TK1.FlowAlarm_A.A 2026.08.11 02</t>
  </si>
  <si>
    <t>02.06.06</t>
  </si>
  <si>
    <t>00000000F4188C90990C1D4F9592A85831DCA99307001CDFA5E3617DAF4D8529086EB3E4B6EC00000000010C00001CDFA5E3617DAF4D8529086EB3E4B6EC0000BBFEF5420000</t>
  </si>
  <si>
    <t>Hälytys - ID_4716145 2026.08.11 00</t>
  </si>
  <si>
    <t>00.18.27</t>
  </si>
  <si>
    <t>00000000F4188C90990C1D4F9592A85831DCA99307001CDFA5E3617DAF4D8529086EB3E4B6EC00000000010C00001CDFA5E3617DAF4D8529086EB3E4B6EC0000BBFEF5410000</t>
  </si>
  <si>
    <t>Hälytys - DeviceNoResponseAlarm 2026.08.11 00</t>
  </si>
  <si>
    <t>00.08.19</t>
  </si>
  <si>
    <t>00000000F4188C90990C1D4F9592A85831DCA99307001CDFA5E3617DAF4D8529086EB3E4B6EC00000000010C00001CDFA5E3617DAF4D8529086EB3E4B6EC0000BBFEF5400000</t>
  </si>
  <si>
    <t>Hälytys - LM1.MB3_ADDR10_FlexM__Error.A 2026.08.10 22</t>
  </si>
  <si>
    <t>2026.08.10</t>
  </si>
  <si>
    <t>22.41.47</t>
  </si>
  <si>
    <t>00000000F4188C90990C1D4F9592A85831DCA99307001CDFA5E3617DAF4D8529086EB3E4B6EC00000000010C00001CDFA5E3617DAF4D8529086EB3E4B6EC0000BBFEF53F0000</t>
  </si>
  <si>
    <t>Hälytys - VAK8.JVP_F.HÄL1.DA0 2026.08.10 22</t>
  </si>
  <si>
    <t>00000000F4188C90990C1D4F9592A85831DCA99307001CDFA5E3617DAF4D8529086EB3E4B6EC00000000010C00001CDFA5E3617DAF4D8529086EB3E4B6EC0000BBFEF53E0000</t>
  </si>
  <si>
    <t>Poistunut hälytys - VAK8.JVP_F.HÄL1.DA0 2026.08.10 22</t>
  </si>
  <si>
    <t>22.04.32</t>
  </si>
  <si>
    <t>00000000F4188C90990C1D4F9592A85831DCA99307001CDFA5E3617DAF4D8529086EB3E4B6EC00000000010C00001CDFA5E3617DAF4D8529086EB3E4B6EC0000BBFEF53D0000</t>
  </si>
  <si>
    <t>Hälytys - VAK4.MB1_ADDR6_TK3_PE01.A3 2026.08.10 22</t>
  </si>
  <si>
    <t>22.04.19</t>
  </si>
  <si>
    <t>00000000F4188C90990C1D4F9592A85831DCA99307001CDFA5E3617DAF4D8529086EB3E4B6EC00000000010C00001CDFA5E3617DAF4D8529086EB3E4B6EC0000BBFEF53C0000</t>
  </si>
  <si>
    <t>Hälytys - VAK4.MB1_ADDR5_TK2_TK2_PE01.A3 2026.08.10 21</t>
  </si>
  <si>
    <t>00000000F4188C90990C1D4F9592A85831DCA99307001CDFA5E3617DAF4D8529086EB3E4B6EC00000000010C00001CDFA5E3617DAF4D8529086EB3E4B6EC0000BBFEF53B0000</t>
  </si>
  <si>
    <t>Hälytys - VAK4.MB2_WL_BaseVAK4_Alarm2.A 2026.08.10 20</t>
  </si>
  <si>
    <t>20.43.11</t>
  </si>
  <si>
    <t>00000000F4188C90990C1D4F9592A85831DCA99307001CDFA5E3617DAF4D8529086EB3E4B6EC00000000010C00001CDFA5E3617DAF4D8529086EB3E4B6EC0000BBFEF53A0000</t>
  </si>
  <si>
    <t>Hälytys - LM1.L1.TE41_L1.A2 2026.08.10 18</t>
  </si>
  <si>
    <t>18.59.37</t>
  </si>
  <si>
    <t>00000000F4188C90990C1D4F9592A85831DCA99307001CDFA5E3617DAF4D8529086EB3E4B6EC00000000010C00001CDFA5E3617DAF4D8529086EB3E4B6EC0000BBFEF5390000</t>
  </si>
  <si>
    <t>Hälytys - VAK8.JVP_F.HÄL1.DA0 2026.08.10 18</t>
  </si>
  <si>
    <t>18.36.38</t>
  </si>
  <si>
    <t>00000000F4188C90990C1D4F9592A85831DCA99307001CDFA5E3617DAF4D8529086EB3E4B6EC00000000010C00001CDFA5E3617DAF4D8529086EB3E4B6EC0000BBFEF5380000</t>
  </si>
  <si>
    <t>Poistunut hälytys - VAK8.JVP_F.HÄL1.DA0 2026.08.10 18</t>
  </si>
  <si>
    <t>18.36.27</t>
  </si>
  <si>
    <t>00000000F4188C90990C1D4F9592A85831DCA99307001CDFA5E3617DAF4D8529086EB3E4B6EC00000000010C00001CDFA5E3617DAF4D8529086EB3E4B6EC0000BBFEF5370000</t>
  </si>
  <si>
    <t>Hälytys - VAK8.JVP_F.HÄL1.DA0 2026.08.10 16</t>
  </si>
  <si>
    <t>16.13.13</t>
  </si>
  <si>
    <t>00000000F4188C90990C1D4F9592A85831DCA99307001CDFA5E3617DAF4D8529086EB3E4B6EC00000000010C00001CDFA5E3617DAF4D8529086EB3E4B6EC0000BBFEF5360000</t>
  </si>
  <si>
    <t>Poistunut hälytys - VAK8.JVP_F.HÄL1.DA0 2026.08.10 16</t>
  </si>
  <si>
    <t>16.12.45</t>
  </si>
  <si>
    <t>00000000F4188C90990C1D4F9592A85831DCA99307001CDFA5E3617DAF4D8529086EB3E4B6EC00000000010C00001CDFA5E3617DAF4D8529086EB3E4B6EC0000BBFEF5350000</t>
  </si>
  <si>
    <t>Hälytys - DeviceNoResponseAlarm 2026.08.10 16</t>
  </si>
  <si>
    <t>16.10.19</t>
  </si>
  <si>
    <t>00000000F4188C90990C1D4F9592A85831DCA99307001CDFA5E3617DAF4D8529086EB3E4B6EC00000000010C00001CDFA5E3617DAF4D8529086EB3E4B6EC0000BBFEF5340000</t>
  </si>
  <si>
    <t>Hälytys - DeviceNoResponseAlarm 2026.08.10 14</t>
  </si>
  <si>
    <t>14.15.20</t>
  </si>
  <si>
    <t>00000000F4188C90990C1D4F9592A85831DCA99307001CDFA5E3617DAF4D8529086EB3E4B6EC00000000010C00001CDFA5E3617DAF4D8529086EB3E4B6EC0000BBFEF5330000</t>
  </si>
  <si>
    <t>Hälytys - VAK11.TK2.EM2.AL.A1 2026.08.10 14</t>
  </si>
  <si>
    <t>14.05.55</t>
  </si>
  <si>
    <t>00000000F4188C90990C1D4F9592A85831DCA99307001CDFA5E3617DAF4D8529086EB3E4B6EC00000000010C00001CDFA5E3617DAF4D8529086EB3E4B6EC0000BBFEF5320000</t>
  </si>
  <si>
    <t>Hälytys - VAK8.JVP_F.HÄL1.DA0 2026.08.10 13</t>
  </si>
  <si>
    <t>13.50.21</t>
  </si>
  <si>
    <t>00000000F4188C90990C1D4F9592A85831DCA99307001CDFA5E3617DAF4D8529086EB3E4B6EC00000000010C00001CDFA5E3617DAF4D8529086EB3E4B6EC0000BBFEF5310000</t>
  </si>
  <si>
    <t>Poistunut hälytys - VAK8.JVP_F.HÄL1.DA0 2026.08.10 13</t>
  </si>
  <si>
    <t>13.49.28</t>
  </si>
  <si>
    <t>00000000F4188C90990C1D4F9592A85831DCA99307001CDFA5E3617DAF4D8529086EB3E4B6EC00000000010C00001CDFA5E3617DAF4D8529086EB3E4B6EC0000BBFEF5300000</t>
  </si>
  <si>
    <t>Poistunut hälytys - VAK11.TK2.EM2.AL.A1 2026.08.10 13</t>
  </si>
  <si>
    <t>13.46.46</t>
  </si>
  <si>
    <t>00000000F4188C90990C1D4F9592A85831DCA99307001CDFA5E3617DAF4D8529086EB3E4B6EC00000000010C00001CDFA5E3617DAF4D8529086EB3E4B6EC0000BBFEF52F0000</t>
  </si>
  <si>
    <t>Hälytys - VAK11.TK2.EM2.AL.A1 2026.08.10 13</t>
  </si>
  <si>
    <t>13.41.08</t>
  </si>
  <si>
    <t>00000000F4188C90990C1D4F9592A85831DCA99307001CDFA5E3617DAF4D8529086EB3E4B6EC00000000010C00001CDFA5E3617DAF4D8529086EB3E4B6EC0000BBFEF52E0000</t>
  </si>
  <si>
    <t>Poistunut hälytys - VAK11.921.OVI03.Ind.A1 2026.08.10 13</t>
  </si>
  <si>
    <t>13.38.05</t>
  </si>
  <si>
    <t>00000000F4188C90990C1D4F9592A85831DCA99307001CDFA5E3617DAF4D8529086EB3E4B6EC00000000010C00001CDFA5E3617DAF4D8529086EB3E4B6EC0000BBFEF52D0000</t>
  </si>
  <si>
    <t>Hälytys - VAK11.921.OVI03.Ind.A1 2026.08.10 13</t>
  </si>
  <si>
    <t>13.35.55</t>
  </si>
  <si>
    <t>00000000F4188C90990C1D4F9592A85831DCA99307001CDFA5E3617DAF4D8529086EB3E4B6EC00000000010C00001CDFA5E3617DAF4D8529086EB3E4B6EC0000BBFEF52C0000</t>
  </si>
  <si>
    <t>Poistunut hälytys - VAK11.TK2.EM2.AL.A1 2026.08.10 12</t>
  </si>
  <si>
    <t>12.49.32</t>
  </si>
  <si>
    <t>00000000F4188C90990C1D4F9592A85831DCA99307001CDFA5E3617DAF4D8529086EB3E4B6EC00000000010C00001CDFA5E3617DAF4D8529086EB3E4B6EC0000BBFEF52B0000</t>
  </si>
  <si>
    <t>Hälytys - VAK8.JVP_F.HÄL1.DA0 2026.08.10 12</t>
  </si>
  <si>
    <t>12.46.18</t>
  </si>
  <si>
    <t>00000000F4188C90990C1D4F9592A85831DCA99307001CDFA5E3617DAF4D8529086EB3E4B6EC00000000010C00001CDFA5E3617DAF4D8529086EB3E4B6EC0000BBFEF52A0000</t>
  </si>
  <si>
    <t>Poistunut hälytys - VAK8.JVP_F.HÄL1.DA0 2026.08.10 12</t>
  </si>
  <si>
    <t>12.46.06</t>
  </si>
  <si>
    <t>00000000F4188C90990C1D4F9592A85831DCA99307001CDFA5E3617DAF4D8529086EB3E4B6EC00000000010C00001CDFA5E3617DAF4D8529086EB3E4B6EC0000BBFEF5290000</t>
  </si>
  <si>
    <t>12.45.37</t>
  </si>
  <si>
    <t>00000000F4188C90990C1D4F9592A85831DCA99307001CDFA5E3617DAF4D8529086EB3E4B6EC00000000010C00001CDFA5E3617DAF4D8529086EB3E4B6EC0000BBFEF5280000</t>
  </si>
  <si>
    <t>12.45.15</t>
  </si>
  <si>
    <t>00000000F4188C90990C1D4F9592A85831DCA99307001CDFA5E3617DAF4D8529086EB3E4B6EC00000000010C00001CDFA5E3617DAF4D8529086EB3E4B6EC0000BBFEF5270000</t>
  </si>
  <si>
    <t>Hälytys - VAK8.JVP_F.HÄL1.DA0 2026.08.10 11</t>
  </si>
  <si>
    <t>11.22.15</t>
  </si>
  <si>
    <t>00000000F4188C90990C1D4F9592A85831DCA99307001CDFA5E3617DAF4D8529086EB3E4B6EC00000000010C00001CDFA5E3617DAF4D8529086EB3E4B6EC0000BBFEF5260000</t>
  </si>
  <si>
    <t>Poistunut hälytys - VAK8.JVP_F.HÄL1.DA0 2026.08.10 11</t>
  </si>
  <si>
    <t>11.21.53</t>
  </si>
  <si>
    <t>00000000F4188C90990C1D4F9592A85831DCA99307001CDFA5E3617DAF4D8529086EB3E4B6EC00000000010C00001CDFA5E3617DAF4D8529086EB3E4B6EC0000BBFEF5250000</t>
  </si>
  <si>
    <t>Hälytys - VAK8.JVP_F.HÄL1.DA0 2026.08.10 10</t>
  </si>
  <si>
    <t>10.39.33</t>
  </si>
  <si>
    <t>00000000F4188C90990C1D4F9592A85831DCA99307001CDFA5E3617DAF4D8529086EB3E4B6EC00000000010C00001CDFA5E3617DAF4D8529086EB3E4B6EC0000BBFEF5240000</t>
  </si>
  <si>
    <t>Poistunut hälytys - VAK8.JVP_F.HÄL1.DA0 2026.08.10 10</t>
  </si>
  <si>
    <t>10.39.07</t>
  </si>
  <si>
    <t>00000000F4188C90990C1D4F9592A85831DCA99307001CDFA5E3617DAF4D8529086EB3E4B6EC00000000010C00001CDFA5E3617DAF4D8529086EB3E4B6EC0000BBFEF5230000</t>
  </si>
  <si>
    <t>Hälytys - LM1.L1.TE41_L1.A2 2026.08.10 10</t>
  </si>
  <si>
    <t>10.34.54</t>
  </si>
  <si>
    <t>00000000F4188C90990C1D4F9592A85831DCA99307001CDFA5E3617DAF4D8529086EB3E4B6EC00000000010C00001CDFA5E3617DAF4D8529086EB3E4B6EC0000BBFEF5220000</t>
  </si>
  <si>
    <t>10.07.14</t>
  </si>
  <si>
    <t>00000000F4188C90990C1D4F9592A85831DCA99307001CDFA5E3617DAF4D8529086EB3E4B6EC00000000010C00001CDFA5E3617DAF4D8529086EB3E4B6EC0000BBFEF5210000</t>
  </si>
  <si>
    <t>00000000F4188C90990C1D4F9592A85831DCA99307001CDFA5E3617DAF4D8529086EB3E4B6EC00000000010C00001CDFA5E3617DAF4D8529086EB3E4B6EC0000BBFEF5200000</t>
  </si>
  <si>
    <t>Ristiriitahälytys IV-pumppu</t>
  </si>
  <si>
    <t>Hälytys - VK33.VAK3.LammitysIV.I2.PV01-P3.A1 2026.08.10 09</t>
  </si>
  <si>
    <t>09.42.38</t>
  </si>
  <si>
    <t>00000000F4188C90990C1D4F9592A85831DCA99307001CDFA5E3617DAF4D8529086EB3E4B6EC00000000010C00001CDFA5E3617DAF4D8529086EB3E4B6EC0000BBFEF51F0000</t>
  </si>
  <si>
    <t>Hälytys - ID_5702262 2026.08.10 09</t>
  </si>
  <si>
    <t>09.39.55</t>
  </si>
  <si>
    <t>00000000F4188C90990C1D4F9592A85831DCA99307001CDFA5E3617DAF4D8529086EB3E4B6EC00000000010C00001CDFA5E3617DAF4D8529086EB3E4B6EC0000BBFEF51E0000</t>
  </si>
  <si>
    <t>Hälytys - VAK11.TK2.EM2.AL.A1 2026.08.10 09</t>
  </si>
  <si>
    <t>09.37.26</t>
  </si>
  <si>
    <t>00000000F4188C90990C1D4F9592A85831DCA99307001CDFA5E3617DAF4D8529086EB3E4B6EC00000000010C00001CDFA5E3617DAF4D8529086EB3E4B6EC0000BBFEF51D0000</t>
  </si>
  <si>
    <t>Poistunut hälytys - VAK11.TK2.EM2.AL.A1 2026.08.10 09</t>
  </si>
  <si>
    <t>09.35.32</t>
  </si>
  <si>
    <t>00000000F4188C90990C1D4F9592A85831DCA99307001CDFA5E3617DAF4D8529086EB3E4B6EC00000000010C00001CDFA5E3617DAF4D8529086EB3E4B6EC0000BBFEF51C0000</t>
  </si>
  <si>
    <t>09.35.15</t>
  </si>
  <si>
    <t>00000000F4188C90990C1D4F9592A85831DCA99307001CDFA5E3617DAF4D8529086EB3E4B6EC00000000010C00001CDFA5E3617DAF4D8529086EB3E4B6EC0000BBFEF51B0000</t>
  </si>
  <si>
    <t>09.35.24</t>
  </si>
  <si>
    <t>00000000F4188C90990C1D4F9592A85831DCA99307001CDFA5E3617DAF4D8529086EB3E4B6EC00000000010C00001CDFA5E3617DAF4D8529086EB3E4B6EC0000BBFEF51A0000</t>
  </si>
  <si>
    <t>Hälytys - VK33.VAK3.LammitysIV.I2.PV01-P3.A1 2026.08.10 08</t>
  </si>
  <si>
    <t>08.59.03</t>
  </si>
  <si>
    <t>00000000F4188C90990C1D4F9592A85831DCA99307001CDFA5E3617DAF4D8529086EB3E4B6EC00000000010C00001CDFA5E3617DAF4D8529086EB3E4B6EC0000BBFEF5190000</t>
  </si>
  <si>
    <t>Hälytys - LM1.L1.PE01.A1 2026.08.10 08</t>
  </si>
  <si>
    <t>08.36.01</t>
  </si>
  <si>
    <t>00000000F4188C90990C1D4F9592A85831DCA99307001CDFA5E3617DAF4D8529086EB3E4B6EC00000000010C00001CDFA5E3617DAF4D8529086EB3E4B6EC0000BBFEF5180000</t>
  </si>
  <si>
    <t>Hälytys - VAK8.JVP_F.HÄL1.DA0 2026.08.10 08</t>
  </si>
  <si>
    <t>08.23.02</t>
  </si>
  <si>
    <t>00000000F4188C90990C1D4F9592A85831DCA99307001CDFA5E3617DAF4D8529086EB3E4B6EC00000000010C00001CDFA5E3617DAF4D8529086EB3E4B6EC0000BBFEF5170000</t>
  </si>
  <si>
    <t>Poistunut hälytys - VAK8.JVP_F.HÄL1.DA0 2026.08.10 08</t>
  </si>
  <si>
    <t>08.22.32</t>
  </si>
  <si>
    <t>00000000F4188C90990C1D4F9592A85831DCA99307001CDFA5E3617DAF4D8529086EB3E4B6EC00000000010C00001CDFA5E3617DAF4D8529086EB3E4B6EC0000BBFEF5160000</t>
  </si>
  <si>
    <t>Alarm - LM1.L1.A1 2026.08.10 08</t>
  </si>
  <si>
    <t>08.12.29</t>
  </si>
  <si>
    <t>00000000F4188C90990C1D4F9592A85831DCA99307001CDFA5E3617DAF4D8529086EB3E4B6EC00000000010C00001CDFA5E3617DAF4D8529086EB3E4B6EC0000BBFEF5150000</t>
  </si>
  <si>
    <t>Poistunut hälytys - VAK4.MB2_WL_BaseVAK4_Alarm2.A 2026.08.10 05</t>
  </si>
  <si>
    <t>05.10.30</t>
  </si>
  <si>
    <t>00000000F4188C90990C1D4F9592A85831DCA99307001CDFA5E3617DAF4D8529086EB3E4B6EC00000000010C00001CDFA5E3617DAF4D8529086EB3E4B6EC0000BBFEF5140000</t>
  </si>
  <si>
    <t>Hälytys - VK33.VAK1.4TK1.FlowAlarm_A.A 2026.08.10 02</t>
  </si>
  <si>
    <t>02.03.26</t>
  </si>
  <si>
    <t>00000000F4188C90990C1D4F9592A85831DCA99307001CDFA5E3617DAF4D8529086EB3E4B6EC00000000010C00001CDFA5E3617DAF4D8529086EB3E4B6EC0000BBFEF5130000</t>
  </si>
  <si>
    <t>Hälytys - VAK8.JVP_F.HÄL1.DA0 2026.08.09 23</t>
  </si>
  <si>
    <t>2026.08.09</t>
  </si>
  <si>
    <t>23.41.59</t>
  </si>
  <si>
    <t>00000000F4188C90990C1D4F9592A85831DCA99307001CDFA5E3617DAF4D8529086EB3E4B6EC00000000010C00001CDFA5E3617DAF4D8529086EB3E4B6EC0000BBF3BF220000</t>
  </si>
  <si>
    <t>Poistunut hälytys - VAK8.JVP_F.HÄL1.DA0 2026.08.09 23</t>
  </si>
  <si>
    <t>23.41.36</t>
  </si>
  <si>
    <t>00000000F4188C90990C1D4F9592A85831DCA99307001CDFA5E3617DAF4D8529086EB3E4B6EC00000000010C00001CDFA5E3617DAF4D8529086EB3E4B6EC0000BBF3BF210000</t>
  </si>
  <si>
    <t>Hälytys - DeviceNoResponseAlarm 2026.08.09 22</t>
  </si>
  <si>
    <t>22.39.38</t>
  </si>
  <si>
    <t>00000000F4188C90990C1D4F9592A85831DCA99307001CDFA5E3617DAF4D8529086EB3E4B6EC00000000010C00001CDFA5E3617DAF4D8529086EB3E4B6EC0000BAA41F950000</t>
  </si>
  <si>
    <t>Hälytys - VK33.VAK2.MBTCP_ADDR192_168_1_13_VAK3__Error.A 2026.08.09 22</t>
  </si>
  <si>
    <t>22.29.27</t>
  </si>
  <si>
    <t>00000000F4188C90990C1D4F9592A85831DCA99307001CDFA5E3617DAF4D8529086EB3E4B6EC00000000010C00001CDFA5E3617DAF4D8529086EB3E4B6EC0000BAA41F940000</t>
  </si>
  <si>
    <t>Hälytys - VK33.VAK1.MBTCP_ADDR192_168_1_13_VAK3__Error.A 2026.08.09 22</t>
  </si>
  <si>
    <t>22.29.28</t>
  </si>
  <si>
    <t>00000000F4188C90990C1D4F9592A85831DCA99307001CDFA5E3617DAF4D8529086EB3E4B6EC00000000010C00001CDFA5E3617DAF4D8529086EB3E4B6EC0000BAA41F930000</t>
  </si>
  <si>
    <t>Hälytys - VAK4.MB1_ADDR6_TK3_PE01.A3 2026.08.09 22</t>
  </si>
  <si>
    <t>22.09.35</t>
  </si>
  <si>
    <t>00000000F4188C90990C1D4F9592A85831DCA99307001CDFA5E3617DAF4D8529086EB3E4B6EC00000000010C00001CDFA5E3617DAF4D8529086EB3E4B6EC0000BAA41F920000</t>
  </si>
  <si>
    <t>Hälytys - VAK4.MB1_ADDR5_TK2_TK2_PE01.A3 2026.08.09 21</t>
  </si>
  <si>
    <t>21.03.07</t>
  </si>
  <si>
    <t>00000000F4188C90990C1D4F9592A85831DCA99307001CDFA5E3617DAF4D8529086EB3E4B6EC00000000010C00001CDFA5E3617DAF4D8529086EB3E4B6EC0000BAA41F910000</t>
  </si>
  <si>
    <t>Hälytys - VAK8.JVP_F.HÄL1.DA0 2026.08.09 19</t>
  </si>
  <si>
    <t>19.15.28</t>
  </si>
  <si>
    <t>00000000F4188C90990C1D4F9592A85831DCA99307001CDFA5E3617DAF4D8529086EB3E4B6EC00000000010C00001CDFA5E3617DAF4D8529086EB3E4B6EC0000BAA41F900000</t>
  </si>
  <si>
    <t>Poistunut hälytys - VAK8.JVP_F.HÄL1.DA0 2026.08.09 19</t>
  </si>
  <si>
    <t>19.14.59</t>
  </si>
  <si>
    <t>00000000F4188C90990C1D4F9592A85831DCA99307001CDFA5E3617DAF4D8529086EB3E4B6EC00000000010C00001CDFA5E3617DAF4D8529086EB3E4B6EC0000BAA41F8F0000</t>
  </si>
  <si>
    <t>Hälytys - LM1.MB3_ADDR10_FlexM__Error.A 2026.08.09 18</t>
  </si>
  <si>
    <t>18.39.32</t>
  </si>
  <si>
    <t>00000000F4188C90990C1D4F9592A85831DCA99307001CDFA5E3617DAF4D8529086EB3E4B6EC00000000010C00001CDFA5E3617DAF4D8529086EB3E4B6EC0000BAA41F8E0000</t>
  </si>
  <si>
    <t>Hälytys - LM1.L1.TE41_L1.A2 2026.08.09 18</t>
  </si>
  <si>
    <t>18.28.07</t>
  </si>
  <si>
    <t>00000000F4188C90990C1D4F9592A85831DCA99307001CDFA5E3617DAF4D8529086EB3E4B6EC00000000010C00001CDFA5E3617DAF4D8529086EB3E4B6EC0000BAA41F8D0000</t>
  </si>
  <si>
    <t>Hälytys - VAK8.JVP_F.HÄL1.DA0 2026.08.09 18</t>
  </si>
  <si>
    <t>18.04.39</t>
  </si>
  <si>
    <t>00000000F4188C90990C1D4F9592A85831DCA99307001CDFA5E3617DAF4D8529086EB3E4B6EC00000000010C00001CDFA5E3617DAF4D8529086EB3E4B6EC0000BAA41F8C0000</t>
  </si>
  <si>
    <t>Poistunut hälytys - VAK8.JVP_F.HÄL1.DA0 2026.08.09 18</t>
  </si>
  <si>
    <t>18.04.11</t>
  </si>
  <si>
    <t>00000000F4188C90990C1D4F9592A85831DCA99307001CDFA5E3617DAF4D8529086EB3E4B6EC00000000010C00001CDFA5E3617DAF4D8529086EB3E4B6EC0000BAA41F8B0000</t>
  </si>
  <si>
    <t>Hälytys - VAK8.JVP_F.HÄL1.DA0 2026.08.09 17</t>
  </si>
  <si>
    <t>17.12.11</t>
  </si>
  <si>
    <t>00000000F4188C90990C1D4F9592A85831DCA99307001CDFA5E3617DAF4D8529086EB3E4B6EC00000000010C00001CDFA5E3617DAF4D8529086EB3E4B6EC0000BAA41F8A0000</t>
  </si>
  <si>
    <t>Poistunut hälytys - VAK8.JVP_F.HÄL1.DA0 2026.08.09 17</t>
  </si>
  <si>
    <t>17.11.44</t>
  </si>
  <si>
    <t>00000000F4188C90990C1D4F9592A85831DCA99307001CDFA5E3617DAF4D8529086EB3E4B6EC00000000010C00001CDFA5E3617DAF4D8529086EB3E4B6EC0000BAA41F890000</t>
  </si>
  <si>
    <t>Hälytys - LM1.MB3_ADDR10_FlexM__Error.A 2026.08.09 16</t>
  </si>
  <si>
    <t>16.39.37</t>
  </si>
  <si>
    <t>00000000F4188C90990C1D4F9592A85831DCA99307001CDFA5E3617DAF4D8529086EB3E4B6EC00000000010C00001CDFA5E3617DAF4D8529086EB3E4B6EC0000BAA41F880000</t>
  </si>
  <si>
    <t>Hälytys - LM1.MB3_ADDR10_FlexM__Error.A 2026.08.09 14</t>
  </si>
  <si>
    <t>14.59.21</t>
  </si>
  <si>
    <t>00000000F4188C90990C1D4F9592A85831DCA99307001CDFA5E3617DAF4D8529086EB3E4B6EC00000000010C00001CDFA5E3617DAF4D8529086EB3E4B6EC0000BAA41F870000</t>
  </si>
  <si>
    <t>Hälytys - VAK8.JVP_F.HÄL1.DA0 2026.08.09 14</t>
  </si>
  <si>
    <t>14.52.52</t>
  </si>
  <si>
    <t>00000000F4188C90990C1D4F9592A85831DCA99307001CDFA5E3617DAF4D8529086EB3E4B6EC00000000010C00001CDFA5E3617DAF4D8529086EB3E4B6EC0000BAA41F860000</t>
  </si>
  <si>
    <t>Poistunut hälytys - VAK8.JVP_F.HÄL1.DA0 2026.08.09 14</t>
  </si>
  <si>
    <t>14.52.24</t>
  </si>
  <si>
    <t>00000000F4188C90990C1D4F9592A85831DCA99307001CDFA5E3617DAF4D8529086EB3E4B6EC00000000010C00001CDFA5E3617DAF4D8529086EB3E4B6EC0000BAA41F850000</t>
  </si>
  <si>
    <t>Hälytys - LM1.MB3_ADDR10_FlexM__Error.A 2026.08.09 13</t>
  </si>
  <si>
    <t>13.11.04</t>
  </si>
  <si>
    <t>00000000F4188C90990C1D4F9592A85831DCA99307001CDFA5E3617DAF4D8529086EB3E4B6EC00000000010C00001CDFA5E3617DAF4D8529086EB3E4B6EC0000BAA41F840000</t>
  </si>
  <si>
    <t>Hälytys - VAK8.JVP_F.HÄL1.DA0 2026.08.09 12</t>
  </si>
  <si>
    <t>12.46.55</t>
  </si>
  <si>
    <t>00000000F4188C90990C1D4F9592A85831DCA99307001CDFA5E3617DAF4D8529086EB3E4B6EC00000000010C00001CDFA5E3617DAF4D8529086EB3E4B6EC0000BAA41F830000</t>
  </si>
  <si>
    <t>Poistunut hälytys - VAK8.JVP_F.HÄL1.DA0 2026.08.09 12</t>
  </si>
  <si>
    <t>12.46.31</t>
  </si>
  <si>
    <t>00000000F4188C90990C1D4F9592A85831DCA99307001CDFA5E3617DAF4D8529086EB3E4B6EC00000000010C00001CDFA5E3617DAF4D8529086EB3E4B6EC0000BAA41F820000</t>
  </si>
  <si>
    <t>Hälytys - VAK8.JVP_F.HÄL1.DA0 2026.08.09 11</t>
  </si>
  <si>
    <t>11.52.39</t>
  </si>
  <si>
    <t>00000000F4188C90990C1D4F9592A85831DCA99307001CDFA5E3617DAF4D8529086EB3E4B6EC00000000010C00001CDFA5E3617DAF4D8529086EB3E4B6EC0000BAA41F810000</t>
  </si>
  <si>
    <t>Poistunut hälytys - VAK8.JVP_F.HÄL1.DA0 2026.08.09 11</t>
  </si>
  <si>
    <t>11.52.13</t>
  </si>
  <si>
    <t>00000000F4188C90990C1D4F9592A85831DCA99307001CDFA5E3617DAF4D8529086EB3E4B6EC00000000010C00001CDFA5E3617DAF4D8529086EB3E4B6EC0000BAA41F800000</t>
  </si>
  <si>
    <t>Hälytys - LM1.MB3_ADDR10_FlexM__Error.A 2026.08.09 10</t>
  </si>
  <si>
    <t>10.45.32</t>
  </si>
  <si>
    <t>00000000F4188C90990C1D4F9592A85831DCA99307001CDFA5E3617DAF4D8529086EB3E4B6EC00000000010C00001CDFA5E3617DAF4D8529086EB3E4B6EC0000BAA41F7F0000</t>
  </si>
  <si>
    <t>Hälytys - VAK8.JVP_F.HÄL1.DA0 2026.08.09 08</t>
  </si>
  <si>
    <t>08.55.49</t>
  </si>
  <si>
    <t>00000000F4188C90990C1D4F9592A85831DCA99307001CDFA5E3617DAF4D8529086EB3E4B6EC00000000010C00001CDFA5E3617DAF4D8529086EB3E4B6EC0000BAA41F7E0000</t>
  </si>
  <si>
    <t>Poistunut hälytys - VAK8.JVP_F.HÄL1.DA0 2026.08.09 08</t>
  </si>
  <si>
    <t>08.55.22</t>
  </si>
  <si>
    <t>00000000F4188C90990C1D4F9592A85831DCA99307001CDFA5E3617DAF4D8529086EB3E4B6EC00000000010C00001CDFA5E3617DAF4D8529086EB3E4B6EC0000BAA41F7D0000</t>
  </si>
  <si>
    <t>Poistunut hälytys - VAK10.TK94.PF01.NOP.IND.A1 2026.08.09 08</t>
  </si>
  <si>
    <t>08.24.33</t>
  </si>
  <si>
    <t>00000000F4188C90990C1D4F9592A85831DCA99307001CDFA5E3617DAF4D8529086EB3E4B6EC00000000010C00001CDFA5E3617DAF4D8529086EB3E4B6EC0000BAA41F7C0000</t>
  </si>
  <si>
    <t>Hälytys - VAK10.TK94.PF01.NOP.IND.A1 2026.08.09 08</t>
  </si>
  <si>
    <t>08.24.21</t>
  </si>
  <si>
    <t>00000000F4188C90990C1D4F9592A85831DCA99307001CDFA5E3617DAF4D8529086EB3E4B6EC00000000010C00001CDFA5E3617DAF4D8529086EB3E4B6EC0000BAA41F7B0000</t>
  </si>
  <si>
    <t>Hälytys - VAK8.JVP_F.HÄL1.DA0 2026.08.09 04</t>
  </si>
  <si>
    <t>04.37.22</t>
  </si>
  <si>
    <t>00000000F4188C90990C1D4F9592A85831DCA99307001CDFA5E3617DAF4D8529086EB3E4B6EC00000000010C00001CDFA5E3617DAF4D8529086EB3E4B6EC0000BAA41F7A0000</t>
  </si>
  <si>
    <t>Poistunut hälytys - VAK8.JVP_F.HÄL1.DA0 2026.08.09 04</t>
  </si>
  <si>
    <t>04.36.55</t>
  </si>
  <si>
    <t>00000000F4188C90990C1D4F9592A85831DCA99307001CDFA5E3617DAF4D8529086EB3E4B6EC00000000010C00001CDFA5E3617DAF4D8529086EB3E4B6EC0000BAA41F790000</t>
  </si>
  <si>
    <t>Hälytys - KK31.VAK1_1.13TK1.13PDE2.LL1 2026.08.09 03</t>
  </si>
  <si>
    <t>03.21.14</t>
  </si>
  <si>
    <t>00000000F4188C90990C1D4F9592A85831DCA99307001CDFA5E3617DAF4D8529086EB3E4B6EC00000000010C00001CDFA5E3617DAF4D8529086EB3E4B6EC0000BAA41F780000</t>
  </si>
  <si>
    <t>Hälytys - VK33.VAK1.4TK1.FlowAlarm_A.A 2026.08.09 02</t>
  </si>
  <si>
    <t>02.04.21</t>
  </si>
  <si>
    <t>00000000F4188C90990C1D4F9592A85831DCA99307001CDFA5E3617DAF4D8529086EB3E4B6EC00000000010C00001CDFA5E3617DAF4D8529086EB3E4B6EC0000BAA41F770000</t>
  </si>
  <si>
    <t>Hälytys - VAK8.JVP_F.HÄL1.DA0 2026.08.09 01</t>
  </si>
  <si>
    <t>01.04.28</t>
  </si>
  <si>
    <t>00000000F4188C90990C1D4F9592A85831DCA99307001CDFA5E3617DAF4D8529086EB3E4B6EC00000000010C00001CDFA5E3617DAF4D8529086EB3E4B6EC0000BAA41F760000</t>
  </si>
  <si>
    <t>Poistunut hälytys - VAK8.JVP_F.HÄL1.DA0 2026.08.09 01</t>
  </si>
  <si>
    <t>01.04.01</t>
  </si>
  <si>
    <t>00000000F4188C90990C1D4F9592A85831DCA99307001CDFA5E3617DAF4D8529086EB3E4B6EC00000000010C00001CDFA5E3617DAF4D8529086EB3E4B6EC0000BAA41F750000</t>
  </si>
  <si>
    <t>Hälytys - VAK4.MB1_ADDR6_TK3_PE01.A3 2026.08.08 22</t>
  </si>
  <si>
    <t>2026.08.08</t>
  </si>
  <si>
    <t>22.04.40</t>
  </si>
  <si>
    <t>00000000F4188C90990C1D4F9592A85831DCA99307001CDFA5E3617DAF4D8529086EB3E4B6EC00000000010C00001CDFA5E3617DAF4D8529086EB3E4B6EC0000BAA41F740000</t>
  </si>
  <si>
    <t>Hälytys - VAK4.MB1_ADDR5_TK2_TK2_PE01.A3 2026.08.08 21</t>
  </si>
  <si>
    <t>21.02.24</t>
  </si>
  <si>
    <t>00000000F4188C90990C1D4F9592A85831DCA99307001CDFA5E3617DAF4D8529086EB3E4B6EC00000000010C00001CDFA5E3617DAF4D8529086EB3E4B6EC0000BAA41F730000</t>
  </si>
  <si>
    <t>Hälytys - VAK4.MB2_WL_BaseVAK4_Alarm2.A 2026.08.08 20</t>
  </si>
  <si>
    <t>00000000F4188C90990C1D4F9592A85831DCA99307001CDFA5E3617DAF4D8529086EB3E4B6EC00000000010C00001CDFA5E3617DAF4D8529086EB3E4B6EC0000BAA41F720000</t>
  </si>
  <si>
    <t>Hälytys - LM1.MB3_ADDR10_FlexM__Error.A 2026.08.08 20</t>
  </si>
  <si>
    <t>20.24.54</t>
  </si>
  <si>
    <t>00000000F4188C90990C1D4F9592A85831DCA99307001CDFA5E3617DAF4D8529086EB3E4B6EC00000000010C00001CDFA5E3617DAF4D8529086EB3E4B6EC0000BAA41F710000</t>
  </si>
  <si>
    <t>Hälytys - VAK8.JVP_F.HÄL1.DA0 2026.08.08 19</t>
  </si>
  <si>
    <t>19.29.09</t>
  </si>
  <si>
    <t>00000000F4188C90990C1D4F9592A85831DCA99307001CDFA5E3617DAF4D8529086EB3E4B6EC00000000010C00001CDFA5E3617DAF4D8529086EB3E4B6EC0000BAA41F700000</t>
  </si>
  <si>
    <t>Poistunut hälytys - VAK8.JVP_F.HÄL1.DA0 2026.08.08 19</t>
  </si>
  <si>
    <t>19.28.40</t>
  </si>
  <si>
    <t>00000000F4188C90990C1D4F9592A85831DCA99307001CDFA5E3617DAF4D8529086EB3E4B6EC00000000010C00001CDFA5E3617DAF4D8529086EB3E4B6EC0000BAA41F6F0000</t>
  </si>
  <si>
    <t>Hälytys - VAK8.JVP_F.HÄL1.DA0 2026.08.08 17</t>
  </si>
  <si>
    <t>17.08.56</t>
  </si>
  <si>
    <t>00000000F4188C90990C1D4F9592A85831DCA99307001CDFA5E3617DAF4D8529086EB3E4B6EC00000000010C00001CDFA5E3617DAF4D8529086EB3E4B6EC0000BAA41F6E0000</t>
  </si>
  <si>
    <t>Poistunut hälytys - VAK8.JVP_F.HÄL1.DA0 2026.08.08 17</t>
  </si>
  <si>
    <t>17.08.32</t>
  </si>
  <si>
    <t>00000000F4188C90990C1D4F9592A85831DCA99307001CDFA5E3617DAF4D8529086EB3E4B6EC00000000010C00001CDFA5E3617DAF4D8529086EB3E4B6EC0000BAA41F6D0000</t>
  </si>
  <si>
    <t>Hälytys - VAK8.JVP_F.HÄL1.DA0 2026.08.08 14</t>
  </si>
  <si>
    <t>14.11.32</t>
  </si>
  <si>
    <t>00000000F4188C90990C1D4F9592A85831DCA99307001CDFA5E3617DAF4D8529086EB3E4B6EC00000000010C00001CDFA5E3617DAF4D8529086EB3E4B6EC0000BAA41F6C0000</t>
  </si>
  <si>
    <t>Poistunut hälytys - VAK8.JVP_F.HÄL1.DA0 2026.08.08 14</t>
  </si>
  <si>
    <t>14.11.07</t>
  </si>
  <si>
    <t>00000000F4188C90990C1D4F9592A85831DCA99307001CDFA5E3617DAF4D8529086EB3E4B6EC00000000010C00001CDFA5E3617DAF4D8529086EB3E4B6EC0000BAA41F6B0000</t>
  </si>
  <si>
    <t>Hälytys - ID_5702262 2026.08.08 12</t>
  </si>
  <si>
    <t>00000000F4188C90990C1D4F9592A85831DCA99307001CDFA5E3617DAF4D8529086EB3E4B6EC00000000010C00001CDFA5E3617DAF4D8529086EB3E4B6EC0000BAA41F6A0000</t>
  </si>
  <si>
    <t>Hälytys - VAK8.JVP_F.HÄL1.DA0 2026.08.08 12</t>
  </si>
  <si>
    <t>12.02.08</t>
  </si>
  <si>
    <t>00000000F4188C90990C1D4F9592A85831DCA99307001CDFA5E3617DAF4D8529086EB3E4B6EC00000000010C00001CDFA5E3617DAF4D8529086EB3E4B6EC0000BAA41F690000</t>
  </si>
  <si>
    <t>Poistunut hälytys - VAK8.JVP_F.HÄL1.DA0 2026.08.08 12</t>
  </si>
  <si>
    <t>12.01.42</t>
  </si>
  <si>
    <t>00000000F4188C90990C1D4F9592A85831DCA99307001CDFA5E3617DAF4D8529086EB3E4B6EC00000000010C00001CDFA5E3617DAF4D8529086EB3E4B6EC0000BAA41F680000</t>
  </si>
  <si>
    <t>Hälytys - VAK8.JVP_F.HÄL1.DA0 2026.08.08 11</t>
  </si>
  <si>
    <t>11.31.23</t>
  </si>
  <si>
    <t>00000000F4188C90990C1D4F9592A85831DCA99307001CDFA5E3617DAF4D8529086EB3E4B6EC00000000010C00001CDFA5E3617DAF4D8529086EB3E4B6EC0000BAA41F670000</t>
  </si>
  <si>
    <t>Poistunut hälytys - VAK8.JVP_F.HÄL1.DA0 2026.08.08 11</t>
  </si>
  <si>
    <t>11.30.56</t>
  </si>
  <si>
    <t>00000000F4188C90990C1D4F9592A85831DCA99307001CDFA5E3617DAF4D8529086EB3E4B6EC00000000010C00001CDFA5E3617DAF4D8529086EB3E4B6EC0000BAA41F660000</t>
  </si>
  <si>
    <t>Paloilmoitin palohälytys</t>
  </si>
  <si>
    <t>Hälytys - VK33.VAK1.I1.PALO.DA0 2026.08.08 07</t>
  </si>
  <si>
    <t>07.37.53</t>
  </si>
  <si>
    <t>00000000F4188C90990C1D4F9592A85831DCA99307001CDFA5E3617DAF4D8529086EB3E4B6EC00000000010C00001CDFA5E3617DAF4D8529086EB3E4B6EC0000BAA41F650000</t>
  </si>
  <si>
    <t>Hälytys - VAK8.JVP_F.HÄL1.DA0 2026.08.08 07</t>
  </si>
  <si>
    <t>07.28.52</t>
  </si>
  <si>
    <t>00000000F4188C90990C1D4F9592A85831DCA99307001CDFA5E3617DAF4D8529086EB3E4B6EC00000000010C00001CDFA5E3617DAF4D8529086EB3E4B6EC0000BAA41F640000</t>
  </si>
  <si>
    <t>Poistunut hälytys - VAK8.JVP_F.HÄL1.DA0 2026.08.08 07</t>
  </si>
  <si>
    <t>00000000F4188C90990C1D4F9592A85831DCA99307001CDFA5E3617DAF4D8529086EB3E4B6EC00000000010C00001CDFA5E3617DAF4D8529086EB3E4B6EC0000BAA41F630000</t>
  </si>
  <si>
    <t>Poistunut hälytys - VAK4.MB2_WL_BaseVAK4_Alarm2.A 2026.08.08 05</t>
  </si>
  <si>
    <t>00000000F4188C90990C1D4F9592A85831DCA99307001CDFA5E3617DAF4D8529086EB3E4B6EC00000000010C00001CDFA5E3617DAF4D8529086EB3E4B6EC0000BAA41F620000</t>
  </si>
  <si>
    <t>Hälytys - VAK8.JVP_F.HÄL1.DA0 2026.08.08 03</t>
  </si>
  <si>
    <t>03.58.12</t>
  </si>
  <si>
    <t>00000000F4188C90990C1D4F9592A85831DCA99307001CDFA5E3617DAF4D8529086EB3E4B6EC00000000010C00001CDFA5E3617DAF4D8529086EB3E4B6EC0000BAA41F610000</t>
  </si>
  <si>
    <t>Poistunut hälytys - VAK8.JVP_F.HÄL1.DA0 2026.08.08 03</t>
  </si>
  <si>
    <t>03.57.50</t>
  </si>
  <si>
    <t>00000000F4188C90990C1D4F9592A85831DCA99307001CDFA5E3617DAF4D8529086EB3E4B6EC00000000010C00001CDFA5E3617DAF4D8529086EB3E4B6EC0000BAA41F600000</t>
  </si>
  <si>
    <t>Hälytys - VK33.VAK1.I1.PALO.DA0 2026.08.08 02</t>
  </si>
  <si>
    <t>02.18.31</t>
  </si>
  <si>
    <t>00000000F4188C90990C1D4F9592A85831DCA99307001CDFA5E3617DAF4D8529086EB3E4B6EC00000000010C00001CDFA5E3617DAF4D8529086EB3E4B6EC0000BAA41F5F0000</t>
  </si>
  <si>
    <t>Hälytys - VAK8.JVP_F.HÄL1.DA0 2026.08.08 00</t>
  </si>
  <si>
    <t>00.05.16</t>
  </si>
  <si>
    <t>00000000F4188C90990C1D4F9592A85831DCA99307001CDFA5E3617DAF4D8529086EB3E4B6EC00000000010C00001CDFA5E3617DAF4D8529086EB3E4B6EC0000BAA41F5E0000</t>
  </si>
  <si>
    <t>Poistunut hälytys - VAK8.JVP_F.HÄL1.DA0 2026.08.08 00</t>
  </si>
  <si>
    <t>00.04.54</t>
  </si>
  <si>
    <t>00000000F4188C90990C1D4F9592A85831DCA99307001CDFA5E3617DAF4D8529086EB3E4B6EC00000000010C00001CDFA5E3617DAF4D8529086EB3E4B6EC0000BAA41F5D0000</t>
  </si>
  <si>
    <t>Hälytys - VAK4.MB1_ADDR6_TK3_PE01.A3 2026.08.07 22</t>
  </si>
  <si>
    <t>2026.08.07</t>
  </si>
  <si>
    <t>22.04.36</t>
  </si>
  <si>
    <t>00000000F4188C90990C1D4F9592A85831DCA99307001CDFA5E3617DAF4D8529086EB3E4B6EC00000000010C00001CDFA5E3617DAF4D8529086EB3E4B6EC0000B9FA37870000</t>
  </si>
  <si>
    <t>Hälytys - VAK4.MB1_ADDR5_TK2_TK2_PE01.A3 2026.08.07 21</t>
  </si>
  <si>
    <t>21.02.40</t>
  </si>
  <si>
    <t>00000000F4188C90990C1D4F9592A85831DCA99307001CDFA5E3617DAF4D8529086EB3E4B6EC00000000010C00001CDFA5E3617DAF4D8529086EB3E4B6EC0000B9FA37860000</t>
  </si>
  <si>
    <t>Hälytys - VAK4.MB2_WL_BaseVAK4_Alarm2.A 2026.08.07 20</t>
  </si>
  <si>
    <t>00000000F4188C90990C1D4F9592A85831DCA99307001CDFA5E3617DAF4D8529086EB3E4B6EC00000000010C00001CDFA5E3617DAF4D8529086EB3E4B6EC0000B9FA37850000</t>
  </si>
  <si>
    <t>Hälytys - VAK8.JVP_F.HÄL1.DA0 2026.08.07 19</t>
  </si>
  <si>
    <t>19.18.03</t>
  </si>
  <si>
    <t>00000000F4188C90990C1D4F9592A85831DCA99307001CDFA5E3617DAF4D8529086EB3E4B6EC00000000010C00001CDFA5E3617DAF4D8529086EB3E4B6EC0000B9FA37840000</t>
  </si>
  <si>
    <t>Poistunut hälytys - VAK8.JVP_F.HÄL1.DA0 2026.08.07 19</t>
  </si>
  <si>
    <t>19.17.37</t>
  </si>
  <si>
    <t>00000000F4188C90990C1D4F9592A85831DCA99307001CDFA5E3617DAF4D8529086EB3E4B6EC00000000010C00001CDFA5E3617DAF4D8529086EB3E4B6EC0000B9FA37830000</t>
  </si>
  <si>
    <t>Hälytys - LM1.MB3_ADDR10_FlexM__Error.A 2026.08.07 18</t>
  </si>
  <si>
    <t>18.17.56</t>
  </si>
  <si>
    <t>00000000F4188C90990C1D4F9592A85831DCA99307001CDFA5E3617DAF4D8529086EB3E4B6EC00000000010C00001CDFA5E3617DAF4D8529086EB3E4B6EC0000B9FA37820000</t>
  </si>
  <si>
    <t>Hälytys - VAK8.JVP_F.HÄL1.DA0 2026.08.07 18</t>
  </si>
  <si>
    <t>18.00.56</t>
  </si>
  <si>
    <t>00000000F4188C90990C1D4F9592A85831DCA99307001CDFA5E3617DAF4D8529086EB3E4B6EC00000000010C00001CDFA5E3617DAF4D8529086EB3E4B6EC0000B9FA37810000</t>
  </si>
  <si>
    <t>Poistunut hälytys - VAK8.JVP_F.HÄL1.DA0 2026.08.07 18</t>
  </si>
  <si>
    <t>18.00.36</t>
  </si>
  <si>
    <t>00000000F4188C90990C1D4F9592A85831DCA99307001CDFA5E3617DAF4D8529086EB3E4B6EC00000000010C00001CDFA5E3617DAF4D8529086EB3E4B6EC0000B9FA37800000</t>
  </si>
  <si>
    <t>Hälytys - VAK8.JVP_F.HÄL1.DA0 2026.08.07 16</t>
  </si>
  <si>
    <t>16.03.25</t>
  </si>
  <si>
    <t>00000000F4188C90990C1D4F9592A85831DCA99307001CDFA5E3617DAF4D8529086EB3E4B6EC00000000010C00001CDFA5E3617DAF4D8529086EB3E4B6EC0000B9FA377F0000</t>
  </si>
  <si>
    <t>Poistunut hälytys - VAK8.JVP_F.HÄL1.DA0 2026.08.07 16</t>
  </si>
  <si>
    <t>16.03.01</t>
  </si>
  <si>
    <t>00000000F4188C90990C1D4F9592A85831DCA99307001CDFA5E3617DAF4D8529086EB3E4B6EC00000000010C00001CDFA5E3617DAF4D8529086EB3E4B6EC0000B9FA377E0000</t>
  </si>
  <si>
    <t>Hälytys - LM1.L1.TE41_L1.A2 2026.08.07 15</t>
  </si>
  <si>
    <t>00000000F4188C90990C1D4F9592A85831DCA99307001CDFA5E3617DAF4D8529086EB3E4B6EC00000000010C00001CDFA5E3617DAF4D8529086EB3E4B6EC0000B9FA377D0000</t>
  </si>
  <si>
    <t>Hälytys - VAK8.JVP_F.HÄL1.DA0 2026.08.07 14</t>
  </si>
  <si>
    <t>14.33.07</t>
  </si>
  <si>
    <t>00000000F4188C90990C1D4F9592A85831DCA99307001CDFA5E3617DAF4D8529086EB3E4B6EC00000000010C00001CDFA5E3617DAF4D8529086EB3E4B6EC0000B9FA377C0000</t>
  </si>
  <si>
    <t>Poistunut hälytys - VAK8.JVP_F.HÄL1.DA0 2026.08.07 14</t>
  </si>
  <si>
    <t>14.32.42</t>
  </si>
  <si>
    <t>00000000F4188C90990C1D4F9592A85831DCA99307001CDFA5E3617DAF4D8529086EB3E4B6EC00000000010C00001CDFA5E3617DAF4D8529086EB3E4B6EC0000B9FA377B0000</t>
  </si>
  <si>
    <t>Hälytys - LM1.MB3_ADDR10_FlexM__Error.A 2026.08.07 14</t>
  </si>
  <si>
    <t>14.12.17</t>
  </si>
  <si>
    <t>00000000F4188C90990C1D4F9592A85831DCA99307001CDFA5E3617DAF4D8529086EB3E4B6EC00000000010C00001CDFA5E3617DAF4D8529086EB3E4B6EC0000B9FA377A0000</t>
  </si>
  <si>
    <t>Hälytys - VAK8.JVP_F.HÄL1.DA0 2026.08.07 12</t>
  </si>
  <si>
    <t>12.30.35</t>
  </si>
  <si>
    <t>00000000F4188C90990C1D4F9592A85831DCA99307001CDFA5E3617DAF4D8529086EB3E4B6EC00000000010C00001CDFA5E3617DAF4D8529086EB3E4B6EC0000B9FA37790000</t>
  </si>
  <si>
    <t>Poistunut hälytys - VAK8.JVP_F.HÄL1.DA0 2026.08.07 12</t>
  </si>
  <si>
    <t>12.29.54</t>
  </si>
  <si>
    <t>00000000F4188C90990C1D4F9592A85831DCA99307001CDFA5E3617DAF4D8529086EB3E4B6EC00000000010C00001CDFA5E3617DAF4D8529086EB3E4B6EC0000B9FA37780000</t>
  </si>
  <si>
    <t>Hälytys - EK03.H2.A1 2026.08.07 12</t>
  </si>
  <si>
    <t>12.02.14</t>
  </si>
  <si>
    <t>00000000F4188C90990C1D4F9592A85831DCA99307001CDFA5E3617DAF4D8529086EB3E4B6EC00000000010C00001CDFA5E3617DAF4D8529086EB3E4B6EC0000B9FA37770000</t>
  </si>
  <si>
    <t>Hälytys - DeviceNoResponseAlarm 2026.08.07 11</t>
  </si>
  <si>
    <t>11.12.49</t>
  </si>
  <si>
    <t>00000000F4188C90990C1D4F9592A85831DCA99307001CDFA5E3617DAF4D8529086EB3E4B6EC00000000010C00001CDFA5E3617DAF4D8529086EB3E4B6EC0000B9FA37760000</t>
  </si>
  <si>
    <t>Hälytys - VAK8.JVP_F.HÄL1.DA0 2026.08.07 11</t>
  </si>
  <si>
    <t>11.00.49</t>
  </si>
  <si>
    <t>00000000F4188C90990C1D4F9592A85831DCA99307001CDFA5E3617DAF4D8529086EB3E4B6EC00000000010C00001CDFA5E3617DAF4D8529086EB3E4B6EC0000B9FA37750000</t>
  </si>
  <si>
    <t>Poistunut hälytys - VAK8.JVP_F.HÄL1.DA0 2026.08.07 11</t>
  </si>
  <si>
    <t>11.00.29</t>
  </si>
  <si>
    <t>00000000F4188C90990C1D4F9592A85831DCA99307001CDFA5E3617DAF4D8529086EB3E4B6EC00000000010C00001CDFA5E3617DAF4D8529086EB3E4B6EC0000B9FA37740000</t>
  </si>
  <si>
    <t>Hälytys - VAK8.JVP_F.HÄL1.DA0 2026.08.07 10</t>
  </si>
  <si>
    <t>10.24.53</t>
  </si>
  <si>
    <t>00000000F4188C90990C1D4F9592A85831DCA99307001CDFA5E3617DAF4D8529086EB3E4B6EC00000000010C00001CDFA5E3617DAF4D8529086EB3E4B6EC0000B9FA37730000</t>
  </si>
  <si>
    <t>Poistunut hälytys - VAK8.JVP_F.HÄL1.DA0 2026.08.07 10</t>
  </si>
  <si>
    <t>10.24.25</t>
  </si>
  <si>
    <t>00000000F4188C90990C1D4F9592A85831DCA99307001CDFA5E3617DAF4D8529086EB3E4B6EC00000000010C00001CDFA5E3617DAF4D8529086EB3E4B6EC0000B9FA37720000</t>
  </si>
  <si>
    <t>Hälytys - DeviceNoResponseAlarm 2026.08.07 10</t>
  </si>
  <si>
    <t>10.12.14</t>
  </si>
  <si>
    <t>00000000F4188C90990C1D4F9592A85831DCA99307001CDFA5E3617DAF4D8529086EB3E4B6EC00000000010C00001CDFA5E3617DAF4D8529086EB3E4B6EC0000B9FA37710000</t>
  </si>
  <si>
    <t>Poistunut hälytys - VAK6.2.TK67.PF.SUM_IND.CA1 2026.08.07 09</t>
  </si>
  <si>
    <t>09.57.23</t>
  </si>
  <si>
    <t>00000000F4188C90990C1D4F9592A85831DCA99307001CDFA5E3617DAF4D8529086EB3E4B6EC00000000010C00001CDFA5E3617DAF4D8529086EB3E4B6EC0000B9FA37700000</t>
  </si>
  <si>
    <t>Hälytys - VAK8.JVP_F.HÄL1.DA0 2026.08.07 09</t>
  </si>
  <si>
    <t>09.49.22</t>
  </si>
  <si>
    <t>00000000F4188C90990C1D4F9592A85831DCA99307001CDFA5E3617DAF4D8529086EB3E4B6EC00000000010C00001CDFA5E3617DAF4D8529086EB3E4B6EC0000B9FA376F0000</t>
  </si>
  <si>
    <t>Poistunut hälytys - VAK8.JVP_F.HÄL1.DA0 2026.08.07 09</t>
  </si>
  <si>
    <t>09.48.57</t>
  </si>
  <si>
    <t>00000000F4188C90990C1D4F9592A85831DCA99307001CDFA5E3617DAF4D8529086EB3E4B6EC00000000010C00001CDFA5E3617DAF4D8529086EB3E4B6EC0000B9FA376E0000</t>
  </si>
  <si>
    <t>Hälytys - DeviceNoResponseAlarm 2026.08.07 09</t>
  </si>
  <si>
    <t>09.21.25</t>
  </si>
  <si>
    <t>00000000F4188C90990C1D4F9592A85831DCA99307001CDFA5E3617DAF4D8529086EB3E4B6EC00000000010C00001CDFA5E3617DAF4D8529086EB3E4B6EC0000B9FA376D0000</t>
  </si>
  <si>
    <t>Hälytys - LM1.L1.TE41_L1.A2 2026.08.07 08</t>
  </si>
  <si>
    <t>08.05.29</t>
  </si>
  <si>
    <t>00000000F4188C90990C1D4F9592A85831DCA99307001CDFA5E3617DAF4D8529086EB3E4B6EC00000000010C00001CDFA5E3617DAF4D8529086EB3E4B6EC0000B9FA376C0000</t>
  </si>
  <si>
    <t>Hälytys - VAK6.2.TK67.PF.SUM_IND.CA1 2026.08.07 07</t>
  </si>
  <si>
    <t>07.30.26</t>
  </si>
  <si>
    <t>00000000F4188C90990C1D4F9592A85831DCA99307001CDFA5E3617DAF4D8529086EB3E4B6EC00000000010C00001CDFA5E3617DAF4D8529086EB3E4B6EC0000B9FA376B0000</t>
  </si>
  <si>
    <t>Poistunut hälytys - VAK4.MB2_WL_BaseVAK4_Alarm2.A 2026.08.07 05</t>
  </si>
  <si>
    <t>05.10.31</t>
  </si>
  <si>
    <t>00000000F4188C90990C1D4F9592A85831DCA99307001CDFA5E3617DAF4D8529086EB3E4B6EC00000000010C00001CDFA5E3617DAF4D8529086EB3E4B6EC0000B9FA376A0000</t>
  </si>
  <si>
    <t>Hälytys - VAK8.JVP_F.HÄL1.DA0 2026.08.07 03</t>
  </si>
  <si>
    <t>03.01.31</t>
  </si>
  <si>
    <t>00000000F4188C90990C1D4F9592A85831DCA99307001CDFA5E3617DAF4D8529086EB3E4B6EC00000000010C00001CDFA5E3617DAF4D8529086EB3E4B6EC0000B9FA37690000</t>
  </si>
  <si>
    <t>Poistunut hälytys - VAK8.JVP_F.HÄL1.DA0 2026.08.07 03</t>
  </si>
  <si>
    <t>03.01.09</t>
  </si>
  <si>
    <t>00000000F4188C90990C1D4F9592A85831DCA99307001CDFA5E3617DAF4D8529086EB3E4B6EC00000000010C00001CDFA5E3617DAF4D8529086EB3E4B6EC0000B9FA37680000</t>
  </si>
  <si>
    <t>Hälytys - VK33.VAK1.4TK1.FlowAlarm_A.A 2026.08.07 02</t>
  </si>
  <si>
    <t>00000000F4188C90990C1D4F9592A85831DCA99307001CDFA5E3617DAF4D8529086EB3E4B6EC00000000010C00001CDFA5E3617DAF4D8529086EB3E4B6EC0000B9FA37670000</t>
  </si>
  <si>
    <t>Hälytys - VAK4.MB1_ADDR5_TK2_TK2_PE01.A3 2026.08.06 23</t>
  </si>
  <si>
    <t>2026.08.06</t>
  </si>
  <si>
    <t>23.02.19</t>
  </si>
  <si>
    <t>00000000F4188C90990C1D4F9592A85831DCA99307001CDFA5E3617DAF4D8529086EB3E4B6EC00000000010C00001CDFA5E3617DAF4D8529086EB3E4B6EC0000B9D9E85A0000</t>
  </si>
  <si>
    <t>Hälytys - VAK4.MB1_ADDR6_TK3_PE01.A3 2026.08.06 22</t>
  </si>
  <si>
    <t>22.05.17</t>
  </si>
  <si>
    <t>00000000F4188C90990C1D4F9592A85831DCA99307001CDFA5E3617DAF4D8529086EB3E4B6EC00000000010C00001CDFA5E3617DAF4D8529086EB3E4B6EC0000B9D9E8590000</t>
  </si>
  <si>
    <t>Poistunut hälytys - VAK11.TK1.ExhaustFan2ContradictionAlarm.A 2026.08.06 22</t>
  </si>
  <si>
    <t>22.00.23</t>
  </si>
  <si>
    <t>00000000F4188C90990C1D4F9592A85831DCA99307001CDFA5E3617DAF4D8529086EB3E4B6EC00000000010C00001CDFA5E3617DAF4D8529086EB3E4B6EC0000B9D9E8580000</t>
  </si>
  <si>
    <t>Hälytys - VAK4.MB2_WL_BaseVAK4_Alarm2.A 2026.08.06 20</t>
  </si>
  <si>
    <t>00000000F4188C90990C1D4F9592A85831DCA99307001CDFA5E3617DAF4D8529086EB3E4B6EC00000000010C00001CDFA5E3617DAF4D8529086EB3E4B6EC0000B9D9E8570000</t>
  </si>
  <si>
    <t>Hälytys - VAK8.JVP_F.HÄL1.DA0 2026.08.06 20</t>
  </si>
  <si>
    <t>20.40.48</t>
  </si>
  <si>
    <t>00000000F4188C90990C1D4F9592A85831DCA99307001CDFA5E3617DAF4D8529086EB3E4B6EC00000000010C00001CDFA5E3617DAF4D8529086EB3E4B6EC0000B9D9E8560000</t>
  </si>
  <si>
    <t>Poistunut hälytys - VAK8.JVP_F.HÄL1.DA0 2026.08.06 20</t>
  </si>
  <si>
    <t>20.40.28</t>
  </si>
  <si>
    <t>00000000F4188C90990C1D4F9592A85831DCA99307001CDFA5E3617DAF4D8529086EB3E4B6EC00000000010C00001CDFA5E3617DAF4D8529086EB3E4B6EC0000B9D9E8550000</t>
  </si>
  <si>
    <t>Hälytys - VAK8.JVP_F.HÄL1.DA0 2026.08.06 18</t>
  </si>
  <si>
    <t>18.10.16</t>
  </si>
  <si>
    <t>00000000F4188C90990C1D4F9592A85831DCA99307001CDFA5E3617DAF4D8529086EB3E4B6EC00000000010C00001CDFA5E3617DAF4D8529086EB3E4B6EC0000B939A0B20000</t>
  </si>
  <si>
    <t>Poistunut hälytys - VAK8.JVP_F.HÄL1.DA0 2026.08.06 18</t>
  </si>
  <si>
    <t>18.09.46</t>
  </si>
  <si>
    <t>00000000F4188C90990C1D4F9592A85831DCA99307001CDFA5E3617DAF4D8529086EB3E4B6EC00000000010C00001CDFA5E3617DAF4D8529086EB3E4B6EC0000B939A0B10000</t>
  </si>
  <si>
    <t>Hälytys - DeviceNoResponseAlarm 2026.08.06 17</t>
  </si>
  <si>
    <t>17.09.01</t>
  </si>
  <si>
    <t>00000000F4188C90990C1D4F9592A85831DCA99307001CDFA5E3617DAF4D8529086EB3E4B6EC00000000010C00001CDFA5E3617DAF4D8529086EB3E4B6EC0000B939A0B00000</t>
  </si>
  <si>
    <t>Hälytys - VAK8.JVP_F.HÄL1.DA0 2026.08.06 16</t>
  </si>
  <si>
    <t>16.23.58</t>
  </si>
  <si>
    <t>00000000F4188C90990C1D4F9592A85831DCA99307001CDFA5E3617DAF4D8529086EB3E4B6EC00000000010C00001CDFA5E3617DAF4D8529086EB3E4B6EC0000B939A0AF0000</t>
  </si>
  <si>
    <t>Poistunut hälytys - VAK8.JVP_F.HÄL1.DA0 2026.08.06 16</t>
  </si>
  <si>
    <t>16.23.34</t>
  </si>
  <si>
    <t>00000000F4188C90990C1D4F9592A85831DCA99307001CDFA5E3617DAF4D8529086EB3E4B6EC00000000010C00001CDFA5E3617DAF4D8529086EB3E4B6EC0000B939A0AE0000</t>
  </si>
  <si>
    <t>Hälytys - VAK8.JVP_F.HÄL1.DA0 2026.08.06 14</t>
  </si>
  <si>
    <t>14.50.52</t>
  </si>
  <si>
    <t>00000000F4188C90990C1D4F9592A85831DCA99307001CDFA5E3617DAF4D8529086EB3E4B6EC00000000010C00001CDFA5E3617DAF4D8529086EB3E4B6EC0000B939A0AD0000</t>
  </si>
  <si>
    <t>Poistunut hälytys - VAK8.JVP_F.HÄL1.DA0 2026.08.06 14</t>
  </si>
  <si>
    <t>14.50.38</t>
  </si>
  <si>
    <t>00000000F4188C90990C1D4F9592A85831DCA99307001CDFA5E3617DAF4D8529086EB3E4B6EC00000000010C00001CDFA5E3617DAF4D8529086EB3E4B6EC0000B939A0AC0000</t>
  </si>
  <si>
    <t>Anturivika UI9 LV ennakoinnin lämpötila (LV käyttöv. ennakoinnin lämpötila)</t>
  </si>
  <si>
    <t>Hälytys - LM1.TE32.SE 2026.08.06 13</t>
  </si>
  <si>
    <t>00000000F4188C90990C1D4F9592A85831DCA99307001CDFA5E3617DAF4D8529086EB3E4B6EC00000000010C00001CDFA5E3617DAF4D8529086EB3E4B6EC0000B939A0AB0000</t>
  </si>
  <si>
    <t>Hälytys - VAK8.JVP_F.HÄL1.DA0 2026.08.06 12</t>
  </si>
  <si>
    <t>12.58.22</t>
  </si>
  <si>
    <t>00000000F4188C90990C1D4F9592A85831DCA99307001CDFA5E3617DAF4D8529086EB3E4B6EC00000000010C00001CDFA5E3617DAF4D8529086EB3E4B6EC0000B939A0AA0000</t>
  </si>
  <si>
    <t>Poistunut hälytys - VAK8.JVP_F.HÄL1.DA0 2026.08.06 12</t>
  </si>
  <si>
    <t>12.57.56</t>
  </si>
  <si>
    <t>00000000F4188C90990C1D4F9592A85831DCA99307001CDFA5E3617DAF4D8529086EB3E4B6EC00000000010C00001CDFA5E3617DAF4D8529086EB3E4B6EC0000B939A0A90000</t>
  </si>
  <si>
    <t>TK4 LP Pumppu SEIS</t>
  </si>
  <si>
    <t>Poistunut hälytys - VAK11.TK4.LPPump.CA1 2026.08.06 12</t>
  </si>
  <si>
    <t>12.19.38</t>
  </si>
  <si>
    <t>00000000F4188C90990C1D4F9592A85831DCA99307001CDFA5E3617DAF4D8529086EB3E4B6EC00000000010C00001CDFA5E3617DAF4D8529086EB3E4B6EC0000B939A0A80000</t>
  </si>
  <si>
    <t>TK4 Tulopuhallin TaMu häiriö</t>
  </si>
  <si>
    <t>Poistunut hälytys - VAK11.TK4.EM1.AL.A1 2026.08.06 12</t>
  </si>
  <si>
    <t>12.19.34</t>
  </si>
  <si>
    <t>00000000F4188C90990C1D4F9592A85831DCA99307001CDFA5E3617DAF4D8529086EB3E4B6EC00000000010C00001CDFA5E3617DAF4D8529086EB3E4B6EC0000B939A0A70000</t>
  </si>
  <si>
    <t>Hälytys - VAK11.TK4.LPPump.CA1 2026.08.06 12</t>
  </si>
  <si>
    <t>12.18.55</t>
  </si>
  <si>
    <t>00000000F4188C90990C1D4F9592A85831DCA99307001CDFA5E3617DAF4D8529086EB3E4B6EC00000000010C00001CDFA5E3617DAF4D8529086EB3E4B6EC0000B939A0A60000</t>
  </si>
  <si>
    <t>Hälytys - VAK11.TK4.EM1.AL.A1 2026.08.06 12</t>
  </si>
  <si>
    <t>12.18.50</t>
  </si>
  <si>
    <t>00000000F4188C90990C1D4F9592A85831DCA99307001CDFA5E3617DAF4D8529086EB3E4B6EC00000000010C00001CDFA5E3617DAF4D8529086EB3E4B6EC0000B939A0A50000</t>
  </si>
  <si>
    <t>12.16.57</t>
  </si>
  <si>
    <t>00000000F4188C90990C1D4F9592A85831DCA99307001CDFA5E3617DAF4D8529086EB3E4B6EC00000000010C00001CDFA5E3617DAF4D8529086EB3E4B6EC0000B939A0A40000</t>
  </si>
  <si>
    <t>12.16.56</t>
  </si>
  <si>
    <t>00000000F4188C90990C1D4F9592A85831DCA99307001CDFA5E3617DAF4D8529086EB3E4B6EC00000000010C00001CDFA5E3617DAF4D8529086EB3E4B6EC0000B939A0A30000</t>
  </si>
  <si>
    <t>Poistunut hälytys - VAK11.PK9.Ohjausnopeus.A2 2026.08.06 12</t>
  </si>
  <si>
    <t>12.10.58</t>
  </si>
  <si>
    <t>00000000F4188C90990C1D4F9592A85831DCA99307001CDFA5E3617DAF4D8529086EB3E4B6EC00000000010C00001CDFA5E3617DAF4D8529086EB3E4B6EC0000B939A0A20000</t>
  </si>
  <si>
    <t>PK6 Poistopuhallin WC nopea ristiriita</t>
  </si>
  <si>
    <t>Poistunut hälytys - VAK13.PK6.Ohjausnopeus.A1 2026.08.06 12</t>
  </si>
  <si>
    <t>12.09.32</t>
  </si>
  <si>
    <t>00000000F4188C90990C1D4F9592A85831DCA99307001CDFA5E3617DAF4D8529086EB3E4B6EC00000000010C00001CDFA5E3617DAF4D8529086EB3E4B6EC0000B939A0A10000</t>
  </si>
  <si>
    <t>Hälytys - VAK11.TK1.ExhaustFan2ContradictionAlarm.A 2026.08.06 12</t>
  </si>
  <si>
    <t>12.06.43</t>
  </si>
  <si>
    <t>00000000F4188C90990C1D4F9592A85831DCA99307001CDFA5E3617DAF4D8529086EB3E4B6EC00000000010C00001CDFA5E3617DAF4D8529086EB3E4B6EC0000B939A0A00000</t>
  </si>
  <si>
    <t>Hälytys - VAK13.PK6.Ohjausnopeus.A1 2026.08.06 12</t>
  </si>
  <si>
    <t>12.05.07</t>
  </si>
  <si>
    <t>00000000F4188C90990C1D4F9592A85831DCA99307001CDFA5E3617DAF4D8529086EB3E4B6EC00000000010C00001CDFA5E3617DAF4D8529086EB3E4B6EC0000B939A09F0000</t>
  </si>
  <si>
    <t>PK6 Poistopuhallin WC ristiriita</t>
  </si>
  <si>
    <t>Poistunut hälytys - VAK13.PK6.Ohjausnopeus.A2 2026.08.06 12</t>
  </si>
  <si>
    <t>12.04.02</t>
  </si>
  <si>
    <t>00000000F4188C90990C1D4F9592A85831DCA99307001CDFA5E3617DAF4D8529086EB3E4B6EC00000000010C00001CDFA5E3617DAF4D8529086EB3E4B6EC0000B939A09E0000</t>
  </si>
  <si>
    <t>Poistunut hälytys - VAK13.TK3.EPressure.LL 2026.08.06 12</t>
  </si>
  <si>
    <t>12.01.43</t>
  </si>
  <si>
    <t>00000000F4188C90990C1D4F9592A85831DCA99307001CDFA5E3617DAF4D8529086EB3E4B6EC00000000010C00001CDFA5E3617DAF4D8529086EB3E4B6EC0000B939A09D0000</t>
  </si>
  <si>
    <t>Poistunut hälytys - VAK13.TK3.TFContr.CA1 2026.08.06 12</t>
  </si>
  <si>
    <t>12.01.30</t>
  </si>
  <si>
    <t>00000000F4188C90990C1D4F9592A85831DCA99307001CDFA5E3617DAF4D8529086EB3E4B6EC00000000010C00001CDFA5E3617DAF4D8529086EB3E4B6EC0000B939A09C0000</t>
  </si>
  <si>
    <t>Poistunut hälytys - VAK13.EM01.AL.A1 2026.08.06 12</t>
  </si>
  <si>
    <t>12.01.24</t>
  </si>
  <si>
    <t>00000000F4188C90990C1D4F9592A85831DCA99307001CDFA5E3617DAF4D8529086EB3E4B6EC00000000010C00001CDFA5E3617DAF4D8529086EB3E4B6EC0000B939A09B0000</t>
  </si>
  <si>
    <t>Poistunut hälytys - VAK11.TK1.ExhaustFan2ContradictionAlarm.A 2026.08.06 12</t>
  </si>
  <si>
    <t>12.01.22</t>
  </si>
  <si>
    <t>00000000F4188C90990C1D4F9592A85831DCA99307001CDFA5E3617DAF4D8529086EB3E4B6EC00000000010C00001CDFA5E3617DAF4D8529086EB3E4B6EC0000B939A09A0000</t>
  </si>
  <si>
    <t>TK1 Tulopuhallin ristiriita</t>
  </si>
  <si>
    <t>Poistunut hälytys - VAK11.TK1.SupplyFanContradictionAlarm.A 2026.08.06 12</t>
  </si>
  <si>
    <t>12.01.19</t>
  </si>
  <si>
    <t>00000000F4188C90990C1D4F9592A85831DCA99307001CDFA5E3617DAF4D8529086EB3E4B6EC00000000010C00001CDFA5E3617DAF4D8529086EB3E4B6EC0000B939A0990000</t>
  </si>
  <si>
    <t>TK1 Tulopuhallin TaMu häiriö</t>
  </si>
  <si>
    <t>Poistunut hälytys - VAK11.TK1.EM1.AL.A1 2026.08.06 12</t>
  </si>
  <si>
    <t>12.01.14</t>
  </si>
  <si>
    <t>00000000F4188C90990C1D4F9592A85831DCA99307001CDFA5E3617DAF4D8529086EB3E4B6EC00000000010C00001CDFA5E3617DAF4D8529086EB3E4B6EC0000B939A0980000</t>
  </si>
  <si>
    <t>TK2 Tulopuhallin ristiriita</t>
  </si>
  <si>
    <t>Poistunut hälytys - VAK11.TK2.TFContr.CA1 2026.08.06 12</t>
  </si>
  <si>
    <t>12.01.11</t>
  </si>
  <si>
    <t>00000000F4188C90990C1D4F9592A85831DCA99307001CDFA5E3617DAF4D8529086EB3E4B6EC00000000010C00001CDFA5E3617DAF4D8529086EB3E4B6EC0000B939A0970000</t>
  </si>
  <si>
    <t>Poistunut hälytys - VAK11.TK2.EM1.AL.A1 2026.08.06 12</t>
  </si>
  <si>
    <t>12.01.08</t>
  </si>
  <si>
    <t>00000000F4188C90990C1D4F9592A85831DCA99307001CDFA5E3617DAF4D8529086EB3E4B6EC00000000010C00001CDFA5E3617DAF4D8529086EB3E4B6EC0000B939A0960000</t>
  </si>
  <si>
    <t>Hälytys - VAK13.TK3.EPressure.LL 2026.08.06 11</t>
  </si>
  <si>
    <t>11.49.12</t>
  </si>
  <si>
    <t>00000000F4188C90990C1D4F9592A85831DCA99307001CDFA5E3617DAF4D8529086EB3E4B6EC00000000010C00001CDFA5E3617DAF4D8529086EB3E4B6EC0000B939A0950000</t>
  </si>
  <si>
    <t>Hälytys - VAK11.TK1.ExhaustFan2ContradictionAlarm.A 2026.08.06 11</t>
  </si>
  <si>
    <t>11.45.19</t>
  </si>
  <si>
    <t>00000000F4188C90990C1D4F9592A85831DCA99307001CDFA5E3617DAF4D8529086EB3E4B6EC00000000010C00001CDFA5E3617DAF4D8529086EB3E4B6EC0000B939A0940000</t>
  </si>
  <si>
    <t>Hälytys - VAK13.TK3.TFContr.CA1 2026.08.06 11</t>
  </si>
  <si>
    <t>11.40.24</t>
  </si>
  <si>
    <t>00000000F4188C90990C1D4F9592A85831DCA99307001CDFA5E3617DAF4D8529086EB3E4B6EC00000000010C00001CDFA5E3617DAF4D8529086EB3E4B6EC0000B939A0930000</t>
  </si>
  <si>
    <t>Hälytys - VAK13.PK6.Ohjausnopeus.A2 2026.08.06 11</t>
  </si>
  <si>
    <t>11.39.37</t>
  </si>
  <si>
    <t>00000000F4188C90990C1D4F9592A85831DCA99307001CDFA5E3617DAF4D8529086EB3E4B6EC00000000010C00001CDFA5E3617DAF4D8529086EB3E4B6EC0000B939A0920000</t>
  </si>
  <si>
    <t>Hälytys - VAK11.TK2.TFContr.CA1 2026.08.06 11</t>
  </si>
  <si>
    <t>11.38.31</t>
  </si>
  <si>
    <t>00000000F4188C90990C1D4F9592A85831DCA99307001CDFA5E3617DAF4D8529086EB3E4B6EC00000000010C00001CDFA5E3617DAF4D8529086EB3E4B6EC0000B939A0910000</t>
  </si>
  <si>
    <t>Poistunut hälytys - VAK13.PK6.Ohjausnopeus.A1 2026.08.06 11</t>
  </si>
  <si>
    <t>11.38.35</t>
  </si>
  <si>
    <t>00000000F4188C90990C1D4F9592A85831DCA99307001CDFA5E3617DAF4D8529086EB3E4B6EC00000000010C00001CDFA5E3617DAF4D8529086EB3E4B6EC0000B939A0900000</t>
  </si>
  <si>
    <t>Hälytys - VAK13.EM01.AL.A1 2026.08.06 11</t>
  </si>
  <si>
    <t>11.38.20</t>
  </si>
  <si>
    <t>00000000F4188C90990C1D4F9592A85831DCA99307001CDFA5E3617DAF4D8529086EB3E4B6EC00000000010C00001CDFA5E3617DAF4D8529086EB3E4B6EC0000B939A08F0000</t>
  </si>
  <si>
    <t>Hälytys - VAK11.TK2.EM1.AL.A1 2026.08.06 11</t>
  </si>
  <si>
    <t>11.36.32</t>
  </si>
  <si>
    <t>00000000F4188C90990C1D4F9592A85831DCA99307001CDFA5E3617DAF4D8529086EB3E4B6EC00000000010C00001CDFA5E3617DAF4D8529086EB3E4B6EC0000B939A08E0000</t>
  </si>
  <si>
    <t>Hälytys - VAK11.TK2.EM2.AL.A1 2026.08.06 11</t>
  </si>
  <si>
    <t>11.36.12</t>
  </si>
  <si>
    <t>00000000F4188C90990C1D4F9592A85831DCA99307001CDFA5E3617DAF4D8529086EB3E4B6EC00000000010C00001CDFA5E3617DAF4D8529086EB3E4B6EC0000B939A08D0000</t>
  </si>
  <si>
    <t>Hälytys - VAK8.JVP_F.HÄL1.DA0 2026.08.06 11</t>
  </si>
  <si>
    <t>11.13.07</t>
  </si>
  <si>
    <t>00000000F4188C90990C1D4F9592A85831DCA99307001CDFA5E3617DAF4D8529086EB3E4B6EC00000000010C00001CDFA5E3617DAF4D8529086EB3E4B6EC0000B939A08C0000</t>
  </si>
  <si>
    <t>Poistunut hälytys - VAK8.JVP_F.HÄL1.DA0 2026.08.06 11</t>
  </si>
  <si>
    <t>11.12.30</t>
  </si>
  <si>
    <t>00000000F4188C90990C1D4F9592A85831DCA99307001CDFA5E3617DAF4D8529086EB3E4B6EC00000000010C00001CDFA5E3617DAF4D8529086EB3E4B6EC0000B939A08B0000</t>
  </si>
  <si>
    <t>Hälytys - VAK11.TK1.SupplyFanContradictionAlarm.A 2026.08.06 10</t>
  </si>
  <si>
    <t>10.43.19</t>
  </si>
  <si>
    <t>00000000F4188C90990C1D4F9592A85831DCA99307001CDFA5E3617DAF4D8529086EB3E4B6EC00000000010C00001CDFA5E3617DAF4D8529086EB3E4B6EC0000B939A08A0000</t>
  </si>
  <si>
    <t>Poistunut hälytys - VAK11.TK1.LPPump.CA1 2026.08.06 10</t>
  </si>
  <si>
    <t>10.40.54</t>
  </si>
  <si>
    <t>00000000F4188C90990C1D4F9592A85831DCA99307001CDFA5E3617DAF4D8529086EB3E4B6EC00000000010C00001CDFA5E3617DAF4D8529086EB3E4B6EC0000B939A0890000</t>
  </si>
  <si>
    <t>Poistunut hälytys - VAK11.TK1.SupplyFanContradictionAlarm.A 2026.08.06 10</t>
  </si>
  <si>
    <t>10.40.51</t>
  </si>
  <si>
    <t>00000000F4188C90990C1D4F9592A85831DCA99307001CDFA5E3617DAF4D8529086EB3E4B6EC00000000010C00001CDFA5E3617DAF4D8529086EB3E4B6EC0000B939A0880000</t>
  </si>
  <si>
    <t>Hälytys - VAK11.TK1.LPPump.CA1 2026.08.06 10</t>
  </si>
  <si>
    <t>10.40.19</t>
  </si>
  <si>
    <t>00000000F4188C90990C1D4F9592A85831DCA99307001CDFA5E3617DAF4D8529086EB3E4B6EC00000000010C00001CDFA5E3617DAF4D8529086EB3E4B6EC0000B939A0870000</t>
  </si>
  <si>
    <t>Hälytys - VAK13.PK6.Ohjausnopeus.A1 2026.08.06 10</t>
  </si>
  <si>
    <t>10.34.25</t>
  </si>
  <si>
    <t>00000000F4188C90990C1D4F9592A85831DCA99307001CDFA5E3617DAF4D8529086EB3E4B6EC00000000010C00001CDFA5E3617DAF4D8529086EB3E4B6EC0000B939A0860000</t>
  </si>
  <si>
    <t>Hälytys - VAK11.PK9.Ohjausnopeus.A2 2026.08.06 10</t>
  </si>
  <si>
    <t>10.29.02</t>
  </si>
  <si>
    <t>00000000F4188C90990C1D4F9592A85831DCA99307001CDFA5E3617DAF4D8529086EB3E4B6EC00000000010C00001CDFA5E3617DAF4D8529086EB3E4B6EC0000B939A0850000</t>
  </si>
  <si>
    <t>10.23.19</t>
  </si>
  <si>
    <t>00000000F4188C90990C1D4F9592A85831DCA99307001CDFA5E3617DAF4D8529086EB3E4B6EC00000000010C00001CDFA5E3617DAF4D8529086EB3E4B6EC0000B939A0840000</t>
  </si>
  <si>
    <t>Hälytys - VAK11.TK1.EM1.AL.A1 2026.08.06 10</t>
  </si>
  <si>
    <t>10.21.20</t>
  </si>
  <si>
    <t>00000000F4188C90990C1D4F9592A85831DCA99307001CDFA5E3617DAF4D8529086EB3E4B6EC00000000010C00001CDFA5E3617DAF4D8529086EB3E4B6EC0000B939A0830000</t>
  </si>
  <si>
    <t>Hälytys - ID_4716145 2026.08.06 10</t>
  </si>
  <si>
    <t>10.17.24</t>
  </si>
  <si>
    <t>00000000F4188C90990C1D4F9592A85831DCA99307001CDFA5E3617DAF4D8529086EB3E4B6EC00000000010C00001CDFA5E3617DAF4D8529086EB3E4B6EC0000B939A0820000</t>
  </si>
  <si>
    <t>Hälytys - VAK8.JVP_F.HÄL1.DA0 2026.08.06 09</t>
  </si>
  <si>
    <t>09.55.23</t>
  </si>
  <si>
    <t>00000000F4188C90990C1D4F9592A85831DCA99307001CDFA5E3617DAF4D8529086EB3E4B6EC00000000010C00001CDFA5E3617DAF4D8529086EB3E4B6EC0000B939A0810000</t>
  </si>
  <si>
    <t>Poistunut hälytys - VAK8.JVP_F.HÄL1.DA0 2026.08.06 09</t>
  </si>
  <si>
    <t>09.54.56</t>
  </si>
  <si>
    <t>00000000F4188C90990C1D4F9592A85831DCA99307001CDFA5E3617DAF4D8529086EB3E4B6EC00000000010C00001CDFA5E3617DAF4D8529086EB3E4B6EC0000B939A0800000</t>
  </si>
  <si>
    <t>Hälytys - VAK8.JVP_F.HÄL1.DA0 2026.08.06 05</t>
  </si>
  <si>
    <t>05.10.35</t>
  </si>
  <si>
    <t>00000000F4188C90990C1D4F9592A85831DCA99307001CDFA5E3617DAF4D8529086EB3E4B6EC00000000010C00001CDFA5E3617DAF4D8529086EB3E4B6EC0000B939A07F0000</t>
  </si>
  <si>
    <t>Poistunut hälytys - VAK8.JVP_F.HÄL1.DA0 2026.08.06 05</t>
  </si>
  <si>
    <t>05.10.23</t>
  </si>
  <si>
    <t>00000000F4188C90990C1D4F9592A85831DCA99307001CDFA5E3617DAF4D8529086EB3E4B6EC00000000010C00001CDFA5E3617DAF4D8529086EB3E4B6EC0000B939A07E0000</t>
  </si>
  <si>
    <t>Poistunut hälytys - VAK4.MB2_WL_BaseVAK4_Alarm2.A 2026.08.06 05</t>
  </si>
  <si>
    <t>05.01.34</t>
  </si>
  <si>
    <t>00000000F4188C90990C1D4F9592A85831DCA99307001CDFA5E3617DAF4D8529086EB3E4B6EC00000000010C00001CDFA5E3617DAF4D8529086EB3E4B6EC0000B939A07D0000</t>
  </si>
  <si>
    <t>Hälytys - VK33.VAK1.4TK1.FlowAlarm_A.A 2026.08.06 02</t>
  </si>
  <si>
    <t>02.12.56</t>
  </si>
  <si>
    <t>00000000F4188C90990C1D4F9592A85831DCA99307001CDFA5E3617DAF4D8529086EB3E4B6EC00000000010C00001CDFA5E3617DAF4D8529086EB3E4B6EC0000B939A07C0000</t>
  </si>
  <si>
    <t>Hälytys - VAK4.MB1_ADDR6_TK3_PE01.A3 2026.08.05 22</t>
  </si>
  <si>
    <t>2026.08.05</t>
  </si>
  <si>
    <t>22.03.33</t>
  </si>
  <si>
    <t>00000000F4188C90990C1D4F9592A85831DCA99307001CDFA5E3617DAF4D8529086EB3E4B6EC00000000010C00001CDFA5E3617DAF4D8529086EB3E4B6EC0000B939A07B0000</t>
  </si>
  <si>
    <t>Hälytys - VAK8.JVP_F.HÄL1.DA0 2026.08.05 21</t>
  </si>
  <si>
    <t>21.41.55</t>
  </si>
  <si>
    <t>00000000F4188C90990C1D4F9592A85831DCA99307001CDFA5E3617DAF4D8529086EB3E4B6EC00000000010C00001CDFA5E3617DAF4D8529086EB3E4B6EC0000B939A07A0000</t>
  </si>
  <si>
    <t>Poistunut hälytys - VAK8.JVP_F.HÄL1.DA0 2026.08.05 21</t>
  </si>
  <si>
    <t>21.41.27</t>
  </si>
  <si>
    <t>00000000F4188C90990C1D4F9592A85831DCA99307001CDFA5E3617DAF4D8529086EB3E4B6EC00000000010C00001CDFA5E3617DAF4D8529086EB3E4B6EC0000B939A0790000</t>
  </si>
  <si>
    <t>Hälytys - VAK4.MB1_ADDR5_TK2_TK2_PE01.A3 2026.08.05 21</t>
  </si>
  <si>
    <t>21.02.03</t>
  </si>
  <si>
    <t>00000000F4188C90990C1D4F9592A85831DCA99307001CDFA5E3617DAF4D8529086EB3E4B6EC00000000010C00001CDFA5E3617DAF4D8529086EB3E4B6EC0000B939A0780000</t>
  </si>
  <si>
    <t>Hälytys - VAK4.MB2_WL_BaseVAK4_Alarm2.A 2026.08.05 20</t>
  </si>
  <si>
    <t>20.43.13</t>
  </si>
  <si>
    <t>00000000F4188C90990C1D4F9592A85831DCA99307001CDFA5E3617DAF4D8529086EB3E4B6EC00000000010C00001CDFA5E3617DAF4D8529086EB3E4B6EC0000B939A0770000</t>
  </si>
  <si>
    <t>Hälytys - LM1.MB3_ADDR10_FlexM__Error.A 2026.08.05 20</t>
  </si>
  <si>
    <t>20.42.45</t>
  </si>
  <si>
    <t>00000000F4188C90990C1D4F9592A85831DCA99307001CDFA5E3617DAF4D8529086EB3E4B6EC00000000010C00001CDFA5E3617DAF4D8529086EB3E4B6EC0000B939A0760000</t>
  </si>
  <si>
    <t>Hälytys - LM1.L1.TE41_L1.A2 2026.08.05 18</t>
  </si>
  <si>
    <t>18.09.05</t>
  </si>
  <si>
    <t>00000000F4188C90990C1D4F9592A85831DCA99307001CDFA5E3617DAF4D8529086EB3E4B6EC00000000010C00001CDFA5E3617DAF4D8529086EB3E4B6EC0000B919E94A0000</t>
  </si>
  <si>
    <t>Hälytys - VAK1.TK1.PE1.1.HL1 2026.08.05 18</t>
  </si>
  <si>
    <t>18.06.45</t>
  </si>
  <si>
    <t>00000000F4188C90990C1D4F9592A85831DCA99307001CDFA5E3617DAF4D8529086EB3E4B6EC00000000010C00001CDFA5E3617DAF4D8529086EB3E4B6EC0000B919E9490000</t>
  </si>
  <si>
    <t>Hälytys - VAK1.TK1.PE1.2.HL1 2026.08.05 18</t>
  </si>
  <si>
    <t>18.06.10</t>
  </si>
  <si>
    <t>00000000F4188C90990C1D4F9592A85831DCA99307001CDFA5E3617DAF4D8529086EB3E4B6EC00000000010C00001CDFA5E3617DAF4D8529086EB3E4B6EC0000B919E9480000</t>
  </si>
  <si>
    <t>Hälytys - ID_5718927 2026.08.05 17</t>
  </si>
  <si>
    <t>17.28.06</t>
  </si>
  <si>
    <t>00000000F4188C90990C1D4F9592A85831DCA99307001CDFA5E3617DAF4D8529086EB3E4B6EC00000000010C00001CDFA5E3617DAF4D8529086EB3E4B6EC0000B919E9470000</t>
  </si>
  <si>
    <t>Hälytys - LM1.L1.TE41_L1.A2 2026.08.05 17</t>
  </si>
  <si>
    <t>17.25.30</t>
  </si>
  <si>
    <t>00000000F4188C90990C1D4F9592A85831DCA99307001CDFA5E3617DAF4D8529086EB3E4B6EC00000000010C00001CDFA5E3617DAF4D8529086EB3E4B6EC0000B919E9460000</t>
  </si>
  <si>
    <t>Hälytys - LM1.MB3_ADDR10_FlexM__Error.A 2026.08.05 16</t>
  </si>
  <si>
    <t>16.51.58</t>
  </si>
  <si>
    <t>00000000F4188C90990C1D4F9592A85831DCA99307001CDFA5E3617DAF4D8529086EB3E4B6EC00000000010C00001CDFA5E3617DAF4D8529086EB3E4B6EC0000B919E9450000</t>
  </si>
  <si>
    <t>Hälytys - VAK8.JVP_F.HÄL1.DA0 2026.08.05 16</t>
  </si>
  <si>
    <t>16.15.05</t>
  </si>
  <si>
    <t>00000000F4188C90990C1D4F9592A85831DCA99307001CDFA5E3617DAF4D8529086EB3E4B6EC00000000010C00001CDFA5E3617DAF4D8529086EB3E4B6EC0000B919E9440000</t>
  </si>
  <si>
    <t>Poistunut hälytys - VAK8.JVP_F.HÄL1.DA0 2026.08.05 16</t>
  </si>
  <si>
    <t>16.14.44</t>
  </si>
  <si>
    <t>00000000F4188C90990C1D4F9592A85831DCA99307001CDFA5E3617DAF4D8529086EB3E4B6EC00000000010C00001CDFA5E3617DAF4D8529086EB3E4B6EC0000B919E9430000</t>
  </si>
  <si>
    <t>16.13.52</t>
  </si>
  <si>
    <t>00000000F4188C90990C1D4F9592A85831DCA99307001CDFA5E3617DAF4D8529086EB3E4B6EC00000000010C00001CDFA5E3617DAF4D8529086EB3E4B6EC0000B919E9420000</t>
  </si>
  <si>
    <t>Hälytys - LM1.MB3_ADDR10_FlexM__Error.A 2026.08.05 13</t>
  </si>
  <si>
    <t>00000000F4188C90990C1D4F9592A85831DCA99307001CDFA5E3617DAF4D8529086EB3E4B6EC00000000010C00001CDFA5E3617DAF4D8529086EB3E4B6EC0000B6FB3CC30000</t>
  </si>
  <si>
    <t>Hälytys - VAK8.JVP_F.HÄL1.DA0 2026.08.05 13</t>
  </si>
  <si>
    <t>13.18.09</t>
  </si>
  <si>
    <t>00000000F4188C90990C1D4F9592A85831DCA99307001CDFA5E3617DAF4D8529086EB3E4B6EC00000000010C00001CDFA5E3617DAF4D8529086EB3E4B6EC0000B6FB3CC20000</t>
  </si>
  <si>
    <t>Poistunut hälytys - VAK8.JVP_F.HÄL1.DA0 2026.08.05 13</t>
  </si>
  <si>
    <t>13.17.43</t>
  </si>
  <si>
    <t>00000000F4188C90990C1D4F9592A85831DCA99307001CDFA5E3617DAF4D8529086EB3E4B6EC00000000010C00001CDFA5E3617DAF4D8529086EB3E4B6EC0000B6FB3CC10000</t>
  </si>
  <si>
    <t>Hälytys - EK03.LV.TE31.A2 2026.08.05 13</t>
  </si>
  <si>
    <t>13.09.01</t>
  </si>
  <si>
    <t>00000000F4188C90990C1D4F9592A85831DCA99307001CDFA5E3617DAF4D8529086EB3E4B6EC00000000010C00001CDFA5E3617DAF4D8529086EB3E4B6EC0000B6FB3CC00000</t>
  </si>
  <si>
    <t>Hälytys - LM1.MB3_ADDR10_FlexM__Error.A 2026.08.05 10</t>
  </si>
  <si>
    <t>10.52.02</t>
  </si>
  <si>
    <t>00000000F4188C90990C1D4F9592A85831DCA99307001CDFA5E3617DAF4D8529086EB3E4B6EC00000000010C00001CDFA5E3617DAF4D8529086EB3E4B6EC0000B6FB3CBF0000</t>
  </si>
  <si>
    <t>Hälytys - VAK8.JVP_F.HÄL1.DA0 2026.08.05 10</t>
  </si>
  <si>
    <t>10.37.08</t>
  </si>
  <si>
    <t>00000000F4188C90990C1D4F9592A85831DCA99307001CDFA5E3617DAF4D8529086EB3E4B6EC00000000010C00001CDFA5E3617DAF4D8529086EB3E4B6EC0000B6FB3CBE0000</t>
  </si>
  <si>
    <t>Poistunut hälytys - VAK8.JVP_F.HÄL1.DA0 2026.08.05 10</t>
  </si>
  <si>
    <t>10.36.46</t>
  </si>
  <si>
    <t>00000000F4188C90990C1D4F9592A85831DCA99307001CDFA5E3617DAF4D8529086EB3E4B6EC00000000010C00001CDFA5E3617DAF4D8529086EB3E4B6EC0000B6FB3CBD0000</t>
  </si>
  <si>
    <t>10.25.01</t>
  </si>
  <si>
    <t>00000000F4188C90990C1D4F9592A85831DCA99307001CDFA5E3617DAF4D8529086EB3E4B6EC00000000010C00001CDFA5E3617DAF4D8529086EB3E4B6EC0000B6FB3CBC0000</t>
  </si>
  <si>
    <t>Hälytys - ID_5702262 2026.08.05 09</t>
  </si>
  <si>
    <t>09.18.15</t>
  </si>
  <si>
    <t>00000000F4188C90990C1D4F9592A85831DCA99307001CDFA5E3617DAF4D8529086EB3E4B6EC00000000010C00001CDFA5E3617DAF4D8529086EB3E4B6EC0000B6FB3CBB0000</t>
  </si>
  <si>
    <t>Hälytys - LM1.MB3_ADDR10_FlexM__Error.A 2026.08.05 08</t>
  </si>
  <si>
    <t>08.06.06</t>
  </si>
  <si>
    <t>00000000F4188C90990C1D4F9592A85831DCA99307001CDFA5E3617DAF4D8529086EB3E4B6EC00000000010C00001CDFA5E3617DAF4D8529086EB3E4B6EC0000B6FB3CBA0000</t>
  </si>
  <si>
    <t>Hälytys - VAK8.JVP_F.HÄL1.DA0 2026.08.05 08</t>
  </si>
  <si>
    <t>08.00.42</t>
  </si>
  <si>
    <t>00000000F4188C90990C1D4F9592A85831DCA99307001CDFA5E3617DAF4D8529086EB3E4B6EC00000000010C00001CDFA5E3617DAF4D8529086EB3E4B6EC0000B6FB3CB90000</t>
  </si>
  <si>
    <t>Poistunut hälytys - VAK8.JVP_F.HÄL1.DA0 2026.08.05 08</t>
  </si>
  <si>
    <t>08.00.34</t>
  </si>
  <si>
    <t>00000000F4188C90990C1D4F9592A85831DCA99307001CDFA5E3617DAF4D8529086EB3E4B6EC00000000010C00001CDFA5E3617DAF4D8529086EB3E4B6EC0000B6FB3CB80000</t>
  </si>
  <si>
    <t>Hälytys - VAK1.TK1.PE1.1.HL1 2026.08.05 06</t>
  </si>
  <si>
    <t>06.46.18</t>
  </si>
  <si>
    <t>00000000F4188C90990C1D4F9592A85831DCA99307001CDFA5E3617DAF4D8529086EB3E4B6EC00000000010C00001CDFA5E3617DAF4D8529086EB3E4B6EC0000B6FB3CB70000</t>
  </si>
  <si>
    <t>Poistunut hälytys - VAK4.MB2_WL_BaseVAK4_Alarm2.A 2026.08.05 05</t>
  </si>
  <si>
    <t>05.01.45</t>
  </si>
  <si>
    <t>00000000F4188C90990C1D4F9592A85831DCA99307001CDFA5E3617DAF4D8529086EB3E4B6EC00000000010C00001CDFA5E3617DAF4D8529086EB3E4B6EC0000B6FB3CB60000</t>
  </si>
  <si>
    <t>Hälytys - VK33.VAK1.4TK1.FlowAlarm_A.A 2026.08.05 03</t>
  </si>
  <si>
    <t>03.01.46</t>
  </si>
  <si>
    <t>00000000F4188C90990C1D4F9592A85831DCA99307001CDFA5E3617DAF4D8529086EB3E4B6EC00000000010C00001CDFA5E3617DAF4D8529086EB3E4B6EC0000B6FB3CB50000</t>
  </si>
  <si>
    <t>Hälytys - VAK8.JVP_F.HÄL1.DA0 2026.08.04 23</t>
  </si>
  <si>
    <t>2026.08.04</t>
  </si>
  <si>
    <t>23.03.38</t>
  </si>
  <si>
    <t>00000000F4188C90990C1D4F9592A85831DCA99307001CDFA5E3617DAF4D8529086EB3E4B6EC00000000010C00001CDFA5E3617DAF4D8529086EB3E4B6EC0000B6FB3CB40000</t>
  </si>
  <si>
    <t>Poistunut hälytys - VAK8.JVP_F.HÄL1.DA0 2026.08.04 23</t>
  </si>
  <si>
    <t>23.03.13</t>
  </si>
  <si>
    <t>00000000F4188C90990C1D4F9592A85831DCA99307001CDFA5E3617DAF4D8529086EB3E4B6EC00000000010C00001CDFA5E3617DAF4D8529086EB3E4B6EC0000B6FB3CB30000</t>
  </si>
  <si>
    <t>Hälytys - VAK4.MB1_ADDR6_TK3_PE01.A3 2026.08.04 22</t>
  </si>
  <si>
    <t>22.04.09</t>
  </si>
  <si>
    <t>00000000F4188C90990C1D4F9592A85831DCA99307001CDFA5E3617DAF4D8529086EB3E4B6EC00000000010C00001CDFA5E3617DAF4D8529086EB3E4B6EC0000B6FB3CB20000</t>
  </si>
  <si>
    <t>Hälytys - VAK4.MB1_ADDR5_TK2_TK2_PE01.A3 2026.08.04 21</t>
  </si>
  <si>
    <t>21.03.03</t>
  </si>
  <si>
    <t>00000000F4188C90990C1D4F9592A85831DCA99307001CDFA5E3617DAF4D8529086EB3E4B6EC00000000010C00001CDFA5E3617DAF4D8529086EB3E4B6EC0000B6FB3CB10000</t>
  </si>
  <si>
    <t>Hälytys - VAK4.MB2_WL_BaseVAK4_Alarm2.A 2026.08.04 20</t>
  </si>
  <si>
    <t>20.44.30</t>
  </si>
  <si>
    <t>00000000F4188C90990C1D4F9592A85831DCA99307001CDFA5E3617DAF4D8529086EB3E4B6EC00000000010C00001CDFA5E3617DAF4D8529086EB3E4B6EC0000B6FB3CB00000</t>
  </si>
  <si>
    <t>Hälytys - VAK1.TK1.PE1.1.HL1 2026.08.04 20</t>
  </si>
  <si>
    <t>20.14.02</t>
  </si>
  <si>
    <t>00000000F4188C90990C1D4F9592A85831DCA99307001CDFA5E3617DAF4D8529086EB3E4B6EC00000000010C00001CDFA5E3617DAF4D8529086EB3E4B6EC0000B6FB3CAF0000</t>
  </si>
  <si>
    <t>Hälytys - VAK1.TK1.PE1.2.HL1 2026.08.04 20</t>
  </si>
  <si>
    <t>20.13.39</t>
  </si>
  <si>
    <t>00000000F4188C90990C1D4F9592A85831DCA99307001CDFA5E3617DAF4D8529086EB3E4B6EC00000000010C00001CDFA5E3617DAF4D8529086EB3E4B6EC0000B6FB3CAE0000</t>
  </si>
  <si>
    <t>Poistunut hälytys - VAK11.921.OVI01.Ind.A1 2026.08.04 19</t>
  </si>
  <si>
    <t>19.19.35</t>
  </si>
  <si>
    <t>00000000F4188C90990C1D4F9592A85831DCA99307001CDFA5E3617DAF4D8529086EB3E4B6EC00000000010C00001CDFA5E3617DAF4D8529086EB3E4B6EC0000B6FB3CAD0000</t>
  </si>
  <si>
    <t>Hälytys - VAK8.JVP_F.HÄL1.DA0 2026.08.04 19</t>
  </si>
  <si>
    <t>19.14.11</t>
  </si>
  <si>
    <t>00000000F4188C90990C1D4F9592A85831DCA99307001CDFA5E3617DAF4D8529086EB3E4B6EC00000000010C00001CDFA5E3617DAF4D8529086EB3E4B6EC0000B6FB3CAC0000</t>
  </si>
  <si>
    <t>Poistunut hälytys - VAK8.JVP_F.HÄL1.DA0 2026.08.04 19</t>
  </si>
  <si>
    <t>19.13.41</t>
  </si>
  <si>
    <t>00000000F4188C90990C1D4F9592A85831DCA99307001CDFA5E3617DAF4D8529086EB3E4B6EC00000000010C00001CDFA5E3617DAF4D8529086EB3E4B6EC0000B6FB3CAB0000</t>
  </si>
  <si>
    <t>Hälytys - LM1.MB3_ADDR10_FlexM__Error.A 2026.08.04 18</t>
  </si>
  <si>
    <t>18.50.48</t>
  </si>
  <si>
    <t>00000000F4188C90990C1D4F9592A85831DCA99307001CDFA5E3617DAF4D8529086EB3E4B6EC00000000010C00001CDFA5E3617DAF4D8529086EB3E4B6EC0000B6FB3CAA0000</t>
  </si>
  <si>
    <t>Hälytys - VAK1.TK1.PE1.1.HL1 2026.08.04 18</t>
  </si>
  <si>
    <t>18.20.15</t>
  </si>
  <si>
    <t>00000000F4188C90990C1D4F9592A85831DCA99307001CDFA5E3617DAF4D8529086EB3E4B6EC00000000010C00001CDFA5E3617DAF4D8529086EB3E4B6EC0000B6FB3CA90000</t>
  </si>
  <si>
    <t>Hälytys - VAK1.TK1.PE1.2.HL1 2026.08.04 18</t>
  </si>
  <si>
    <t>18.19.53</t>
  </si>
  <si>
    <t>00000000F4188C90990C1D4F9592A85831DCA99307001CDFA5E3617DAF4D8529086EB3E4B6EC00000000010C00001CDFA5E3617DAF4D8529086EB3E4B6EC0000B6FB3CA80000</t>
  </si>
  <si>
    <t>18.12.24</t>
  </si>
  <si>
    <t>00000000F4188C90990C1D4F9592A85831DCA99307001CDFA5E3617DAF4D8529086EB3E4B6EC00000000010C00001CDFA5E3617DAF4D8529086EB3E4B6EC0000B6FB3CA70000</t>
  </si>
  <si>
    <t>Hälytys - VAK8.JVP_F.HÄL1.DA0 2026.08.04 17</t>
  </si>
  <si>
    <t>17.03.40</t>
  </si>
  <si>
    <t>00000000F4188C90990C1D4F9592A85831DCA99307001CDFA5E3617DAF4D8529086EB3E4B6EC00000000010C00001CDFA5E3617DAF4D8529086EB3E4B6EC0000B6FB3CA60000</t>
  </si>
  <si>
    <t>Poistunut hälytys - VAK8.JVP_F.HÄL1.DA0 2026.08.04 17</t>
  </si>
  <si>
    <t>17.03.44</t>
  </si>
  <si>
    <t>00000000F4188C90990C1D4F9592A85831DCA99307001CDFA5E3617DAF4D8529086EB3E4B6EC00000000010C00001CDFA5E3617DAF4D8529086EB3E4B6EC0000B6FB3CA50000</t>
  </si>
  <si>
    <t>17.02.59</t>
  </si>
  <si>
    <t>00000000F4188C90990C1D4F9592A85831DCA99307001CDFA5E3617DAF4D8529086EB3E4B6EC00000000010C00001CDFA5E3617DAF4D8529086EB3E4B6EC0000B6FB3CA40000</t>
  </si>
  <si>
    <t>17.02.43</t>
  </si>
  <si>
    <t>00000000F4188C90990C1D4F9592A85831DCA99307001CDFA5E3617DAF4D8529086EB3E4B6EC00000000010C00001CDFA5E3617DAF4D8529086EB3E4B6EC0000B6FB3CA30000</t>
  </si>
  <si>
    <t>Hälytys - VAK8.JVP_F.HÄL1.DA0 2026.08.04 14</t>
  </si>
  <si>
    <t>14.40.44</t>
  </si>
  <si>
    <t>00000000F4188C90990C1D4F9592A85831DCA99307001CDFA5E3617DAF4D8529086EB3E4B6EC00000000010C00001CDFA5E3617DAF4D8529086EB3E4B6EC0000B6FB3CA20000</t>
  </si>
  <si>
    <t>00000000F4188C90990C1D4F9592A85831DCA99307001CDFA5E3617DAF4D8529086EB3E4B6EC00000000010C00001CDFA5E3617DAF4D8529086EB3E4B6EC0000B6FB3CA10000</t>
  </si>
  <si>
    <t>Poistunut hälytys - VAK8.JVP_F.HÄL1.DA0 2026.08.04 14</t>
  </si>
  <si>
    <t>14.40.48</t>
  </si>
  <si>
    <t>00000000F4188C90990C1D4F9592A85831DCA99307001CDFA5E3617DAF4D8529086EB3E4B6EC00000000010C00001CDFA5E3617DAF4D8529086EB3E4B6EC0000B6FB3CA00000</t>
  </si>
  <si>
    <t>Hälytys - VAK8.JVP_F.HÄL1.DA0 2026.08.04 13</t>
  </si>
  <si>
    <t>13.01.41</t>
  </si>
  <si>
    <t>00000000F4188C90990C1D4F9592A85831DCA99307001CDFA5E3617DAF4D8529086EB3E4B6EC00000000010C00001CDFA5E3617DAF4D8529086EB3E4B6EC0000B6FB3C9F0000</t>
  </si>
  <si>
    <t>Poistunut hälytys - VAK8.JVP_F.HÄL1.DA0 2026.08.04 13</t>
  </si>
  <si>
    <t>13.01.31</t>
  </si>
  <si>
    <t>00000000F4188C90990C1D4F9592A85831DCA99307001CDFA5E3617DAF4D8529086EB3E4B6EC00000000010C00001CDFA5E3617DAF4D8529086EB3E4B6EC0000B6FB3C9E0000</t>
  </si>
  <si>
    <t>Hälytys - LM1.MB3_ADDR10_FlexM__Error.A 2026.08.04 11</t>
  </si>
  <si>
    <t>11.57.32</t>
  </si>
  <si>
    <t>00000000F4188C90990C1D4F9592A85831DCA99307001CDFA5E3617DAF4D8529086EB3E4B6EC00000000010C00001CDFA5E3617DAF4D8529086EB3E4B6EC0000B6FB3C9D0000</t>
  </si>
  <si>
    <t>Hälytys - VAK8.JVP_F.HÄL1.DA0 2026.08.04 11</t>
  </si>
  <si>
    <t>11.41.47</t>
  </si>
  <si>
    <t>00000000F4188C90990C1D4F9592A85831DCA99307001CDFA5E3617DAF4D8529086EB3E4B6EC00000000010C00001CDFA5E3617DAF4D8529086EB3E4B6EC0000B6FB3C9C0000</t>
  </si>
  <si>
    <t>Poistunut hälytys - VAK8.JVP_F.HÄL1.DA0 2026.08.04 11</t>
  </si>
  <si>
    <t>11.41.38</t>
  </si>
  <si>
    <t>00000000F4188C90990C1D4F9592A85831DCA99307001CDFA5E3617DAF4D8529086EB3E4B6EC00000000010C00001CDFA5E3617DAF4D8529086EB3E4B6EC0000B6FB3C9B0000</t>
  </si>
  <si>
    <t>Hälytys - VAK8.JVP_F.HÄL1.DA0 2026.08.04 10</t>
  </si>
  <si>
    <t>10.45.22</t>
  </si>
  <si>
    <t>00000000F4188C90990C1D4F9592A85831DCA99307001CDFA5E3617DAF4D8529086EB3E4B6EC00000000010C00001CDFA5E3617DAF4D8529086EB3E4B6EC0000B6FB3C9A0000</t>
  </si>
  <si>
    <t>Poistunut hälytys - VAK8.JVP_F.HÄL1.DA0 2026.08.04 10</t>
  </si>
  <si>
    <t>10.44.47</t>
  </si>
  <si>
    <t>00000000F4188C90990C1D4F9592A85831DCA99307001CDFA5E3617DAF4D8529086EB3E4B6EC00000000010C00001CDFA5E3617DAF4D8529086EB3E4B6EC0000B6FB3C990000</t>
  </si>
  <si>
    <t>10.08.59</t>
  </si>
  <si>
    <t>00000000F4188C90990C1D4F9592A85831DCA99307001CDFA5E3617DAF4D8529086EB3E4B6EC00000000010C00001CDFA5E3617DAF4D8529086EB3E4B6EC0000B6FB3C980000</t>
  </si>
  <si>
    <t>10.08.22</t>
  </si>
  <si>
    <t>00000000F4188C90990C1D4F9592A85831DCA99307001CDFA5E3617DAF4D8529086EB3E4B6EC00000000010C00001CDFA5E3617DAF4D8529086EB3E4B6EC0000B6FB3C970000</t>
  </si>
  <si>
    <t>Hälytys - VAK11.921.OVI01.Ind.A1 2026.08.04 09</t>
  </si>
  <si>
    <t>09.59.52</t>
  </si>
  <si>
    <t>00000000F4188C90990C1D4F9592A85831DCA99307001CDFA5E3617DAF4D8529086EB3E4B6EC00000000010C00001CDFA5E3617DAF4D8529086EB3E4B6EC0000B6FB3C960000</t>
  </si>
  <si>
    <t>Hälytys - VK33.VAK1.I1.PALO.DA0 2026.08.04 09</t>
  </si>
  <si>
    <t>09.01.17</t>
  </si>
  <si>
    <t>00000000F4188C90990C1D4F9592A85831DCA99307001CDFA5E3617DAF4D8529086EB3E4B6EC00000000010C00001CDFA5E3617DAF4D8529086EB3E4B6EC0000B6FB3C950000</t>
  </si>
  <si>
    <t>SPR-PSA3 AMV1 märkähälytysventtiili 1 pohjakerros</t>
  </si>
  <si>
    <t>Hälytys - KK31.VAK2.SPR-PSA3.DA 2026.08.04 08</t>
  </si>
  <si>
    <t>08.19.35</t>
  </si>
  <si>
    <t>00000000F4188C90990C1D4F9592A85831DCA99307001CDFA5E3617DAF4D8529086EB3E4B6EC00000000010C00001CDFA5E3617DAF4D8529086EB3E4B6EC0000B6FB3C940000</t>
  </si>
  <si>
    <t>SPR-KJV1A kuivahälytysventtiili lastauslaituri paine alaraja</t>
  </si>
  <si>
    <t>Hälytys - KK31.VAK2.SPR-KJV1A_paine.DA 2026.08.04 08</t>
  </si>
  <si>
    <t>08.10.10</t>
  </si>
  <si>
    <t>00000000F4188C90990C1D4F9592A85831DCA99307001CDFA5E3617DAF4D8529086EB3E4B6EC00000000010C00001CDFA5E3617DAF4D8529086EB3E4B6EC0000B6FB3C930000</t>
  </si>
  <si>
    <t>SPR-PSA1 vesijohtoverkon paine alaraja</t>
  </si>
  <si>
    <t>Hälytys - KK31.VAK2.SPR-PSA1.DA 2026.08.04 08</t>
  </si>
  <si>
    <t>08.05.31</t>
  </si>
  <si>
    <t>00000000F4188C90990C1D4F9592A85831DCA99307001CDFA5E3617DAF4D8529086EB3E4B6EC00000000010C00001CDFA5E3617DAF4D8529086EB3E4B6EC0000B6FB3C920000</t>
  </si>
  <si>
    <t>Hälytys - ID_5176177 2026.08.04 05</t>
  </si>
  <si>
    <t>05.49.36</t>
  </si>
  <si>
    <t>00000000F4188C90990C1D4F9592A85831DCA99307001CDFA5E3617DAF4D8529086EB3E4B6EC00000000010C00001CDFA5E3617DAF4D8529086EB3E4B6EC0000B6FB3C910000</t>
  </si>
  <si>
    <t>Hälytys - ID_5798719 2026.08.04 05</t>
  </si>
  <si>
    <t>05.11.50</t>
  </si>
  <si>
    <t>00000000F4188C90990C1D4F9592A85831DCA99307001CDFA5E3617DAF4D8529086EB3E4B6EC00000000010C00001CDFA5E3617DAF4D8529086EB3E4B6EC0000B6FB3C900000</t>
  </si>
  <si>
    <t>Poistunut hälytys - VAK4.MB2_WL_BaseVAK4_Alarm2.A 2026.08.04 05</t>
  </si>
  <si>
    <t>05.10.41</t>
  </si>
  <si>
    <t>00000000F4188C90990C1D4F9592A85831DCA99307001CDFA5E3617DAF4D8529086EB3E4B6EC00000000010C00001CDFA5E3617DAF4D8529086EB3E4B6EC0000B6FB3C8F0000</t>
  </si>
  <si>
    <t>Hälytys - ID_5718927 2026.08.04 04</t>
  </si>
  <si>
    <t>04.55.41</t>
  </si>
  <si>
    <t>00000000F4188C90990C1D4F9592A85831DCA99307001CDFA5E3617DAF4D8529086EB3E4B6EC00000000010C00001CDFA5E3617DAF4D8529086EB3E4B6EC0000B6FB3C8E0000</t>
  </si>
  <si>
    <t>Hälytys - VAK8.JVP_F.HÄL1.DA0 2026.08.04 02</t>
  </si>
  <si>
    <t>02.54.14</t>
  </si>
  <si>
    <t>00000000F4188C90990C1D4F9592A85831DCA99307001CDFA5E3617DAF4D8529086EB3E4B6EC00000000010C00001CDFA5E3617DAF4D8529086EB3E4B6EC0000B6FB3C8D0000</t>
  </si>
  <si>
    <t>Poistunut hälytys - VAK8.JVP_F.HÄL1.DA0 2026.08.04 02</t>
  </si>
  <si>
    <t>02.53.53</t>
  </si>
  <si>
    <t>00000000F4188C90990C1D4F9592A85831DCA99307001CDFA5E3617DAF4D8529086EB3E4B6EC00000000010C00001CDFA5E3617DAF4D8529086EB3E4B6EC0000B6FB3C8C0000</t>
  </si>
  <si>
    <t>Hälytys - VAK4.MB1_ADDR5_TK2_TK2_PE01.A3 2026.08.03 22</t>
  </si>
  <si>
    <t>2026.08.03</t>
  </si>
  <si>
    <t>22.27.50</t>
  </si>
  <si>
    <t>00000000F4188C90990C1D4F9592A85831DCA99307001CDFA5E3617DAF4D8529086EB3E4B6EC00000000010C00001CDFA5E3617DAF4D8529086EB3E4B6EC0000B6FB3C8B0000</t>
  </si>
  <si>
    <t>Hälytys - LM1.MB3_ADDR10_FlexM__Error.A 2026.08.03 22</t>
  </si>
  <si>
    <t>22.12.10</t>
  </si>
  <si>
    <t>00000000F4188C90990C1D4F9592A85831DCA99307001CDFA5E3617DAF4D8529086EB3E4B6EC00000000010C00001CDFA5E3617DAF4D8529086EB3E4B6EC0000B6FB3C8A0000</t>
  </si>
  <si>
    <t>Hälytys - VAK4.MB1_ADDR6_TK3_PE01.A3 2026.08.03 22</t>
  </si>
  <si>
    <t>22.06.41</t>
  </si>
  <si>
    <t>00000000F4188C90990C1D4F9592A85831DCA99307001CDFA5E3617DAF4D8529086EB3E4B6EC00000000010C00001CDFA5E3617DAF4D8529086EB3E4B6EC0000B6FB3C890000</t>
  </si>
  <si>
    <t>Hälytys - VAK8.JVP_F.HÄL1.DA0 2026.08.03 21</t>
  </si>
  <si>
    <t>21.42.47</t>
  </si>
  <si>
    <t>00000000F4188C90990C1D4F9592A85831DCA99307001CDFA5E3617DAF4D8529086EB3E4B6EC00000000010C00001CDFA5E3617DAF4D8529086EB3E4B6EC0000B6FB3C880000</t>
  </si>
  <si>
    <t>Poistunut hälytys - VAK8.JVP_F.HÄL1.DA0 2026.08.03 21</t>
  </si>
  <si>
    <t>21.42.22</t>
  </si>
  <si>
    <t>00000000F4188C90990C1D4F9592A85831DCA99307001CDFA5E3617DAF4D8529086EB3E4B6EC00000000010C00001CDFA5E3617DAF4D8529086EB3E4B6EC0000B6FB3C870000</t>
  </si>
  <si>
    <t>Hälytys - VAK4.MB2_WL_BaseVAK4_Alarm2.A 2026.08.03 20</t>
  </si>
  <si>
    <t>20.41.32</t>
  </si>
  <si>
    <t>00000000F4188C90990C1D4F9592A85831DCA99307001CDFA5E3617DAF4D8529086EB3E4B6EC00000000010C00001CDFA5E3617DAF4D8529086EB3E4B6EC0000B6FB3C860000</t>
  </si>
  <si>
    <t>Hälytys - VAK8.JVP_F.HÄL1.DA0 2026.08.03 18</t>
  </si>
  <si>
    <t>18.57.55</t>
  </si>
  <si>
    <t>00000000F4188C90990C1D4F9592A85831DCA99307001CDFA5E3617DAF4D8529086EB3E4B6EC00000000010C00001CDFA5E3617DAF4D8529086EB3E4B6EC0000B6FB3C850000</t>
  </si>
  <si>
    <t>Poistunut hälytys - VAK8.JVP_F.HÄL1.DA0 2026.08.03 18</t>
  </si>
  <si>
    <t>00000000F4188C90990C1D4F9592A85831DCA99307001CDFA5E3617DAF4D8529086EB3E4B6EC00000000010C00001CDFA5E3617DAF4D8529086EB3E4B6EC0000B6FB3C840000</t>
  </si>
  <si>
    <t>18.46.59</t>
  </si>
  <si>
    <t>00000000F4188C90990C1D4F9592A85831DCA99307001CDFA5E3617DAF4D8529086EB3E4B6EC00000000010C00001CDFA5E3617DAF4D8529086EB3E4B6EC0000B6FB3C830000</t>
  </si>
  <si>
    <t>18.47.03</t>
  </si>
  <si>
    <t>00000000F4188C90990C1D4F9592A85831DCA99307001CDFA5E3617DAF4D8529086EB3E4B6EC00000000010C00001CDFA5E3617DAF4D8529086EB3E4B6EC0000B6FB3C820000</t>
  </si>
  <si>
    <t>Hälytys - VAK8.JVP_F.HÄL1.DA0 2026.08.03 17</t>
  </si>
  <si>
    <t>17.18.26</t>
  </si>
  <si>
    <t>00000000F4188C90990C1D4F9592A85831DCA99307001CDFA5E3617DAF4D8529086EB3E4B6EC00000000010C00001CDFA5E3617DAF4D8529086EB3E4B6EC0000B6FB3C810000</t>
  </si>
  <si>
    <t>Poistunut hälytys - VAK8.JVP_F.HÄL1.DA0 2026.08.03 17</t>
  </si>
  <si>
    <t>17.18.42</t>
  </si>
  <si>
    <t>00000000F4188C90990C1D4F9592A85831DCA99307001CDFA5E3617DAF4D8529086EB3E4B6EC00000000010C00001CDFA5E3617DAF4D8529086EB3E4B6EC0000B6FB3C800000</t>
  </si>
  <si>
    <t>Hälytys - VAK8.JVP_F.HÄL1.DA0 2026.08.03 16</t>
  </si>
  <si>
    <t>16.49.54</t>
  </si>
  <si>
    <t>00000000F4188C90990C1D4F9592A85831DCA99307001CDFA5E3617DAF4D8529086EB3E4B6EC00000000010C00001CDFA5E3617DAF4D8529086EB3E4B6EC0000B6FB3C7F0000</t>
  </si>
  <si>
    <t>Poistunut hälytys - VAK8.JVP_F.HÄL1.DA0 2026.08.03 16</t>
  </si>
  <si>
    <t>16.49.35</t>
  </si>
  <si>
    <t>00000000F4188C90990C1D4F9592A85831DCA99307001CDFA5E3617DAF4D8529086EB3E4B6EC00000000010C00001CDFA5E3617DAF4D8529086EB3E4B6EC0000B6FB3C7E0000</t>
  </si>
  <si>
    <t>Hälytys - ID_5702262 2026.08.03 14</t>
  </si>
  <si>
    <t>14.49.34</t>
  </si>
  <si>
    <t>00000000F4188C90990C1D4F9592A85831DCA99307001CDFA5E3617DAF4D8529086EB3E4B6EC00000000010C00001CDFA5E3617DAF4D8529086EB3E4B6EC0000B6FB3C7D0000</t>
  </si>
  <si>
    <t>Hälytys - VAK8.JVP_F.HÄL1.DA0 2026.08.03 14</t>
  </si>
  <si>
    <t>14.09.45</t>
  </si>
  <si>
    <t>00000000F4188C90990C1D4F9592A85831DCA99307001CDFA5E3617DAF4D8529086EB3E4B6EC00000000010C00001CDFA5E3617DAF4D8529086EB3E4B6EC0000B6FB3C7C0000</t>
  </si>
  <si>
    <t>Poistunut hälytys - VAK8.JVP_F.HÄL1.DA0 2026.08.03 14</t>
  </si>
  <si>
    <t>14.09.21</t>
  </si>
  <si>
    <t>00000000F4188C90990C1D4F9592A85831DCA99307001CDFA5E3617DAF4D8529086EB3E4B6EC00000000010C00001CDFA5E3617DAF4D8529086EB3E4B6EC0000B6FB3C7B0000</t>
  </si>
  <si>
    <t>Hälytys - VAK8.JVP_F.HÄL1.DA0 2026.08.03 12</t>
  </si>
  <si>
    <t>12.58.20</t>
  </si>
  <si>
    <t>00000000F4188C90990C1D4F9592A85831DCA99307001CDFA5E3617DAF4D8529086EB3E4B6EC00000000010C00001CDFA5E3617DAF4D8529086EB3E4B6EC0000B6FB3C7A0000</t>
  </si>
  <si>
    <t>Poistunut hälytys - VAK8.JVP_F.HÄL1.DA0 2026.08.03 12</t>
  </si>
  <si>
    <t>12.57.55</t>
  </si>
  <si>
    <t>00000000F4188C90990C1D4F9592A85831DCA99307001CDFA5E3617DAF4D8529086EB3E4B6EC00000000010C00001CDFA5E3617DAF4D8529086EB3E4B6EC0000B6FB3C790000</t>
  </si>
  <si>
    <t>Hälytys - VAK8.JVP_F.HÄL1.DA0 2026.08.03 11</t>
  </si>
  <si>
    <t>11.06.23</t>
  </si>
  <si>
    <t>00000000F4188C90990C1D4F9592A85831DCA99307001CDFA5E3617DAF4D8529086EB3E4B6EC00000000010C00001CDFA5E3617DAF4D8529086EB3E4B6EC0000B6FB3C780000</t>
  </si>
  <si>
    <t>Poistunut hälytys - VAK8.JVP_F.HÄL1.DA0 2026.08.03 11</t>
  </si>
  <si>
    <t>11.06.03</t>
  </si>
  <si>
    <t>00000000F4188C90990C1D4F9592A85831DCA99307001CDFA5E3617DAF4D8529086EB3E4B6EC00000000010C00001CDFA5E3617DAF4D8529086EB3E4B6EC0000B6FB3C770000</t>
  </si>
  <si>
    <t>Perusvesipumppu hälytys</t>
  </si>
  <si>
    <t>Inactive alarm - OF1.DI 2.DA 2026.08.03 10</t>
  </si>
  <si>
    <t>10.36.09</t>
  </si>
  <si>
    <t>00000000F4188C90990C1D4F9592A85831DCA99307001CDFA5E3617DAF4D8529086EB3E4B6EC00000000010C00001CDFA5E3617DAF4D8529086EB3E4B6EC0000B6FB3C760000</t>
  </si>
  <si>
    <t>Hälytys - VAK8.JVP_F.HÄL1.DA0 2026.08.03 10</t>
  </si>
  <si>
    <t>10.27.39</t>
  </si>
  <si>
    <t>00000000F4188C90990C1D4F9592A85831DCA99307001CDFA5E3617DAF4D8529086EB3E4B6EC00000000010C00001CDFA5E3617DAF4D8529086EB3E4B6EC0000B6FB3C750000</t>
  </si>
  <si>
    <t>Poistunut hälytys - VAK8.JVP_F.HÄL1.DA0 2026.08.03 10</t>
  </si>
  <si>
    <t>10.27.17</t>
  </si>
  <si>
    <t>00000000F4188C90990C1D4F9592A85831DCA99307001CDFA5E3617DAF4D8529086EB3E4B6EC00000000010C00001CDFA5E3617DAF4D8529086EB3E4B6EC0000B6FB3C740000</t>
  </si>
  <si>
    <t>10.10.56</t>
  </si>
  <si>
    <t>00000000F4188C90990C1D4F9592A85831DCA99307001CDFA5E3617DAF4D8529086EB3E4B6EC00000000010C00001CDFA5E3617DAF4D8529086EB3E4B6EC0000B6FB3C730000</t>
  </si>
  <si>
    <t>10.13.05</t>
  </si>
  <si>
    <t>00000000F4188C90990C1D4F9592A85831DCA99307001CDFA5E3617DAF4D8529086EB3E4B6EC00000000010C00001CDFA5E3617DAF4D8529086EB3E4B6EC0000B6FB3C720000</t>
  </si>
  <si>
    <t>Hälytys - ID_5718927 2026.08.03 08</t>
  </si>
  <si>
    <t>08.20.57</t>
  </si>
  <si>
    <t>00000000F4188C90990C1D4F9592A85831DCA99307001CDFA5E3617DAF4D8529086EB3E4B6EC00000000010C00001CDFA5E3617DAF4D8529086EB3E4B6EC0000B6FB3C710000</t>
  </si>
  <si>
    <t>Poistunut hälytys - VAK4.MB2_WL_BaseVAK4_Alarm2.A 2026.08.03 05</t>
  </si>
  <si>
    <t>05.06.30</t>
  </si>
  <si>
    <t>00000000F4188C90990C1D4F9592A85831DCA99307001CDFA5E3617DAF4D8529086EB3E4B6EC00000000010C00001CDFA5E3617DAF4D8529086EB3E4B6EC0000B6FB3C700000</t>
  </si>
  <si>
    <t>Hälytys - VAK8.JVP_F.HÄL1.DA0 2026.08.03 02</t>
  </si>
  <si>
    <t>02.26.25</t>
  </si>
  <si>
    <t>00000000F4188C90990C1D4F9592A85831DCA99307001CDFA5E3617DAF4D8529086EB3E4B6EC00000000010C00001CDFA5E3617DAF4D8529086EB3E4B6EC0000B6FB3C6F0000</t>
  </si>
  <si>
    <t>Poistunut hälytys - VAK8.JVP_F.HÄL1.DA0 2026.08.03 02</t>
  </si>
  <si>
    <t>02.25.57</t>
  </si>
  <si>
    <t>00000000F4188C90990C1D4F9592A85831DCA99307001CDFA5E3617DAF4D8529086EB3E4B6EC00000000010C00001CDFA5E3617DAF4D8529086EB3E4B6EC0000B6FB3C6E0000</t>
  </si>
  <si>
    <t>Hälytys - VK33.VAK1.4TK1.FlowAlarm_A.A 2026.08.03 02</t>
  </si>
  <si>
    <t>02.04.53</t>
  </si>
  <si>
    <t>00000000F4188C90990C1D4F9592A85831DCA99307001CDFA5E3617DAF4D8529086EB3E4B6EC00000000010C00001CDFA5E3617DAF4D8529086EB3E4B6EC0000B6FB3C6D0000</t>
  </si>
  <si>
    <t>Hälytys - VAK4.MB1_ADDR6_TK3_PE01.A3 2026.08.02 22</t>
  </si>
  <si>
    <t>2026.08.02</t>
  </si>
  <si>
    <t>22.04.49</t>
  </si>
  <si>
    <t>00000000F4188C90990C1D4F9592A85831DCA99307001CDFA5E3617DAF4D8529086EB3E4B6EC00000000010C00001CDFA5E3617DAF4D8529086EB3E4B6EC0000B6FB3C6C0000</t>
  </si>
  <si>
    <t>Hälytys - LM1.MB3_ADDR10_FlexM__Error.A 2026.08.02 22</t>
  </si>
  <si>
    <t>22.03.07</t>
  </si>
  <si>
    <t>00000000F4188C90990C1D4F9592A85831DCA99307001CDFA5E3617DAF4D8529086EB3E4B6EC00000000010C00001CDFA5E3617DAF4D8529086EB3E4B6EC0000B6FB3C6B0000</t>
  </si>
  <si>
    <t>Hälytys - VAK4.MB1_ADDR5_TK2_TK2_PE01.A3 2026.08.02 21</t>
  </si>
  <si>
    <t>21.04.47</t>
  </si>
  <si>
    <t>00000000F4188C90990C1D4F9592A85831DCA99307001CDFA5E3617DAF4D8529086EB3E4B6EC00000000010C00001CDFA5E3617DAF4D8529086EB3E4B6EC0000B6FB3C6A0000</t>
  </si>
  <si>
    <t>Hälytys - VAK8.JVP_F.HÄL1.DA0 2026.08.02 19</t>
  </si>
  <si>
    <t>19.40.36</t>
  </si>
  <si>
    <t>00000000F4188C90990C1D4F9592A85831DCA99307001CDFA5E3617DAF4D8529086EB3E4B6EC00000000010C00001CDFA5E3617DAF4D8529086EB3E4B6EC0000B6FB3C690000</t>
  </si>
  <si>
    <t>Poistunut hälytys - VAK8.JVP_F.HÄL1.DA0 2026.08.02 19</t>
  </si>
  <si>
    <t>19.40.08</t>
  </si>
  <si>
    <t>00000000F4188C90990C1D4F9592A85831DCA99307001CDFA5E3617DAF4D8529086EB3E4B6EC00000000010C00001CDFA5E3617DAF4D8529086EB3E4B6EC0000B6FB3C680000</t>
  </si>
  <si>
    <t>Hälytys - VAK8.JVP_F.HÄL1.DA0 2026.08.02 18</t>
  </si>
  <si>
    <t>18.30.16</t>
  </si>
  <si>
    <t>00000000F4188C90990C1D4F9592A85831DCA99307001CDFA5E3617DAF4D8529086EB3E4B6EC00000000010C00001CDFA5E3617DAF4D8529086EB3E4B6EC0000B6FB3C670000</t>
  </si>
  <si>
    <t>Poistunut hälytys - VAK8.JVP_F.HÄL1.DA0 2026.08.02 18</t>
  </si>
  <si>
    <t>18.29.42</t>
  </si>
  <si>
    <t>00000000F4188C90990C1D4F9592A85831DCA99307001CDFA5E3617DAF4D8529086EB3E4B6EC00000000010C00001CDFA5E3617DAF4D8529086EB3E4B6EC0000B6FB3C660000</t>
  </si>
  <si>
    <t>Hälytys - VAK8.JVP_F.HÄL1.DA0 2026.08.02 17</t>
  </si>
  <si>
    <t>17.05.06</t>
  </si>
  <si>
    <t>00000000F4188C90990C1D4F9592A85831DCA99307001CDFA5E3617DAF4D8529086EB3E4B6EC00000000010C00001CDFA5E3617DAF4D8529086EB3E4B6EC0000B6FB3C650000</t>
  </si>
  <si>
    <t>Poistunut hälytys - VAK8.JVP_F.HÄL1.DA0 2026.08.02 17</t>
  </si>
  <si>
    <t>17.04.39</t>
  </si>
  <si>
    <t>00000000F4188C90990C1D4F9592A85831DCA99307001CDFA5E3617DAF4D8529086EB3E4B6EC00000000010C00001CDFA5E3617DAF4D8529086EB3E4B6EC0000B6FB3C640000</t>
  </si>
  <si>
    <t>Hälytys - VAK8.JVP_F.HÄL1.DA0 2026.08.02 15</t>
  </si>
  <si>
    <t>15.22.52</t>
  </si>
  <si>
    <t>00000000F4188C90990C1D4F9592A85831DCA99307001CDFA5E3617DAF4D8529086EB3E4B6EC00000000010C00001CDFA5E3617DAF4D8529086EB3E4B6EC0000B6FB3C630000</t>
  </si>
  <si>
    <t>Poistunut hälytys - VAK8.JVP_F.HÄL1.DA0 2026.08.02 15</t>
  </si>
  <si>
    <t>15.22.25</t>
  </si>
  <si>
    <t>00000000F4188C90990C1D4F9592A85831DCA99307001CDFA5E3617DAF4D8529086EB3E4B6EC00000000010C00001CDFA5E3617DAF4D8529086EB3E4B6EC0000B6FB3C620000</t>
  </si>
  <si>
    <t>Hälytys - LM1.MB3_ADDR10_FlexM__Error.A 2026.08.02 15</t>
  </si>
  <si>
    <t>15.13.22</t>
  </si>
  <si>
    <t>00000000F4188C90990C1D4F9592A85831DCA99307001CDFA5E3617DAF4D8529086EB3E4B6EC00000000010C00001CDFA5E3617DAF4D8529086EB3E4B6EC0000B6FB3C610000</t>
  </si>
  <si>
    <t>Hälytys - LM1.MB3_ADDR10_FlexM__Error.A 2026.08.02 13</t>
  </si>
  <si>
    <t>13.45.12</t>
  </si>
  <si>
    <t>00000000F4188C90990C1D4F9592A85831DCA99307001CDFA5E3617DAF4D8529086EB3E4B6EC00000000010C00001CDFA5E3617DAF4D8529086EB3E4B6EC0000B6FB3C600000</t>
  </si>
  <si>
    <t>Hälytys - VAK8.JVP_F.HÄL1.DA0 2026.08.02 13</t>
  </si>
  <si>
    <t>13.00.55</t>
  </si>
  <si>
    <t>00000000F4188C90990C1D4F9592A85831DCA99307001CDFA5E3617DAF4D8529086EB3E4B6EC00000000010C00001CDFA5E3617DAF4D8529086EB3E4B6EC0000B6FB3C5F0000</t>
  </si>
  <si>
    <t>Poistunut hälytys - VAK8.JVP_F.HÄL1.DA0 2026.08.02 13</t>
  </si>
  <si>
    <t>13.00.31</t>
  </si>
  <si>
    <t>00000000F4188C90990C1D4F9592A85831DCA99307001CDFA5E3617DAF4D8529086EB3E4B6EC00000000010C00001CDFA5E3617DAF4D8529086EB3E4B6EC0000B6FB3C5E0000</t>
  </si>
  <si>
    <t>Hälytys - VAK8.JVP_F.HÄL1.DA0 2026.08.02 12</t>
  </si>
  <si>
    <t>12.02.42</t>
  </si>
  <si>
    <t>00000000F4188C90990C1D4F9592A85831DCA99307001CDFA5E3617DAF4D8529086EB3E4B6EC00000000010C00001CDFA5E3617DAF4D8529086EB3E4B6EC0000B6FB3C5D0000</t>
  </si>
  <si>
    <t>Poistunut hälytys - VAK8.JVP_F.HÄL1.DA0 2026.08.02 12</t>
  </si>
  <si>
    <t>12.02.20</t>
  </si>
  <si>
    <t>00000000F4188C90990C1D4F9592A85831DCA99307001CDFA5E3617DAF4D8529086EB3E4B6EC00000000010C00001CDFA5E3617DAF4D8529086EB3E4B6EC0000B6FB3C5C0000</t>
  </si>
  <si>
    <t>Hälytys - VAK8.JVP_F.HÄL1.DA0 2026.08.02 11</t>
  </si>
  <si>
    <t>11.14.51</t>
  </si>
  <si>
    <t>00000000F4188C90990C1D4F9592A85831DCA99307001CDFA5E3617DAF4D8529086EB3E4B6EC00000000010C00001CDFA5E3617DAF4D8529086EB3E4B6EC0000B6FB3C5B0000</t>
  </si>
  <si>
    <t>Poistunut hälytys - VAK8.JVP_F.HÄL1.DA0 2026.08.02 11</t>
  </si>
  <si>
    <t>11.14.28</t>
  </si>
  <si>
    <t>00000000F4188C90990C1D4F9592A85831DCA99307001CDFA5E3617DAF4D8529086EB3E4B6EC00000000010C00001CDFA5E3617DAF4D8529086EB3E4B6EC0000B6FB3C5A0000</t>
  </si>
  <si>
    <t>Hälytys - VAK8.JVP_F.HÄL1.DA0 2026.08.02 05</t>
  </si>
  <si>
    <t>05.45.14</t>
  </si>
  <si>
    <t>00000000F4188C90990C1D4F9592A85831DCA99307001CDFA5E3617DAF4D8529086EB3E4B6EC00000000010C00001CDFA5E3617DAF4D8529086EB3E4B6EC0000B5F8D7720000</t>
  </si>
  <si>
    <t>Poistunut hälytys - VAK8.JVP_F.HÄL1.DA0 2026.08.02 02</t>
  </si>
  <si>
    <t>05.44.48</t>
  </si>
  <si>
    <t>00000000F4188C90990C1D4F9592A85831DCA99307001CDFA5E3617DAF4D8529086EB3E4B6EC00000000010C00001CDFA5E3617DAF4D8529086EB3E4B6EC0000B5F8D7710000</t>
  </si>
  <si>
    <t>Hälytys - VAK8.JVP_F.HÄL1.DA0 2026.08.02 02</t>
  </si>
  <si>
    <t>02.29.07</t>
  </si>
  <si>
    <t>00000000F4188C90990C1D4F9592A85831DCA99307001CDFA5E3617DAF4D8529086EB3E4B6EC00000000010C00001CDFA5E3617DAF4D8529086EB3E4B6EC0000B5F8D7700000</t>
  </si>
  <si>
    <t>Poistunut hälytys - VAK8.JVP_F.HÄL1.DA0 2026.08.01 22</t>
  </si>
  <si>
    <t>02.28.40</t>
  </si>
  <si>
    <t>00000000F4188C90990C1D4F9592A85831DCA99307001CDFA5E3617DAF4D8529086EB3E4B6EC00000000010C00001CDFA5E3617DAF4D8529086EB3E4B6EC0000B5F8D76F0000</t>
  </si>
  <si>
    <t>Hälytys - VK33.VAK1.4TK1.FlowAlarm_A.A 2026.08.02 02</t>
  </si>
  <si>
    <t>02.03.45</t>
  </si>
  <si>
    <t>00000000F4188C90990C1D4F9592A85831DCA99307001CDFA5E3617DAF4D8529086EB3E4B6EC00000000010C00001CDFA5E3617DAF4D8529086EB3E4B6EC0000B5F8D76E0000</t>
  </si>
  <si>
    <t>Hälytys - VAK4.MB1_ADDR5_TK2_TK2_PE01.A3 2026.08.01 22</t>
  </si>
  <si>
    <t>2026.08.01</t>
  </si>
  <si>
    <t>22.49.54</t>
  </si>
  <si>
    <t>00000000F4188C90990C1D4F9592A85831DCA99307001CDFA5E3617DAF4D8529086EB3E4B6EC00000000010C00001CDFA5E3617DAF4D8529086EB3E4B6EC0000B5F8D76D0000</t>
  </si>
  <si>
    <t>Hälytys - VAK8.JVP_F.HÄL1.DA0 2026.08.01 22</t>
  </si>
  <si>
    <t>22.40.51</t>
  </si>
  <si>
    <t>00000000F4188C90990C1D4F9592A85831DCA99307001CDFA5E3617DAF4D8529086EB3E4B6EC00000000010C00001CDFA5E3617DAF4D8529086EB3E4B6EC0000B5F8D76C0000</t>
  </si>
  <si>
    <t>Poistunut hälytys - VAK8.JVP_F.HÄL1.DA0 2026.08.01 18</t>
  </si>
  <si>
    <t>22.40.26</t>
  </si>
  <si>
    <t>00000000F4188C90990C1D4F9592A85831DCA99307001CDFA5E3617DAF4D8529086EB3E4B6EC00000000010C00001CDFA5E3617DAF4D8529086EB3E4B6EC0000B5F8D76B0000</t>
  </si>
  <si>
    <t>Hälytys - VAK4.MB1_ADDR6_TK3_PE01.A3 2026.08.01 22</t>
  </si>
  <si>
    <t>00000000F4188C90990C1D4F9592A85831DCA99307001CDFA5E3617DAF4D8529086EB3E4B6EC00000000010C00001CDFA5E3617DAF4D8529086EB3E4B6EC0000B5F8D76A0000</t>
  </si>
  <si>
    <t>Hälytys - VAK4.MB2_WL_BaseVAK4_Alarm2.A 2026.08.01 20</t>
  </si>
  <si>
    <t>20.43.31</t>
  </si>
  <si>
    <t>00000000F4188C90990C1D4F9592A85831DCA99307001CDFA5E3617DAF4D8529086EB3E4B6EC00000000010C00001CDFA5E3617DAF4D8529086EB3E4B6EC0000B5F8D7690000</t>
  </si>
  <si>
    <t>Hälytys - KK31.VAK2.PF05.PF05PE02.1.A2 2026.08.01 19</t>
  </si>
  <si>
    <t>19.58.47</t>
  </si>
  <si>
    <t>00000000F4188C90990C1D4F9592A85831DCA99307001CDFA5E3617DAF4D8529086EB3E4B6EC00000000010C00001CDFA5E3617DAF4D8529086EB3E4B6EC0000B5F8D7680000</t>
  </si>
  <si>
    <t>Hälytys - VAK8.JVP_F.HÄL1.DA0 2026.08.01 18</t>
  </si>
  <si>
    <t>18.29.46</t>
  </si>
  <si>
    <t>00000000F4188C90990C1D4F9592A85831DCA99307001CDFA5E3617DAF4D8529086EB3E4B6EC00000000010C00001CDFA5E3617DAF4D8529086EB3E4B6EC0000B5F8D7670000</t>
  </si>
  <si>
    <t>Poistunut hälytys - VAK8.JVP_F.HÄL1.DA0 2026.08.01 17</t>
  </si>
  <si>
    <t>18.29.17</t>
  </si>
  <si>
    <t>00000000F4188C90990C1D4F9592A85831DCA99307001CDFA5E3617DAF4D8529086EB3E4B6EC00000000010C00001CDFA5E3617DAF4D8529086EB3E4B6EC0000B5F8D7660000</t>
  </si>
  <si>
    <t>Hälytys - VAK8.JVP_F.HÄL1.DA0 2026.08.01 17</t>
  </si>
  <si>
    <t>17.29.49</t>
  </si>
  <si>
    <t>00000000F4188C90990C1D4F9592A85831DCA99307001CDFA5E3617DAF4D8529086EB3E4B6EC00000000010C00001CDFA5E3617DAF4D8529086EB3E4B6EC0000B5F8D7650000</t>
  </si>
  <si>
    <t>Poistunut hälytys - VAK8.JVP_F.HÄL1.DA0 2026.08.01 16</t>
  </si>
  <si>
    <t>17.29.20</t>
  </si>
  <si>
    <t>00000000F4188C90990C1D4F9592A85831DCA99307001CDFA5E3617DAF4D8529086EB3E4B6EC00000000010C00001CDFA5E3617DAF4D8529086EB3E4B6EC0000B5F8D7640000</t>
  </si>
  <si>
    <t>Hälytys - LM1.MB3_ADDR10_FlexM__Error.A 2026.08.01 16</t>
  </si>
  <si>
    <t>16.55.47</t>
  </si>
  <si>
    <t>00000000F4188C90990C1D4F9592A85831DCA99307001CDFA5E3617DAF4D8529086EB3E4B6EC00000000010C00001CDFA5E3617DAF4D8529086EB3E4B6EC0000B5F8D7630000</t>
  </si>
  <si>
    <t>Hälytys - VAK8.JVP_F.HÄL1.DA0 2026.08.01 16</t>
  </si>
  <si>
    <t>16.44.34</t>
  </si>
  <si>
    <t>00000000F4188C90990C1D4F9592A85831DCA99307001CDFA5E3617DAF4D8529086EB3E4B6EC00000000010C00001CDFA5E3617DAF4D8529086EB3E4B6EC0000B5F8D7620000</t>
  </si>
  <si>
    <t>16.44.04</t>
  </si>
  <si>
    <t>00000000F4188C90990C1D4F9592A85831DCA99307001CDFA5E3617DAF4D8529086EB3E4B6EC00000000010C00001CDFA5E3617DAF4D8529086EB3E4B6EC0000B5F8D7610000</t>
  </si>
  <si>
    <t>16.01.19</t>
  </si>
  <si>
    <t>00000000F4188C90990C1D4F9592A85831DCA99307001CDFA5E3617DAF4D8529086EB3E4B6EC00000000010C00001CDFA5E3617DAF4D8529086EB3E4B6EC0000B5F8D7600000</t>
  </si>
  <si>
    <t>Poistunut hälytys - VAK8.JVP_F.HÄL1.DA0 2026.08.01 14</t>
  </si>
  <si>
    <t>16.01.03</t>
  </si>
  <si>
    <t>00000000F4188C90990C1D4F9592A85831DCA99307001CDFA5E3617DAF4D8529086EB3E4B6EC00000000010C00001CDFA5E3617DAF4D8529086EB3E4B6EC0000B5F8D75F0000</t>
  </si>
  <si>
    <t>Hälytys - VAK8.JVP_F.HÄL1.DA0 2026.08.01 14</t>
  </si>
  <si>
    <t>14.18.33</t>
  </si>
  <si>
    <t>00000000F4188C90990C1D4F9592A85831DCA99307001CDFA5E3617DAF4D8529086EB3E4B6EC00000000010C00001CDFA5E3617DAF4D8529086EB3E4B6EC0000B5F8D75E0000</t>
  </si>
  <si>
    <t>Poistunut hälytys - VAK8.JVP_F.HÄL1.DA0 2026.08.01 12</t>
  </si>
  <si>
    <t>14.18.08</t>
  </si>
  <si>
    <t>00000000F4188C90990C1D4F9592A85831DCA99307001CDFA5E3617DAF4D8529086EB3E4B6EC00000000010C00001CDFA5E3617DAF4D8529086EB3E4B6EC0000B5F8D75D0000</t>
  </si>
  <si>
    <t>Hälytys - VAK8.JVP_F.HÄL1.DA0 2026.08.01 12</t>
  </si>
  <si>
    <t>12.12.47</t>
  </si>
  <si>
    <t>00000000F4188C90990C1D4F9592A85831DCA99307001CDFA5E3617DAF4D8529086EB3E4B6EC00000000010C00001CDFA5E3617DAF4D8529086EB3E4B6EC0000B5F8D75C0000</t>
  </si>
  <si>
    <t>Poistunut hälytys - VAK8.JVP_F.HÄL1.DA0 2026.08.01 11</t>
  </si>
  <si>
    <t>12.12.26</t>
  </si>
  <si>
    <t>00000000F4188C90990C1D4F9592A85831DCA99307001CDFA5E3617DAF4D8529086EB3E4B6EC00000000010C00001CDFA5E3617DAF4D8529086EB3E4B6EC0000B5F8D75B0000</t>
  </si>
  <si>
    <t>Hälytys - VAK8.JVP_F.HÄL1.DA0 2026.08.01 11</t>
  </si>
  <si>
    <t>11.25.24</t>
  </si>
  <si>
    <t>00000000F4188C90990C1D4F9592A85831DCA99307001CDFA5E3617DAF4D8529086EB3E4B6EC00000000010C00001CDFA5E3617DAF4D8529086EB3E4B6EC0000B5F8D75A0000</t>
  </si>
  <si>
    <t>Poistunut hälytys - VAK8.JVP_F.HÄL1.DA0 2026.08.01 10</t>
  </si>
  <si>
    <t>11.24.57</t>
  </si>
  <si>
    <t>00000000F4188C90990C1D4F9592A85831DCA99307001CDFA5E3617DAF4D8529086EB3E4B6EC00000000010C00001CDFA5E3617DAF4D8529086EB3E4B6EC0000B5F8D7590000</t>
  </si>
  <si>
    <t>Hälytys - VAK8.JVP_F.HÄL1.DA0 2026.08.01 10</t>
  </si>
  <si>
    <t>10.12.59</t>
  </si>
  <si>
    <t>00000000F4188C90990C1D4F9592A85831DCA99307001CDFA5E3617DAF4D8529086EB3E4B6EC00000000010C00001CDFA5E3617DAF4D8529086EB3E4B6EC0000B5F8D7580000</t>
  </si>
  <si>
    <t>Poistunut hälytys - VAK8.JVP_F.HÄL1.DA0 2026.08.01 05</t>
  </si>
  <si>
    <t>10.12.33</t>
  </si>
  <si>
    <t>00000000F4188C90990C1D4F9592A85831DCA99307001CDFA5E3617DAF4D8529086EB3E4B6EC00000000010C00001CDFA5E3617DAF4D8529086EB3E4B6EC0000B5F8D7570000</t>
  </si>
  <si>
    <t>Hälytys - KK31.VAK2.PF06.PF06PE02.1.A2 2026.08.01 10</t>
  </si>
  <si>
    <t>10.03.07</t>
  </si>
  <si>
    <t>00000000F4188C90990C1D4F9592A85831DCA99307001CDFA5E3617DAF4D8529086EB3E4B6EC00000000010C00001CDFA5E3617DAF4D8529086EB3E4B6EC0000B5F8D7560000</t>
  </si>
  <si>
    <t>Hälytys - VAK8.JVP_F.HÄL1.DA0 2026.08.01 05</t>
  </si>
  <si>
    <t>05.16.45</t>
  </si>
  <si>
    <t>00000000F4188C90990C1D4F9592A85831DCA99307001CDFA5E3617DAF4D8529086EB3E4B6EC00000000010C00001CDFA5E3617DAF4D8529086EB3E4B6EC0000B5F8D7550000</t>
  </si>
  <si>
    <t>Poistunut hälytys - VAK8.JVP_F.HÄL1.DA0 2026.08.01 01</t>
  </si>
  <si>
    <t>05.16.19</t>
  </si>
  <si>
    <t>00000000F4188C90990C1D4F9592A85831DCA99307001CDFA5E3617DAF4D8529086EB3E4B6EC00000000010C00001CDFA5E3617DAF4D8529086EB3E4B6EC0000B5F8D7540000</t>
  </si>
  <si>
    <t>Poistunut hälytys - VAK4.MB2_WL_BaseVAK4_Alarm2.A 2026.07.31 20</t>
  </si>
  <si>
    <t>05.10.36</t>
  </si>
  <si>
    <t>00000000F4188C90990C1D4F9592A85831DCA99307001CDFA5E3617DAF4D8529086EB3E4B6EC00000000010C00001CDFA5E3617DAF4D8529086EB3E4B6EC0000B5F8D7530000</t>
  </si>
  <si>
    <t>Hälytys - VK33.VAK1.4TK1.FlowAlarm_A.A 2026.08.01 03</t>
  </si>
  <si>
    <t>03.38.06</t>
  </si>
  <si>
    <t>00000000F4188C90990C1D4F9592A85831DCA99307001CDFA5E3617DAF4D8529086EB3E4B6EC00000000010C00001CDFA5E3617DAF4D8529086EB3E4B6EC0000B5F8D7520000</t>
  </si>
  <si>
    <t>Hälytys - VAK8.JVP_F.HÄL1.DA0 2026.08.01 01</t>
  </si>
  <si>
    <t>01.11.40</t>
  </si>
  <si>
    <t>00000000F4188C90990C1D4F9592A85831DCA99307001CDFA5E3617DAF4D8529086EB3E4B6EC00000000010C00001CDFA5E3617DAF4D8529086EB3E4B6EC0000B5F8D7510000</t>
  </si>
  <si>
    <t>Poistunut hälytys - VAK8.JVP_F.HÄL1.DA0 2026.07.31 19</t>
  </si>
  <si>
    <t>01.11.18</t>
  </si>
  <si>
    <t>00000000F4188C90990C1D4F9592A85831DCA99307001CDFA5E3617DAF4D8529086EB3E4B6EC00000000010C00001CDFA5E3617DAF4D8529086EB3E4B6EC0000B5F8D7500000</t>
  </si>
  <si>
    <t>Done (6613 items checked)</t>
  </si>
  <si>
    <t xml:space="preserve">    Active:   2026.08.25 22.05.11</t>
  </si>
  <si>
    <t xml:space="preserve">    Active:   2026.08.25 21.19.17</t>
  </si>
  <si>
    <t xml:space="preserve">  VAK1 - Paloilmoittimen hälytys</t>
  </si>
  <si>
    <t xml:space="preserve">    Active:   2026.08.25 08.15.48</t>
  </si>
  <si>
    <t xml:space="preserve">    Active:   2026.08.25 20.43.19</t>
  </si>
  <si>
    <t xml:space="preserve">    Active:   2026.08.25 20.33.38</t>
  </si>
  <si>
    <t xml:space="preserve">    Cleared: 2026.08.25 20.33.18</t>
  </si>
  <si>
    <t xml:space="preserve">    Active:   2026.08.25 18.47.48</t>
  </si>
  <si>
    <t xml:space="preserve">    Cleared: 2026.08.25 18.47.21</t>
  </si>
  <si>
    <t xml:space="preserve">    Active:   2026.08.25 15.59.45</t>
  </si>
  <si>
    <t xml:space="preserve">    Cleared: 2026.08.25 15.59.27</t>
  </si>
  <si>
    <t xml:space="preserve">    Active:   2026.08.25 14.09.54</t>
  </si>
  <si>
    <t xml:space="preserve">    Cleared: 2026.08.25 14.09.46</t>
  </si>
  <si>
    <t xml:space="preserve">    Active:   2026.08.25 12.45.19</t>
  </si>
  <si>
    <t xml:space="preserve">    Cleared: 2026.08.25 12.45.02</t>
  </si>
  <si>
    <t xml:space="preserve">    Active:   2026.08.25 11.26.34</t>
  </si>
  <si>
    <t xml:space="preserve">    Cleared: 2026.08.25 11.26.11</t>
  </si>
  <si>
    <t xml:space="preserve">    Active:   2026.08.25 10.41.55</t>
  </si>
  <si>
    <t xml:space="preserve">    Cleared: 2026.08.25 10.41.43</t>
  </si>
  <si>
    <t xml:space="preserve">    Active:   2026.08.25 10.09.56</t>
  </si>
  <si>
    <t xml:space="preserve">    Cleared: 2026.08.25 10.09.31</t>
  </si>
  <si>
    <t xml:space="preserve">    Active:   2026.08.25 18.56.22</t>
  </si>
  <si>
    <t xml:space="preserve">  VAK11 - Kuuluvuushälytys</t>
  </si>
  <si>
    <t xml:space="preserve">    Cleared: 2026.08.25 13.41.07</t>
  </si>
  <si>
    <t xml:space="preserve">    Active:   2026.08.25 13.34.16</t>
  </si>
  <si>
    <t xml:space="preserve">  VAK11 - TK2 Poistoilmasuodatin kytkin</t>
  </si>
  <si>
    <t xml:space="preserve">    Cleared: 2026.08.25 10.46.25</t>
  </si>
  <si>
    <t xml:space="preserve">    Active:   2026.08.25 10.45.58</t>
  </si>
  <si>
    <t xml:space="preserve">  VAK11 - TK2 Höyrykostutin häiriö</t>
  </si>
  <si>
    <t xml:space="preserve">    Cleared: 2026.08.25 10.46.15</t>
  </si>
  <si>
    <t xml:space="preserve">    Active:   2026.08.25 10.45.57</t>
  </si>
  <si>
    <t xml:space="preserve">  VAK11 - TK2 Tuloilmasuodatin kytkin</t>
  </si>
  <si>
    <t xml:space="preserve">    Cleared: 2026.08.25 10.46.14</t>
  </si>
  <si>
    <t xml:space="preserve">  VAK11 - Kompensointiparisto hälytys</t>
  </si>
  <si>
    <t xml:space="preserve">    Cleared: 2026.08.25 10.44.29</t>
  </si>
  <si>
    <t xml:space="preserve">    Active:   2026.08.25 10.44.09</t>
  </si>
  <si>
    <t xml:space="preserve">  VAK11 - TK4 Tuloilmasuodatin kytkin</t>
  </si>
  <si>
    <t xml:space="preserve">    Cleared: 2026.08.25 10.44.28</t>
  </si>
  <si>
    <t xml:space="preserve">    Active:   2026.08.25 10.44.00</t>
  </si>
  <si>
    <t xml:space="preserve">  VAK11 - TK4 Poistoilmasuodatin kytkin</t>
  </si>
  <si>
    <t xml:space="preserve">    Active:   2026.08.25 10.44.03</t>
  </si>
  <si>
    <t xml:space="preserve">  VAK11 - Paloilmoitinkeskus, palohälytys</t>
  </si>
  <si>
    <t xml:space="preserve">    Cleared: 2026.08.25 10.44.25</t>
  </si>
  <si>
    <t xml:space="preserve">    Active:   2026.08.25 10.44.05</t>
  </si>
  <si>
    <t xml:space="preserve">    Cleared: 2026.08.25 10.43.58</t>
  </si>
  <si>
    <t xml:space="preserve">    Active:   2026.08.25 09.57.20</t>
  </si>
  <si>
    <t xml:space="preserve">  VAK11 - TK1 Poistopuhallin PK1.1 ristiriita</t>
  </si>
  <si>
    <t xml:space="preserve">    Cleared: 2026.08.25 10.43.09</t>
  </si>
  <si>
    <t xml:space="preserve">    Active:   2026.08.25 09.58.42</t>
  </si>
  <si>
    <t xml:space="preserve">    Active:   2026.08.25 13.29.57</t>
  </si>
  <si>
    <t xml:space="preserve">    Active:   2026.08.25 11.32.30</t>
  </si>
  <si>
    <t xml:space="preserve">    Active:   2026.08.31 22.05.06</t>
  </si>
  <si>
    <t xml:space="preserve">    Active:   2026.08.30 22.04.27</t>
  </si>
  <si>
    <t xml:space="preserve">    Active:   2026.08.29 22.04.29</t>
  </si>
  <si>
    <t xml:space="preserve">    Active:   2026.08.28 22.05.42</t>
  </si>
  <si>
    <t xml:space="preserve">    Active:   2026.08.27 22.04.58</t>
  </si>
  <si>
    <t xml:space="preserve">    Active:   2026.08.26 22.04.47</t>
  </si>
  <si>
    <t xml:space="preserve">    Active:   2026.08.18 22.03.39</t>
  </si>
  <si>
    <t xml:space="preserve">    Active:   2026.08.17 22.04.25</t>
  </si>
  <si>
    <t xml:space="preserve">    Active:   2026.08.16 22.03.06</t>
  </si>
  <si>
    <t xml:space="preserve">    Active:   2026.08.15 22.05.41</t>
  </si>
  <si>
    <t xml:space="preserve">    Active:   2026.08.14 22.05.12</t>
  </si>
  <si>
    <t xml:space="preserve">    Active:   2026.08.13 22.05.23</t>
  </si>
  <si>
    <t xml:space="preserve">    Active:   2026.08.12 22.03.52</t>
  </si>
  <si>
    <t xml:space="preserve">    Active:   2026.08.11 22.03.57</t>
  </si>
  <si>
    <t xml:space="preserve">    Active:   2026.08.10 22.04.19</t>
  </si>
  <si>
    <t xml:space="preserve">    Active:   2026.08.09 22.09.35</t>
  </si>
  <si>
    <t xml:space="preserve">    Active:   2026.08.08 22.04.40</t>
  </si>
  <si>
    <t xml:space="preserve">    Active:   2026.08.07 22.04.36</t>
  </si>
  <si>
    <t xml:space="preserve">    Active:   2026.08.06 22.05.17</t>
  </si>
  <si>
    <t xml:space="preserve">    Active:   2026.08.05 22.03.33</t>
  </si>
  <si>
    <t xml:space="preserve">    Active:   2026.08.04 22.04.09</t>
  </si>
  <si>
    <t xml:space="preserve">    Active:   2026.08.03 22.06.41</t>
  </si>
  <si>
    <t xml:space="preserve">    Active:   2026.08.02 22.04.49</t>
  </si>
  <si>
    <t xml:space="preserve">    Active:   2026.08.01 22.05.48</t>
  </si>
  <si>
    <t xml:space="preserve">    Active:   2026.08.31 21.03.30</t>
  </si>
  <si>
    <t xml:space="preserve">    Active:   2026.08.30 21.05.33</t>
  </si>
  <si>
    <t xml:space="preserve">    Active:   2026.08.29 21.21.28</t>
  </si>
  <si>
    <t xml:space="preserve">    Active:   2026.08.28 21.05.54</t>
  </si>
  <si>
    <t xml:space="preserve">    Active:   2026.08.27 21.08.56</t>
  </si>
  <si>
    <t xml:space="preserve">    Active:   2026.08.26 21.04.53</t>
  </si>
  <si>
    <t xml:space="preserve">    Active:   2026.08.18 21.02.18</t>
  </si>
  <si>
    <t xml:space="preserve">    Active:   2026.08.17 21.02.56</t>
  </si>
  <si>
    <t xml:space="preserve">    Active:   2026.08.16 21.03.57</t>
  </si>
  <si>
    <t xml:space="preserve">    Active:   2026.08.15 23.34.59</t>
  </si>
  <si>
    <t xml:space="preserve">    Active:   2026.08.14 21.05.57</t>
  </si>
  <si>
    <t xml:space="preserve">    Active:   2026.08.13 21.03.57</t>
  </si>
  <si>
    <t xml:space="preserve">    Active:   2026.08.12 21.02.47</t>
  </si>
  <si>
    <t xml:space="preserve">    Active:   2026.08.11 21.02.49</t>
  </si>
  <si>
    <t xml:space="preserve">    Active:   2026.08.10 21.02.31</t>
  </si>
  <si>
    <t xml:space="preserve">    Active:   2026.08.09 21.03.07</t>
  </si>
  <si>
    <t xml:space="preserve">    Active:   2026.08.08 21.02.24</t>
  </si>
  <si>
    <t xml:space="preserve">    Active:   2026.08.07 21.02.40</t>
  </si>
  <si>
    <t xml:space="preserve">    Active:   2026.08.06 23.02.19</t>
  </si>
  <si>
    <t xml:space="preserve">    Active:   2026.08.05 21.02.03</t>
  </si>
  <si>
    <t xml:space="preserve">    Active:   2026.08.04 21.03.03</t>
  </si>
  <si>
    <t xml:space="preserve">    Active:   2026.08.03 22.27.50</t>
  </si>
  <si>
    <t xml:space="preserve">    Active:   2026.08.02 21.04.47</t>
  </si>
  <si>
    <t xml:space="preserve">    Active:   2026.08.01 22.49.54</t>
  </si>
  <si>
    <t xml:space="preserve">  WL-Base - Kuuluvuushälytys</t>
  </si>
  <si>
    <t xml:space="preserve">    Active:   2026.08.27 23.38.28</t>
  </si>
  <si>
    <t xml:space="preserve">    Active:   2026.08.18 08.27.24</t>
  </si>
  <si>
    <t xml:space="preserve">    Active:   2026.08.18 06.48.17</t>
  </si>
  <si>
    <t xml:space="preserve">  VAK4 - Kuuluvuushälytys</t>
  </si>
  <si>
    <t xml:space="preserve">    Active:   2026.08.27 23.16.33</t>
  </si>
  <si>
    <t xml:space="preserve">  VAK1 - Kuuluvuushälytys</t>
  </si>
  <si>
    <t xml:space="preserve">    Active:   2026.08.27 20.58.06</t>
  </si>
  <si>
    <t xml:space="preserve">    Active:   2026.08.31 21.10.13</t>
  </si>
  <si>
    <t xml:space="preserve">    Active:   2026.08.31 20.25.01</t>
  </si>
  <si>
    <t xml:space="preserve">    Active:   2026.08.31 19.51.16</t>
  </si>
  <si>
    <t xml:space="preserve">    Active:   2026.08.31 19.40.18</t>
  </si>
  <si>
    <t xml:space="preserve">    Active:   2026.08.26 13.35.04</t>
  </si>
  <si>
    <t xml:space="preserve">    Active:   2026.08.26 09.36.46</t>
  </si>
  <si>
    <t xml:space="preserve">    Active:   2026.08.11 15.28.09</t>
  </si>
  <si>
    <t xml:space="preserve">    Active:   2026.08.01 19.58.47</t>
  </si>
  <si>
    <t xml:space="preserve">    Active:   2026.08.01 10.03.07</t>
  </si>
  <si>
    <t xml:space="preserve">  VAK1.1 - Poistoilman paineen alaraja</t>
  </si>
  <si>
    <t xml:space="preserve">    Active:   2026.08.30 00.40.31</t>
  </si>
  <si>
    <t xml:space="preserve">    Active:   2026.08.29 00.10.50</t>
  </si>
  <si>
    <t xml:space="preserve">    Active:   2026.08.16 02.12.41</t>
  </si>
  <si>
    <t xml:space="preserve">    Active:   2026.08.09 03.21.14</t>
  </si>
  <si>
    <t xml:space="preserve">  VAK1.1 - Poistoilman taajuusmuuttaja PF5</t>
  </si>
  <si>
    <t xml:space="preserve">    Active:   2026.08.17 21.32.05</t>
  </si>
  <si>
    <t xml:space="preserve">  VAK2 - SPR-PSA3 AMV1 märkähälytysventtiili 1 pohjakerros</t>
  </si>
  <si>
    <t xml:space="preserve">    Active:   2026.08.04 08.19.35</t>
  </si>
  <si>
    <t xml:space="preserve">  VAK2 - SPR-KJV1A kuivahälytysventtiili lastauslaituri paine alaraja</t>
  </si>
  <si>
    <t xml:space="preserve">    Active:   2026.08.04 08.10.10</t>
  </si>
  <si>
    <t xml:space="preserve">  VAK2 - SPR-PSA1 vesijohtoverkon paine alaraja</t>
  </si>
  <si>
    <t xml:space="preserve">    Active:   2026.08.04 08.05.31</t>
  </si>
  <si>
    <t xml:space="preserve">    Active:   2026.08.31 20.43.43</t>
  </si>
  <si>
    <t xml:space="preserve">    Cleared: 2026.08.31 05.10.59</t>
  </si>
  <si>
    <t xml:space="preserve">    Active:   2026.08.29 20.43.30</t>
  </si>
  <si>
    <t xml:space="preserve">    Cleared: 2026.08.29 05.10.49</t>
  </si>
  <si>
    <t xml:space="preserve">    Active:   2026.08.28 20.44.31</t>
  </si>
  <si>
    <t xml:space="preserve">    Cleared: 2026.08.28 05.01.52</t>
  </si>
  <si>
    <t xml:space="preserve">    Active:   2026.08.27 20.33.31</t>
  </si>
  <si>
    <t xml:space="preserve">    Cleared: 2026.08.27 05.10.59</t>
  </si>
  <si>
    <t xml:space="preserve">    Active:   2026.08.26 20.43.29</t>
  </si>
  <si>
    <t xml:space="preserve">    Cleared: 2026.08.26 05.10.59</t>
  </si>
  <si>
    <t xml:space="preserve">    Active:   2026.08.18 20.43.21</t>
  </si>
  <si>
    <t xml:space="preserve">    Cleared: 2026.08.18 05.10.40</t>
  </si>
  <si>
    <t xml:space="preserve">    Active:   2026.08.17 20.43.22</t>
  </si>
  <si>
    <t xml:space="preserve">    Cleared: 2026.08.17 05.10.53</t>
  </si>
  <si>
    <t xml:space="preserve">    Active:   2026.08.15 20.43.58</t>
  </si>
  <si>
    <t xml:space="preserve">    Cleared: 2026.08.15 05.10.42</t>
  </si>
  <si>
    <t xml:space="preserve">    Active:   2026.08.14 20.43.22</t>
  </si>
  <si>
    <t xml:space="preserve">    Cleared: 2026.08.14 05.10.43</t>
  </si>
  <si>
    <t xml:space="preserve">    Active:   2026.08.13 20.43.22</t>
  </si>
  <si>
    <t xml:space="preserve">    Cleared: 2026.08.13 05.10.39</t>
  </si>
  <si>
    <t xml:space="preserve">    Active:   2026.08.12 20.44.22</t>
  </si>
  <si>
    <t xml:space="preserve">    Cleared: 2026.08.12 05.01.28</t>
  </si>
  <si>
    <t xml:space="preserve">    Active:   2026.08.11 20.33.12</t>
  </si>
  <si>
    <t xml:space="preserve">    Cleared: 2026.08.11 05.10.29</t>
  </si>
  <si>
    <t xml:space="preserve">    Active:   2026.08.10 20.43.11</t>
  </si>
  <si>
    <t xml:space="preserve">    Cleared: 2026.08.10 05.10.30</t>
  </si>
  <si>
    <t xml:space="preserve">    Active:   2026.08.08 20.43.11</t>
  </si>
  <si>
    <t xml:space="preserve">    Cleared: 2026.08.08 05.10.30</t>
  </si>
  <si>
    <t xml:space="preserve">    Active:   2026.08.07 20.43.11</t>
  </si>
  <si>
    <t xml:space="preserve">    Cleared: 2026.08.07 05.10.31</t>
  </si>
  <si>
    <t xml:space="preserve">    Active:   2026.08.06 20.44.22</t>
  </si>
  <si>
    <t xml:space="preserve">    Cleared: 2026.08.06 05.01.34</t>
  </si>
  <si>
    <t xml:space="preserve">    Active:   2026.08.05 20.43.13</t>
  </si>
  <si>
    <t xml:space="preserve">    Cleared: 2026.08.05 05.01.45</t>
  </si>
  <si>
    <t xml:space="preserve">    Active:   2026.08.04 20.44.30</t>
  </si>
  <si>
    <t xml:space="preserve">    Cleared: 2026.08.04 05.10.41</t>
  </si>
  <si>
    <t xml:space="preserve">    Active:   2026.08.03 20.41.32</t>
  </si>
  <si>
    <t xml:space="preserve">    Cleared: 2026.08.03 05.06.30</t>
  </si>
  <si>
    <t xml:space="preserve">    Active:   2026.08.01 20.43.31</t>
  </si>
  <si>
    <t xml:space="preserve">    Cleared: 2026.08.01 05.10.36</t>
  </si>
  <si>
    <t xml:space="preserve">    Active:   2026.08.31 20.27.33</t>
  </si>
  <si>
    <t xml:space="preserve">    Cleared: 2026.08.31 20.27.06</t>
  </si>
  <si>
    <t xml:space="preserve">    Active:   2026.08.31 15.58.29</t>
  </si>
  <si>
    <t xml:space="preserve">    Cleared: 2026.08.31 15.58.03</t>
  </si>
  <si>
    <t xml:space="preserve">    Active:   2026.08.31 13.06.30</t>
  </si>
  <si>
    <t xml:space="preserve">    Cleared: 2026.08.31 13.05.55</t>
  </si>
  <si>
    <t xml:space="preserve">    Active:   2026.08.31 10.58.19</t>
  </si>
  <si>
    <t xml:space="preserve">    Cleared: 2026.08.31 10.58.00</t>
  </si>
  <si>
    <t xml:space="preserve">    Active:   2026.08.31 09.26.15</t>
  </si>
  <si>
    <t xml:space="preserve">    Cleared: 2026.08.31 09.25.56</t>
  </si>
  <si>
    <t xml:space="preserve">    Active:   2026.08.30 23.42.37</t>
  </si>
  <si>
    <t xml:space="preserve">    Cleared: 2026.08.30 23.42.22</t>
  </si>
  <si>
    <t xml:space="preserve">    Active:   2026.08.30 16.39.35</t>
  </si>
  <si>
    <t xml:space="preserve">    Cleared: 2026.08.30 16.39.05</t>
  </si>
  <si>
    <t xml:space="preserve">    Active:   2026.08.30 07.07.59</t>
  </si>
  <si>
    <t xml:space="preserve">    Cleared: 2026.08.30 07.07.36</t>
  </si>
  <si>
    <t xml:space="preserve">    Active:   2026.08.29 23.26.29</t>
  </si>
  <si>
    <t xml:space="preserve">    Cleared: 2026.08.29 23.26.04</t>
  </si>
  <si>
    <t xml:space="preserve">    Active:   2026.08.29 18.59.13</t>
  </si>
  <si>
    <t xml:space="preserve">    Cleared: 2026.08.29 18.58.46</t>
  </si>
  <si>
    <t xml:space="preserve">    Active:   2026.08.29 17.40.11</t>
  </si>
  <si>
    <t xml:space="preserve">    Cleared: 2026.08.29 17.39.36</t>
  </si>
  <si>
    <t xml:space="preserve">    Active:   2026.08.29 14.38.25</t>
  </si>
  <si>
    <t xml:space="preserve">    Cleared: 2026.08.29 14.37.58</t>
  </si>
  <si>
    <t xml:space="preserve">    Active:   2026.08.29 12.27.03</t>
  </si>
  <si>
    <t xml:space="preserve">    Cleared: 2026.08.29 12.26.16</t>
  </si>
  <si>
    <t xml:space="preserve">    Active:   2026.08.29 11.37.50</t>
  </si>
  <si>
    <t xml:space="preserve">    Cleared: 2026.08.29 11.37.25</t>
  </si>
  <si>
    <t xml:space="preserve">    Active:   2026.08.29 11.04.46</t>
  </si>
  <si>
    <t xml:space="preserve">    Cleared: 2026.08.29 11.04.24</t>
  </si>
  <si>
    <t xml:space="preserve">    Active:   2026.08.29 02.38.08</t>
  </si>
  <si>
    <t xml:space="preserve">    Cleared: 2026.08.29 02.37.42</t>
  </si>
  <si>
    <t xml:space="preserve">    Active:   2026.08.28 21.23.55</t>
  </si>
  <si>
    <t xml:space="preserve">    Cleared: 2026.08.28 21.23.35</t>
  </si>
  <si>
    <t xml:space="preserve">    Active:   2026.08.28 18.27.16</t>
  </si>
  <si>
    <t xml:space="preserve">    Cleared: 2026.08.28 18.27.12</t>
  </si>
  <si>
    <t xml:space="preserve">    Active:   2026.08.28 16.50.59</t>
  </si>
  <si>
    <t xml:space="preserve">    Cleared: 2026.08.28 16.50.38</t>
  </si>
  <si>
    <t xml:space="preserve">    Active:   2026.08.28 14.14.48</t>
  </si>
  <si>
    <t xml:space="preserve">    Cleared: 2026.08.28 14.14.23</t>
  </si>
  <si>
    <t xml:space="preserve">    Active:   2026.08.28 12.22.03</t>
  </si>
  <si>
    <t xml:space="preserve">    Cleared: 2026.08.28 12.21.41</t>
  </si>
  <si>
    <t xml:space="preserve">    Active:   2026.08.28 11.03.21</t>
  </si>
  <si>
    <t xml:space="preserve">    Cleared: 2026.08.28 11.03.18</t>
  </si>
  <si>
    <t xml:space="preserve">    Active:   2026.08.28 10.37.32</t>
  </si>
  <si>
    <t xml:space="preserve">    Cleared: 2026.08.28 10.37.03</t>
  </si>
  <si>
    <t xml:space="preserve">    Active:   2026.08.28 10.00.38</t>
  </si>
  <si>
    <t xml:space="preserve">    Cleared: 2026.08.28 10.00.28</t>
  </si>
  <si>
    <t xml:space="preserve">    Active:   2026.08.28 04.07.53</t>
  </si>
  <si>
    <t xml:space="preserve">    Cleared: 2026.08.28 04.07.31</t>
  </si>
  <si>
    <t xml:space="preserve">    Active:   2026.08.27 19.29.19</t>
  </si>
  <si>
    <t xml:space="preserve">    Cleared: 2026.08.27 19.28.54</t>
  </si>
  <si>
    <t xml:space="preserve">    Active:   2026.08.27 16.55.37</t>
  </si>
  <si>
    <t xml:space="preserve">    Cleared: 2026.08.27 16.55.14</t>
  </si>
  <si>
    <t xml:space="preserve">    Active:   2026.08.27 14.28.31</t>
  </si>
  <si>
    <t xml:space="preserve">    Cleared: 2026.08.27 14.28.15</t>
  </si>
  <si>
    <t xml:space="preserve">    Active:   2026.08.27 13.03.44</t>
  </si>
  <si>
    <t xml:space="preserve">    Cleared: 2026.08.27 13.03.30</t>
  </si>
  <si>
    <t xml:space="preserve">    Active:   2026.08.27 11.52.57</t>
  </si>
  <si>
    <t xml:space="preserve">    Cleared: 2026.08.27 11.52.48</t>
  </si>
  <si>
    <t xml:space="preserve">    Active:   2026.08.27 10.54.41</t>
  </si>
  <si>
    <t xml:space="preserve">    Cleared: 2026.08.27 10.54.40</t>
  </si>
  <si>
    <t xml:space="preserve">    Active:   2026.08.27 10.09.42</t>
  </si>
  <si>
    <t xml:space="preserve">    Cleared: 2026.08.27 10.09.23</t>
  </si>
  <si>
    <t xml:space="preserve">    Active:   2026.08.27 09.36.46</t>
  </si>
  <si>
    <t xml:space="preserve">    Cleared: 2026.08.27 09.36.27</t>
  </si>
  <si>
    <t xml:space="preserve">    Active:   2026.08.27 01.31.42</t>
  </si>
  <si>
    <t xml:space="preserve">    Cleared: 2026.08.27 01.31.27</t>
  </si>
  <si>
    <t xml:space="preserve">    Active:   2026.08.26 19.53.21</t>
  </si>
  <si>
    <t xml:space="preserve">    Cleared: 2026.08.26 19.52.59</t>
  </si>
  <si>
    <t xml:space="preserve">    Active:   2026.08.26 18.34.12</t>
  </si>
  <si>
    <t xml:space="preserve">    Cleared: 2026.08.26 18.33.46</t>
  </si>
  <si>
    <t xml:space="preserve">    Active:   2026.08.26 16.36.22</t>
  </si>
  <si>
    <t xml:space="preserve">    Cleared: 2026.08.26 16.35.58</t>
  </si>
  <si>
    <t xml:space="preserve">    Active:   2026.08.26 14.16.01</t>
  </si>
  <si>
    <t xml:space="preserve">    Cleared: 2026.08.26 14.15.39</t>
  </si>
  <si>
    <t xml:space="preserve">    Active:   2026.08.26 12.56.57</t>
  </si>
  <si>
    <t xml:space="preserve">    Cleared: 2026.08.26 12.56.33</t>
  </si>
  <si>
    <t xml:space="preserve">    Active:   2026.08.26 11.46.57</t>
  </si>
  <si>
    <t xml:space="preserve">    Cleared: 2026.08.26 11.46.33</t>
  </si>
  <si>
    <t xml:space="preserve">    Active:   2026.08.26 10.45.15</t>
  </si>
  <si>
    <t xml:space="preserve">    Cleared: 2026.08.26 10.44.52</t>
  </si>
  <si>
    <t xml:space="preserve">    Active:   2026.08.26 10.06.16</t>
  </si>
  <si>
    <t xml:space="preserve">    Cleared: 2026.08.26 10.05.52</t>
  </si>
  <si>
    <t xml:space="preserve">    Active:   2026.08.26 06.20.17</t>
  </si>
  <si>
    <t xml:space="preserve">    Cleared: 2026.08.26 06.19.53</t>
  </si>
  <si>
    <t xml:space="preserve">    Active:   2026.08.18 22.05.36</t>
  </si>
  <si>
    <t xml:space="preserve">    Cleared: 2026.08.18 22.05.10</t>
  </si>
  <si>
    <t xml:space="preserve">    Active:   2026.08.18 18.58.18</t>
  </si>
  <si>
    <t xml:space="preserve">    Cleared: 2026.08.18 18.57.52</t>
  </si>
  <si>
    <t xml:space="preserve">    Active:   2026.08.18 16.37.42</t>
  </si>
  <si>
    <t xml:space="preserve">    Cleared: 2026.08.18 16.37.13</t>
  </si>
  <si>
    <t xml:space="preserve">    Active:   2026.08.18 14.30.42</t>
  </si>
  <si>
    <t xml:space="preserve">    Cleared: 2026.08.18 14.30.22</t>
  </si>
  <si>
    <t xml:space="preserve">    Active:   2026.08.18 12.52.06</t>
  </si>
  <si>
    <t xml:space="preserve">    Cleared: 2026.08.18 12.51.40</t>
  </si>
  <si>
    <t xml:space="preserve">    Active:   2026.08.18 11.47.57</t>
  </si>
  <si>
    <t xml:space="preserve">    Cleared: 2026.08.18 11.47.41</t>
  </si>
  <si>
    <t xml:space="preserve">    Active:   2026.08.18 10.48.36</t>
  </si>
  <si>
    <t xml:space="preserve">    Cleared: 2026.08.18 10.48.07</t>
  </si>
  <si>
    <t xml:space="preserve">    Active:   2026.08.18 10.12.01</t>
  </si>
  <si>
    <t xml:space="preserve">    Cleared: 2026.08.18 10.11.35</t>
  </si>
  <si>
    <t xml:space="preserve">    Cleared: 2026.08.18 07.17.06</t>
  </si>
  <si>
    <t xml:space="preserve">    Active:   2026.08.18 07.16.59</t>
  </si>
  <si>
    <t xml:space="preserve">    Active:   2026.08.17 21.32.56</t>
  </si>
  <si>
    <t xml:space="preserve">    Cleared: 2026.08.17 21.32.27</t>
  </si>
  <si>
    <t xml:space="preserve">    Active:   2026.08.17 17.47.41</t>
  </si>
  <si>
    <t xml:space="preserve">    Cleared: 2026.08.17 17.47.13</t>
  </si>
  <si>
    <t xml:space="preserve">    Active:   2026.08.17 14.32.34</t>
  </si>
  <si>
    <t xml:space="preserve">    Cleared: 2026.08.17 14.32.08</t>
  </si>
  <si>
    <t xml:space="preserve">    Active:   2026.08.17 12.52.35</t>
  </si>
  <si>
    <t xml:space="preserve">    Cleared: 2026.08.17 12.52.09</t>
  </si>
  <si>
    <t xml:space="preserve">    Active:   2026.08.17 10.50.25</t>
  </si>
  <si>
    <t xml:space="preserve">    Cleared: 2026.08.17 10.50.00</t>
  </si>
  <si>
    <t xml:space="preserve">    Active:   2026.08.17 09.55.34</t>
  </si>
  <si>
    <t xml:space="preserve">    Cleared: 2026.08.17 09.54.42</t>
  </si>
  <si>
    <t xml:space="preserve">    Active:   2026.08.17 05.55.52</t>
  </si>
  <si>
    <t xml:space="preserve">    Cleared: 2026.08.17 05.55.28</t>
  </si>
  <si>
    <t xml:space="preserve">    Active:   2026.08.16 23.10.11</t>
  </si>
  <si>
    <t xml:space="preserve">    Cleared: 2026.08.16 23.09.46</t>
  </si>
  <si>
    <t xml:space="preserve">    Active:   2026.08.16 20.25.07</t>
  </si>
  <si>
    <t xml:space="preserve">    Cleared: 2026.08.16 20.24.39</t>
  </si>
  <si>
    <t xml:space="preserve">    Active:   2026.08.16 18.39.41</t>
  </si>
  <si>
    <t xml:space="preserve">    Cleared: 2026.08.16 18.39.21</t>
  </si>
  <si>
    <t xml:space="preserve">    Active:   2026.08.16 14.04.28</t>
  </si>
  <si>
    <t xml:space="preserve">    Cleared: 2026.08.16 14.04.05</t>
  </si>
  <si>
    <t xml:space="preserve">    Active:   2026.08.16 07.34.34</t>
  </si>
  <si>
    <t xml:space="preserve">    Cleared: 2026.08.16 07.33.59</t>
  </si>
  <si>
    <t xml:space="preserve">    Active:   2026.08.16 03.34.10</t>
  </si>
  <si>
    <t xml:space="preserve">    Cleared: 2026.08.16 03.33.53</t>
  </si>
  <si>
    <t xml:space="preserve">    Active:   2026.08.16 00.04.33</t>
  </si>
  <si>
    <t xml:space="preserve">    Cleared: 2026.08.16 00.04.06</t>
  </si>
  <si>
    <t xml:space="preserve">    Active:   2026.08.15 20.35.37</t>
  </si>
  <si>
    <t xml:space="preserve">    Cleared: 2026.08.15 20.35.20</t>
  </si>
  <si>
    <t xml:space="preserve">    Active:   2026.08.15 18.56.12</t>
  </si>
  <si>
    <t xml:space="preserve">    Cleared: 2026.08.15 18.55.56</t>
  </si>
  <si>
    <t xml:space="preserve">    Active:   2026.08.15 17.35.04</t>
  </si>
  <si>
    <t xml:space="preserve">    Cleared: 2026.08.15 17.34.42</t>
  </si>
  <si>
    <t xml:space="preserve">    Active:   2026.08.15 16.27.57</t>
  </si>
  <si>
    <t xml:space="preserve">    Cleared: 2026.08.15 16.27.32</t>
  </si>
  <si>
    <t xml:space="preserve">    Active:   2026.08.15 13.30.13</t>
  </si>
  <si>
    <t xml:space="preserve">    Cleared: 2026.08.15 13.29.44</t>
  </si>
  <si>
    <t xml:space="preserve">    Active:   2026.08.15 11.56.41</t>
  </si>
  <si>
    <t xml:space="preserve">    Cleared: 2026.08.15 11.56.13</t>
  </si>
  <si>
    <t xml:space="preserve">    Active:   2026.08.15 11.24.45</t>
  </si>
  <si>
    <t xml:space="preserve">    Cleared: 2026.08.15 11.24.20</t>
  </si>
  <si>
    <t xml:space="preserve">    Active:   2026.08.15 05.01.57</t>
  </si>
  <si>
    <t xml:space="preserve">    Cleared: 2026.08.15 05.01.43</t>
  </si>
  <si>
    <t xml:space="preserve">    Active:   2026.08.15 01.17.27</t>
  </si>
  <si>
    <t xml:space="preserve">    Cleared: 2026.08.15 01.17.02</t>
  </si>
  <si>
    <t xml:space="preserve">    Active:   2026.08.14 22.15.33</t>
  </si>
  <si>
    <t xml:space="preserve">    Cleared: 2026.08.14 22.15.11</t>
  </si>
  <si>
    <t xml:space="preserve">    Active:   2026.08.14 19.11.04</t>
  </si>
  <si>
    <t xml:space="preserve">    Cleared: 2026.08.14 19.10.37</t>
  </si>
  <si>
    <t xml:space="preserve">    Active:   2026.08.14 17.23.27</t>
  </si>
  <si>
    <t xml:space="preserve">    Cleared: 2026.08.14 17.23.04</t>
  </si>
  <si>
    <t xml:space="preserve">    Active:   2026.08.14 15.31.16</t>
  </si>
  <si>
    <t xml:space="preserve">    Cleared: 2026.08.14 15.31.09</t>
  </si>
  <si>
    <t xml:space="preserve">    Active:   2026.08.14 13.41.39</t>
  </si>
  <si>
    <t xml:space="preserve">    Cleared: 2026.08.14 13.41.26</t>
  </si>
  <si>
    <t xml:space="preserve">    Active:   2026.08.14 12.28.57</t>
  </si>
  <si>
    <t xml:space="preserve">    Cleared: 2026.08.14 12.28.33</t>
  </si>
  <si>
    <t xml:space="preserve">    Active:   2026.08.14 11.05.05</t>
  </si>
  <si>
    <t xml:space="preserve">    Cleared: 2026.08.14 11.04.37</t>
  </si>
  <si>
    <t xml:space="preserve">    Active:   2026.08.14 10.25.40</t>
  </si>
  <si>
    <t xml:space="preserve">    Cleared: 2026.08.14 10.25.15</t>
  </si>
  <si>
    <t xml:space="preserve">    Active:   2026.08.14 08.24.34</t>
  </si>
  <si>
    <t xml:space="preserve">    Cleared: 2026.08.14 08.24.20</t>
  </si>
  <si>
    <t xml:space="preserve">    Active:   2026.08.13 22.45.48</t>
  </si>
  <si>
    <t xml:space="preserve">    Cleared: 2026.08.13 22.45.24</t>
  </si>
  <si>
    <t xml:space="preserve">    Active:   2026.08.13 19.09.42</t>
  </si>
  <si>
    <t xml:space="preserve">    Cleared: 2026.08.13 19.09.11</t>
  </si>
  <si>
    <t xml:space="preserve">    Active:   2026.08.13 17.32.20</t>
  </si>
  <si>
    <t xml:space="preserve">    Cleared: 2026.08.13 17.31.57</t>
  </si>
  <si>
    <t xml:space="preserve">    Active:   2026.08.13 15.08.12</t>
  </si>
  <si>
    <t xml:space="preserve">    Cleared: 2026.08.13 15.07.48</t>
  </si>
  <si>
    <t xml:space="preserve">    Active:   2026.08.13 13.27.03</t>
  </si>
  <si>
    <t xml:space="preserve">    Cleared: 2026.08.13 13.26.37</t>
  </si>
  <si>
    <t xml:space="preserve">    Active:   2026.08.13 11.49.46</t>
  </si>
  <si>
    <t xml:space="preserve">    Cleared: 2026.08.13 11.49.30</t>
  </si>
  <si>
    <t xml:space="preserve">    Active:   2026.08.13 10.46.14</t>
  </si>
  <si>
    <t xml:space="preserve">    Cleared: 2026.08.13 10.45.48</t>
  </si>
  <si>
    <t xml:space="preserve">    Active:   2026.08.13 10.06.38</t>
  </si>
  <si>
    <t xml:space="preserve">    Cleared: 2026.08.13 10.06.17</t>
  </si>
  <si>
    <t xml:space="preserve">    Active:   2026.08.13 06.42.45</t>
  </si>
  <si>
    <t xml:space="preserve">    Cleared: 2026.08.13 06.42.18</t>
  </si>
  <si>
    <t xml:space="preserve">    Active:   2026.08.12 23.05.29</t>
  </si>
  <si>
    <t xml:space="preserve">    Cleared: 2026.08.12 23.05.03</t>
  </si>
  <si>
    <t xml:space="preserve">    Active:   2026.08.12 19.11.09</t>
  </si>
  <si>
    <t xml:space="preserve">    Cleared: 2026.08.12 19.10.27</t>
  </si>
  <si>
    <t xml:space="preserve">    Active:   2026.08.12 16.52.27</t>
  </si>
  <si>
    <t xml:space="preserve">    Cleared: 2026.08.12 16.51.54</t>
  </si>
  <si>
    <t xml:space="preserve">    Active:   2026.08.12 14.01.20</t>
  </si>
  <si>
    <t xml:space="preserve">    Cleared: 2026.08.12 14.01.05</t>
  </si>
  <si>
    <t xml:space="preserve">    Active:   2026.08.12 12.15.16</t>
  </si>
  <si>
    <t xml:space="preserve">    Cleared: 2026.08.12 12.14.51</t>
  </si>
  <si>
    <t xml:space="preserve">    Active:   2026.08.12 11.02.27</t>
  </si>
  <si>
    <t xml:space="preserve">    Cleared: 2026.08.12 11.01.59</t>
  </si>
  <si>
    <t xml:space="preserve">    Active:   2026.08.12 10.19.35</t>
  </si>
  <si>
    <t xml:space="preserve">    Cleared: 2026.08.12 10.19.09</t>
  </si>
  <si>
    <t xml:space="preserve">    Active:   2026.08.12 09.27.28</t>
  </si>
  <si>
    <t xml:space="preserve">    Cleared: 2026.08.12 09.27.01</t>
  </si>
  <si>
    <t xml:space="preserve">    Active:   2026.08.12 02.04.42</t>
  </si>
  <si>
    <t xml:space="preserve">    Cleared: 2026.08.12 02.04.27</t>
  </si>
  <si>
    <t xml:space="preserve">    Active:   2026.08.11 21.04.46</t>
  </si>
  <si>
    <t xml:space="preserve">    Cleared: 2026.08.11 21.04.43</t>
  </si>
  <si>
    <t xml:space="preserve">    Active:   2026.08.11 18.32.39</t>
  </si>
  <si>
    <t xml:space="preserve">    Cleared: 2026.08.11 18.31.44</t>
  </si>
  <si>
    <t xml:space="preserve">    Active:   2026.08.11 17.07.20</t>
  </si>
  <si>
    <t xml:space="preserve">    Cleared: 2026.08.11 17.06.55</t>
  </si>
  <si>
    <t xml:space="preserve">    Active:   2026.08.11 14.43.05</t>
  </si>
  <si>
    <t xml:space="preserve">    Cleared: 2026.08.11 14.42.39</t>
  </si>
  <si>
    <t xml:space="preserve">    Cleared: 2026.08.11 14.40.21</t>
  </si>
  <si>
    <t xml:space="preserve">    Active:   2026.08.11 14.40.19</t>
  </si>
  <si>
    <t xml:space="preserve">    Active:   2026.08.11 12.57.42</t>
  </si>
  <si>
    <t xml:space="preserve">    Cleared: 2026.08.11 12.57.38</t>
  </si>
  <si>
    <t xml:space="preserve">    Active:   2026.08.11 11.24.15</t>
  </si>
  <si>
    <t xml:space="preserve">    Cleared: 2026.08.11 11.24.14</t>
  </si>
  <si>
    <t xml:space="preserve">    Cleared: 2026.08.11 10.38.11</t>
  </si>
  <si>
    <t xml:space="preserve">    Active:   2026.08.11 10.37.56</t>
  </si>
  <si>
    <t xml:space="preserve">    Active:   2026.08.11 10.11.57</t>
  </si>
  <si>
    <t xml:space="preserve">    Cleared: 2026.08.11 10.11.52</t>
  </si>
  <si>
    <t xml:space="preserve">    Cleared: 2026.08.11 04.16.59</t>
  </si>
  <si>
    <t xml:space="preserve">    Active:   2026.08.11 04.15.58</t>
  </si>
  <si>
    <t xml:space="preserve">    Active:   2026.08.10 22.04.58</t>
  </si>
  <si>
    <t xml:space="preserve">    Cleared: 2026.08.10 22.04.32</t>
  </si>
  <si>
    <t xml:space="preserve">    Active:   2026.08.10 18.36.38</t>
  </si>
  <si>
    <t xml:space="preserve">    Cleared: 2026.08.10 18.36.27</t>
  </si>
  <si>
    <t xml:space="preserve">    Active:   2026.08.10 16.13.13</t>
  </si>
  <si>
    <t xml:space="preserve">    Cleared: 2026.08.10 16.12.45</t>
  </si>
  <si>
    <t xml:space="preserve">    Active:   2026.08.10 13.50.21</t>
  </si>
  <si>
    <t xml:space="preserve">    Cleared: 2026.08.10 13.49.28</t>
  </si>
  <si>
    <t xml:space="preserve">    Active:   2026.08.10 12.46.18</t>
  </si>
  <si>
    <t xml:space="preserve">    Cleared: 2026.08.10 12.46.06</t>
  </si>
  <si>
    <t xml:space="preserve">    Active:   2026.08.10 12.45.37</t>
  </si>
  <si>
    <t xml:space="preserve">    Cleared: 2026.08.10 12.45.15</t>
  </si>
  <si>
    <t xml:space="preserve">    Active:   2026.08.10 11.22.15</t>
  </si>
  <si>
    <t xml:space="preserve">    Cleared: 2026.08.10 11.21.53</t>
  </si>
  <si>
    <t xml:space="preserve">    Active:   2026.08.10 10.39.33</t>
  </si>
  <si>
    <t xml:space="preserve">    Cleared: 2026.08.10 10.39.07</t>
  </si>
  <si>
    <t xml:space="preserve">    Active:   2026.08.10 10.07.14</t>
  </si>
  <si>
    <t xml:space="preserve">    Cleared: 2026.08.10 10.07.02</t>
  </si>
  <si>
    <t xml:space="preserve">    Active:   2026.08.10 08.23.02</t>
  </si>
  <si>
    <t xml:space="preserve">    Cleared: 2026.08.10 08.22.32</t>
  </si>
  <si>
    <t xml:space="preserve">    Active:   2026.08.09 23.41.59</t>
  </si>
  <si>
    <t xml:space="preserve">    Cleared: 2026.08.09 23.41.36</t>
  </si>
  <si>
    <t xml:space="preserve">    Active:   2026.08.09 19.15.28</t>
  </si>
  <si>
    <t xml:space="preserve">    Cleared: 2026.08.09 19.14.59</t>
  </si>
  <si>
    <t xml:space="preserve">    Active:   2026.08.09 18.04.39</t>
  </si>
  <si>
    <t xml:space="preserve">    Cleared: 2026.08.09 18.04.11</t>
  </si>
  <si>
    <t xml:space="preserve">    Active:   2026.08.09 17.12.11</t>
  </si>
  <si>
    <t xml:space="preserve">    Cleared: 2026.08.09 17.11.44</t>
  </si>
  <si>
    <t xml:space="preserve">    Active:   2026.08.09 14.52.52</t>
  </si>
  <si>
    <t xml:space="preserve">    Cleared: 2026.08.09 14.52.24</t>
  </si>
  <si>
    <t xml:space="preserve">    Active:   2026.08.09 12.46.55</t>
  </si>
  <si>
    <t xml:space="preserve">    Cleared: 2026.08.09 12.46.31</t>
  </si>
  <si>
    <t xml:space="preserve">    Active:   2026.08.09 11.52.39</t>
  </si>
  <si>
    <t xml:space="preserve">    Cleared: 2026.08.09 11.52.13</t>
  </si>
  <si>
    <t xml:space="preserve">    Active:   2026.08.09 08.55.49</t>
  </si>
  <si>
    <t xml:space="preserve">    Cleared: 2026.08.09 08.55.22</t>
  </si>
  <si>
    <t xml:space="preserve">    Active:   2026.08.09 04.37.22</t>
  </si>
  <si>
    <t xml:space="preserve">    Cleared: 2026.08.09 04.36.55</t>
  </si>
  <si>
    <t xml:space="preserve">    Active:   2026.08.09 01.04.28</t>
  </si>
  <si>
    <t xml:space="preserve">    Cleared: 2026.08.09 01.04.01</t>
  </si>
  <si>
    <t xml:space="preserve">    Active:   2026.08.08 19.29.09</t>
  </si>
  <si>
    <t xml:space="preserve">    Cleared: 2026.08.08 19.28.40</t>
  </si>
  <si>
    <t xml:space="preserve">    Active:   2026.08.08 17.08.56</t>
  </si>
  <si>
    <t xml:space="preserve">    Cleared: 2026.08.08 17.08.32</t>
  </si>
  <si>
    <t xml:space="preserve">    Active:   2026.08.08 14.11.32</t>
  </si>
  <si>
    <t xml:space="preserve">    Cleared: 2026.08.08 14.11.07</t>
  </si>
  <si>
    <t xml:space="preserve">    Active:   2026.08.08 12.02.08</t>
  </si>
  <si>
    <t xml:space="preserve">    Cleared: 2026.08.08 12.01.42</t>
  </si>
  <si>
    <t xml:space="preserve">    Active:   2026.08.08 11.31.23</t>
  </si>
  <si>
    <t xml:space="preserve">    Cleared: 2026.08.08 11.30.56</t>
  </si>
  <si>
    <t xml:space="preserve">    Active:   2026.08.08 07.28.52</t>
  </si>
  <si>
    <t xml:space="preserve">    Cleared: 2026.08.08 07.28.32</t>
  </si>
  <si>
    <t xml:space="preserve">    Active:   2026.08.08 03.58.12</t>
  </si>
  <si>
    <t xml:space="preserve">    Cleared: 2026.08.08 03.57.50</t>
  </si>
  <si>
    <t xml:space="preserve">    Active:   2026.08.08 00.05.16</t>
  </si>
  <si>
    <t xml:space="preserve">    Cleared: 2026.08.08 00.04.54</t>
  </si>
  <si>
    <t xml:space="preserve">    Active:   2026.08.07 19.18.03</t>
  </si>
  <si>
    <t xml:space="preserve">    Cleared: 2026.08.07 19.17.37</t>
  </si>
  <si>
    <t xml:space="preserve">    Active:   2026.08.07 18.00.56</t>
  </si>
  <si>
    <t xml:space="preserve">    Cleared: 2026.08.07 18.00.36</t>
  </si>
  <si>
    <t xml:space="preserve">    Active:   2026.08.07 16.03.25</t>
  </si>
  <si>
    <t xml:space="preserve">    Cleared: 2026.08.07 16.03.01</t>
  </si>
  <si>
    <t xml:space="preserve">    Active:   2026.08.07 14.33.07</t>
  </si>
  <si>
    <t xml:space="preserve">    Cleared: 2026.08.07 14.32.42</t>
  </si>
  <si>
    <t xml:space="preserve">    Active:   2026.08.07 12.30.35</t>
  </si>
  <si>
    <t xml:space="preserve">    Cleared: 2026.08.07 12.29.54</t>
  </si>
  <si>
    <t xml:space="preserve">    Active:   2026.08.07 11.00.49</t>
  </si>
  <si>
    <t xml:space="preserve">    Cleared: 2026.08.07 11.00.29</t>
  </si>
  <si>
    <t xml:space="preserve">    Active:   2026.08.07 10.24.53</t>
  </si>
  <si>
    <t xml:space="preserve">    Cleared: 2026.08.07 10.24.25</t>
  </si>
  <si>
    <t xml:space="preserve">    Active:   2026.08.07 09.49.22</t>
  </si>
  <si>
    <t xml:space="preserve">    Cleared: 2026.08.07 09.48.57</t>
  </si>
  <si>
    <t xml:space="preserve">    Active:   2026.08.07 03.01.31</t>
  </si>
  <si>
    <t xml:space="preserve">    Cleared: 2026.08.07 03.01.09</t>
  </si>
  <si>
    <t xml:space="preserve">    Active:   2026.08.06 20.40.48</t>
  </si>
  <si>
    <t xml:space="preserve">    Cleared: 2026.08.06 20.40.28</t>
  </si>
  <si>
    <t xml:space="preserve">    Active:   2026.08.06 18.10.16</t>
  </si>
  <si>
    <t xml:space="preserve">    Cleared: 2026.08.06 18.09.46</t>
  </si>
  <si>
    <t xml:space="preserve">    Active:   2026.08.06 16.23.58</t>
  </si>
  <si>
    <t xml:space="preserve">    Cleared: 2026.08.06 16.23.34</t>
  </si>
  <si>
    <t xml:space="preserve">    Active:   2026.08.06 14.50.52</t>
  </si>
  <si>
    <t xml:space="preserve">    Cleared: 2026.08.06 14.50.38</t>
  </si>
  <si>
    <t xml:space="preserve">    Active:   2026.08.06 12.58.22</t>
  </si>
  <si>
    <t xml:space="preserve">    Cleared: 2026.08.06 12.57.56</t>
  </si>
  <si>
    <t xml:space="preserve">    Active:   2026.08.06 11.13.07</t>
  </si>
  <si>
    <t xml:space="preserve">    Cleared: 2026.08.06 11.12.30</t>
  </si>
  <si>
    <t xml:space="preserve">    Active:   2026.08.06 09.55.23</t>
  </si>
  <si>
    <t xml:space="preserve">    Cleared: 2026.08.06 09.54.56</t>
  </si>
  <si>
    <t xml:space="preserve">    Active:   2026.08.06 05.10.35</t>
  </si>
  <si>
    <t xml:space="preserve">    Cleared: 2026.08.06 05.10.23</t>
  </si>
  <si>
    <t xml:space="preserve">    Active:   2026.08.05 21.41.55</t>
  </si>
  <si>
    <t xml:space="preserve">    Cleared: 2026.08.05 21.41.27</t>
  </si>
  <si>
    <t xml:space="preserve">    Active:   2026.08.05 16.15.05</t>
  </si>
  <si>
    <t xml:space="preserve">    Cleared: 2026.08.05 16.14.44</t>
  </si>
  <si>
    <t xml:space="preserve">    Active:   2026.08.05 13.18.09</t>
  </si>
  <si>
    <t xml:space="preserve">    Cleared: 2026.08.05 13.17.43</t>
  </si>
  <si>
    <t xml:space="preserve">    Active:   2026.08.05 10.37.08</t>
  </si>
  <si>
    <t xml:space="preserve">    Cleared: 2026.08.05 10.36.46</t>
  </si>
  <si>
    <t xml:space="preserve">    Active:   2026.08.05 08.00.42</t>
  </si>
  <si>
    <t xml:space="preserve">    Cleared: 2026.08.05 08.00.34</t>
  </si>
  <si>
    <t xml:space="preserve">    Active:   2026.08.04 23.03.38</t>
  </si>
  <si>
    <t xml:space="preserve">    Cleared: 2026.08.04 23.03.13</t>
  </si>
  <si>
    <t xml:space="preserve">    Active:   2026.08.04 19.14.11</t>
  </si>
  <si>
    <t xml:space="preserve">    Cleared: 2026.08.04 19.13.41</t>
  </si>
  <si>
    <t xml:space="preserve">    Cleared: 2026.08.04 17.03.44</t>
  </si>
  <si>
    <t xml:space="preserve">    Active:   2026.08.04 17.03.40</t>
  </si>
  <si>
    <t xml:space="preserve">    Active:   2026.08.04 17.02.59</t>
  </si>
  <si>
    <t xml:space="preserve">    Cleared: 2026.08.04 17.02.43</t>
  </si>
  <si>
    <t xml:space="preserve">    Cleared: 2026.08.04 14.40.48</t>
  </si>
  <si>
    <t xml:space="preserve">    Active:   2026.08.04 14.40.44</t>
  </si>
  <si>
    <t xml:space="preserve">    Active:   2026.08.04 13.01.41</t>
  </si>
  <si>
    <t xml:space="preserve">    Cleared: 2026.08.04 13.01.31</t>
  </si>
  <si>
    <t xml:space="preserve">    Active:   2026.08.04 11.41.47</t>
  </si>
  <si>
    <t xml:space="preserve">    Cleared: 2026.08.04 11.41.38</t>
  </si>
  <si>
    <t xml:space="preserve">    Active:   2026.08.04 10.45.22</t>
  </si>
  <si>
    <t xml:space="preserve">    Cleared: 2026.08.04 10.44.47</t>
  </si>
  <si>
    <t xml:space="preserve">    Active:   2026.08.04 10.08.59</t>
  </si>
  <si>
    <t xml:space="preserve">    Cleared: 2026.08.04 10.08.22</t>
  </si>
  <si>
    <t xml:space="preserve">    Active:   2026.08.04 02.54.14</t>
  </si>
  <si>
    <t xml:space="preserve">    Cleared: 2026.08.04 02.53.53</t>
  </si>
  <si>
    <t xml:space="preserve">    Active:   2026.08.03 21.42.47</t>
  </si>
  <si>
    <t xml:space="preserve">    Cleared: 2026.08.03 21.42.22</t>
  </si>
  <si>
    <t xml:space="preserve">    Active:   2026.08.03 18.57.55</t>
  </si>
  <si>
    <t xml:space="preserve">    Cleared: 2026.08.03 18.56.42</t>
  </si>
  <si>
    <t xml:space="preserve">    Cleared: 2026.08.03 18.47.03</t>
  </si>
  <si>
    <t xml:space="preserve">    Active:   2026.08.03 18.46.59</t>
  </si>
  <si>
    <t xml:space="preserve">    Cleared: 2026.08.03 17.18.42</t>
  </si>
  <si>
    <t xml:space="preserve">    Active:   2026.08.03 17.18.26</t>
  </si>
  <si>
    <t xml:space="preserve">    Active:   2026.08.03 16.49.54</t>
  </si>
  <si>
    <t xml:space="preserve">    Cleared: 2026.08.03 16.49.35</t>
  </si>
  <si>
    <t xml:space="preserve">    Active:   2026.08.03 14.09.45</t>
  </si>
  <si>
    <t xml:space="preserve">    Cleared: 2026.08.03 14.09.21</t>
  </si>
  <si>
    <t xml:space="preserve">    Active:   2026.08.03 12.58.20</t>
  </si>
  <si>
    <t xml:space="preserve">    Cleared: 2026.08.03 12.57.55</t>
  </si>
  <si>
    <t xml:space="preserve">    Active:   2026.08.03 11.06.23</t>
  </si>
  <si>
    <t xml:space="preserve">    Cleared: 2026.08.03 11.06.03</t>
  </si>
  <si>
    <t xml:space="preserve">    Active:   2026.08.03 10.27.39</t>
  </si>
  <si>
    <t xml:space="preserve">    Cleared: 2026.08.03 10.27.17</t>
  </si>
  <si>
    <t xml:space="preserve">    Cleared: 2026.08.03 10.13.05</t>
  </si>
  <si>
    <t xml:space="preserve">    Active:   2026.08.03 10.10.56</t>
  </si>
  <si>
    <t xml:space="preserve">    Active:   2026.08.03 02.26.25</t>
  </si>
  <si>
    <t xml:space="preserve">    Cleared: 2026.08.03 02.25.57</t>
  </si>
  <si>
    <t xml:space="preserve">    Active:   2026.08.02 19.40.36</t>
  </si>
  <si>
    <t xml:space="preserve">    Cleared: 2026.08.02 19.40.08</t>
  </si>
  <si>
    <t xml:space="preserve">    Active:   2026.08.02 18.30.16</t>
  </si>
  <si>
    <t xml:space="preserve">    Cleared: 2026.08.02 18.29.42</t>
  </si>
  <si>
    <t xml:space="preserve">    Active:   2026.08.02 17.05.06</t>
  </si>
  <si>
    <t xml:space="preserve">    Cleared: 2026.08.02 17.04.39</t>
  </si>
  <si>
    <t xml:space="preserve">    Active:   2026.08.02 15.22.52</t>
  </si>
  <si>
    <t xml:space="preserve">    Cleared: 2026.08.02 15.22.25</t>
  </si>
  <si>
    <t xml:space="preserve">    Active:   2026.08.02 13.00.55</t>
  </si>
  <si>
    <t xml:space="preserve">    Cleared: 2026.08.02 13.00.31</t>
  </si>
  <si>
    <t xml:space="preserve">    Active:   2026.08.02 12.02.42</t>
  </si>
  <si>
    <t xml:space="preserve">    Cleared: 2026.08.02 12.02.20</t>
  </si>
  <si>
    <t xml:space="preserve">    Active:   2026.08.02 11.14.51</t>
  </si>
  <si>
    <t xml:space="preserve">    Cleared: 2026.08.02 11.14.28</t>
  </si>
  <si>
    <t xml:space="preserve">    Active:   2026.08.02 05.45.14</t>
  </si>
  <si>
    <t xml:space="preserve">    Cleared: 2026.08.02 05.44.48</t>
  </si>
  <si>
    <t xml:space="preserve">    Active:   2026.08.02 02.29.07</t>
  </si>
  <si>
    <t xml:space="preserve">    Cleared: 2026.08.02 02.28.40</t>
  </si>
  <si>
    <t xml:space="preserve">    Active:   2026.08.01 22.40.51</t>
  </si>
  <si>
    <t xml:space="preserve">    Cleared: 2026.08.01 22.40.26</t>
  </si>
  <si>
    <t xml:space="preserve">    Active:   2026.08.01 18.29.46</t>
  </si>
  <si>
    <t xml:space="preserve">    Cleared: 2026.08.01 18.29.17</t>
  </si>
  <si>
    <t xml:space="preserve">    Active:   2026.08.01 17.29.49</t>
  </si>
  <si>
    <t xml:space="preserve">    Cleared: 2026.08.01 17.29.20</t>
  </si>
  <si>
    <t xml:space="preserve">    Active:   2026.08.01 16.44.34</t>
  </si>
  <si>
    <t xml:space="preserve">    Cleared: 2026.08.01 16.44.04</t>
  </si>
  <si>
    <t xml:space="preserve">    Active:   2026.08.01 16.01.19</t>
  </si>
  <si>
    <t xml:space="preserve">    Cleared: 2026.08.01 16.01.03</t>
  </si>
  <si>
    <t xml:space="preserve">    Active:   2026.08.01 14.18.33</t>
  </si>
  <si>
    <t xml:space="preserve">    Cleared: 2026.08.01 14.18.08</t>
  </si>
  <si>
    <t xml:space="preserve">    Active:   2026.08.01 12.12.47</t>
  </si>
  <si>
    <t xml:space="preserve">    Cleared: 2026.08.01 12.12.26</t>
  </si>
  <si>
    <t xml:space="preserve">    Active:   2026.08.01 11.25.24</t>
  </si>
  <si>
    <t xml:space="preserve">    Cleared: 2026.08.01 11.24.57</t>
  </si>
  <si>
    <t xml:space="preserve">    Active:   2026.08.01 10.12.59</t>
  </si>
  <si>
    <t xml:space="preserve">    Cleared: 2026.08.01 10.12.33</t>
  </si>
  <si>
    <t xml:space="preserve">    Active:   2026.08.01 05.16.45</t>
  </si>
  <si>
    <t xml:space="preserve">    Cleared: 2026.08.01 05.16.19</t>
  </si>
  <si>
    <t xml:space="preserve">    Active:   2026.08.01 01.11.40</t>
  </si>
  <si>
    <t xml:space="preserve">    Cleared: 2026.08.01 01.11.18</t>
  </si>
  <si>
    <t xml:space="preserve">  VAK10 - Kuuluvuushälytys</t>
  </si>
  <si>
    <t xml:space="preserve">    Cleared: 2026.08.28 00.25.16</t>
  </si>
  <si>
    <t xml:space="preserve">    Active:   2026.08.27 23.15.47</t>
  </si>
  <si>
    <t xml:space="preserve">    Cleared: 2026.08.27 21.59.36</t>
  </si>
  <si>
    <t xml:space="preserve">    Active:   2026.08.27 20.48.55</t>
  </si>
  <si>
    <t xml:space="preserve">    Cleared: 2026.08.28 00.24.09</t>
  </si>
  <si>
    <t xml:space="preserve">    Active:   2026.08.27 23.16.45</t>
  </si>
  <si>
    <t xml:space="preserve">    Cleared: 2026.08.27 21.48.51</t>
  </si>
  <si>
    <t xml:space="preserve">    Active:   2026.08.27 21.16.01</t>
  </si>
  <si>
    <t xml:space="preserve">  VAK5 - Kuuluvuushälytys</t>
  </si>
  <si>
    <t xml:space="preserve">    Cleared: 2026.08.28 00.20.12</t>
  </si>
  <si>
    <t xml:space="preserve">    Active:   2026.08.27 23.16.43</t>
  </si>
  <si>
    <t xml:space="preserve">    Cleared: 2026.08.27 21.50.17</t>
  </si>
  <si>
    <t xml:space="preserve">    Active:   2026.08.27 21.16.06</t>
  </si>
  <si>
    <t xml:space="preserve">  VAK6.1 - Kuuluvuushälytys</t>
  </si>
  <si>
    <t xml:space="preserve">    Cleared: 2026.08.28 00.18.33</t>
  </si>
  <si>
    <t xml:space="preserve">    Active:   2026.08.27 23.15.42</t>
  </si>
  <si>
    <t xml:space="preserve">    Cleared: 2026.08.27 21.55.04</t>
  </si>
  <si>
    <t xml:space="preserve">    Active:   2026.08.27 20.48.42</t>
  </si>
  <si>
    <t xml:space="preserve">  VAK7 - Kuuluvuushälytys</t>
  </si>
  <si>
    <t xml:space="preserve">    Cleared: 2026.08.28 00.17.22</t>
  </si>
  <si>
    <t xml:space="preserve">    Active:   2026.08.27 23.16.47</t>
  </si>
  <si>
    <t xml:space="preserve">    Cleared: 2026.08.27 21.48.25</t>
  </si>
  <si>
    <t xml:space="preserve">    Active:   2026.08.27 21.16.04</t>
  </si>
  <si>
    <t xml:space="preserve">  VAK3 - Kuuluvuushälytys</t>
  </si>
  <si>
    <t xml:space="preserve">    Cleared: 2026.08.28 00.17.10</t>
  </si>
  <si>
    <t xml:space="preserve">    Active:   2026.08.27 23.17.02</t>
  </si>
  <si>
    <t xml:space="preserve">    Cleared: 2026.08.27 21.53.40</t>
  </si>
  <si>
    <t xml:space="preserve">    Active:   2026.08.27 21.16.41</t>
  </si>
  <si>
    <t xml:space="preserve">  VAK8 - Kuuluvuushälytys</t>
  </si>
  <si>
    <t xml:space="preserve">    Cleared: 2026.08.28 00.16.59</t>
  </si>
  <si>
    <t xml:space="preserve">    Active:   2026.08.27 23.17.03</t>
  </si>
  <si>
    <t xml:space="preserve">    Cleared: 2026.08.27 22.13.11</t>
  </si>
  <si>
    <t xml:space="preserve">    Cleared: 2026.08.28 00.15.23</t>
  </si>
  <si>
    <t xml:space="preserve">    Active:   2026.08.27 23.15.55</t>
  </si>
  <si>
    <t xml:space="preserve">    Cleared: 2026.08.27 21.52.06</t>
  </si>
  <si>
    <t xml:space="preserve">    Active:   2026.08.27 20.56.59</t>
  </si>
  <si>
    <t xml:space="preserve">  VAK9 - Kuuluvuushälytys</t>
  </si>
  <si>
    <t xml:space="preserve">    Cleared: 2026.08.28 00.15.14</t>
  </si>
  <si>
    <t xml:space="preserve">    Active:   2026.08.27 23.16.53</t>
  </si>
  <si>
    <t xml:space="preserve">    Cleared: 2026.08.27 21.58.26</t>
  </si>
  <si>
    <t xml:space="preserve">    Active:   2026.08.27 21.16.21</t>
  </si>
  <si>
    <t xml:space="preserve">  VAK5 - TK66 Poistopuhallin ristiriita</t>
  </si>
  <si>
    <t xml:space="preserve">    Cleared: 2026.08.27 10.19.49</t>
  </si>
  <si>
    <t xml:space="preserve">    Active:   2026.08.27 10.18.24</t>
  </si>
  <si>
    <t xml:space="preserve">    Cleared: 2026.08.27 10.18.17</t>
  </si>
  <si>
    <t xml:space="preserve">    Active:   2026.08.27 10.09.43</t>
  </si>
  <si>
    <t xml:space="preserve">  VAK5 - TK66 Tulopuhallin ristiriita</t>
  </si>
  <si>
    <t xml:space="preserve">    Cleared: 2026.08.27 10.19.44</t>
  </si>
  <si>
    <t xml:space="preserve">    Active:   2026.08.27 10.18.25</t>
  </si>
  <si>
    <t xml:space="preserve">    Cleared: 2026.08.27 10.18.20</t>
  </si>
  <si>
    <t xml:space="preserve">    Active:   2026.08.27 10.09.45</t>
  </si>
  <si>
    <t xml:space="preserve">  VAK8 - Palohälytys D-F</t>
  </si>
  <si>
    <t xml:space="preserve">    Active:   2026.08.27 10.09.29</t>
  </si>
  <si>
    <t xml:space="preserve">  VAK8 - Sprinkler pohj. märkähälytysventtiili</t>
  </si>
  <si>
    <t xml:space="preserve">    Cleared: 2026.08.27 10.15.41</t>
  </si>
  <si>
    <t xml:space="preserve">    Active:   2026.08.27 10.09.38</t>
  </si>
  <si>
    <t xml:space="preserve">  VAK10 - TK94 PF01 Nopea ristiriita</t>
  </si>
  <si>
    <t xml:space="preserve">    Cleared: 2026.08.13 07.41.18</t>
  </si>
  <si>
    <t xml:space="preserve">    Active:   2026.08.13 07.40.55</t>
  </si>
  <si>
    <t xml:space="preserve">    Cleared: 2026.08.09 08.24.33</t>
  </si>
  <si>
    <t xml:space="preserve">    Active:   2026.08.09 08.24.21</t>
  </si>
  <si>
    <t xml:space="preserve">  VAK6.2 - TK67 Poistopuhallin ristiriita</t>
  </si>
  <si>
    <t xml:space="preserve">    Cleared: 2026.08.11 13.22.41</t>
  </si>
  <si>
    <t xml:space="preserve">    Active:   2026.08.11 13.22.02</t>
  </si>
  <si>
    <t xml:space="preserve">    Cleared: 2026.08.07 09.57.23</t>
  </si>
  <si>
    <t xml:space="preserve">    Active:   2026.08.07 07.30.26</t>
  </si>
  <si>
    <t xml:space="preserve">    Active:   2026.08.31 20.30.32</t>
  </si>
  <si>
    <t xml:space="preserve">    Active:   2026.08.27 22.55.54</t>
  </si>
  <si>
    <t xml:space="preserve">    Active:   2026.08.27 20.40.47</t>
  </si>
  <si>
    <t xml:space="preserve">    Active:   2026.08.26 18.30.31</t>
  </si>
  <si>
    <t xml:space="preserve">    Active:   2026.08.26 10.40.35</t>
  </si>
  <si>
    <t xml:space="preserve">    Active:   2026.08.18 06.35.32</t>
  </si>
  <si>
    <t xml:space="preserve">    Active:   2026.08.15 16.03.50</t>
  </si>
  <si>
    <t xml:space="preserve">    Active:   2026.08.11 07.54.16</t>
  </si>
  <si>
    <t xml:space="preserve">    Active:   2026.08.04 05.11.50</t>
  </si>
  <si>
    <t xml:space="preserve">    Active:   2026.08.31 20.19.08</t>
  </si>
  <si>
    <t xml:space="preserve">    Active:   2026.08.27 22.28.19</t>
  </si>
  <si>
    <t xml:space="preserve">    Active:   2026.08.27 20.25.14</t>
  </si>
  <si>
    <t xml:space="preserve">    Active:   2026.08.26 18.23.05</t>
  </si>
  <si>
    <t xml:space="preserve">    Active:   2026.08.26 10.31.12</t>
  </si>
  <si>
    <t xml:space="preserve">    Active:   2026.08.18 06.30.43</t>
  </si>
  <si>
    <t xml:space="preserve">    Active:   2026.08.17 07.51.29</t>
  </si>
  <si>
    <t xml:space="preserve">    Active:   2026.08.15 15.56.26</t>
  </si>
  <si>
    <t xml:space="preserve">    Active:   2026.08.11 07.43.52</t>
  </si>
  <si>
    <t xml:space="preserve">    Active:   2026.08.05 17.28.06</t>
  </si>
  <si>
    <t xml:space="preserve">    Active:   2026.08.04 04.55.41</t>
  </si>
  <si>
    <t xml:space="preserve">    Active:   2026.08.03 08.20.57</t>
  </si>
  <si>
    <t xml:space="preserve">    Active:   2026.08.31 19.33.17</t>
  </si>
  <si>
    <t xml:space="preserve">    Active:   2026.08.31 11.25.49</t>
  </si>
  <si>
    <t xml:space="preserve">    Active:   2026.08.30 15.46.04</t>
  </si>
  <si>
    <t xml:space="preserve">    Active:   2026.08.29 16.49.13</t>
  </si>
  <si>
    <t xml:space="preserve">    Active:   2026.08.28 13.29.56</t>
  </si>
  <si>
    <t xml:space="preserve">    Active:   2026.08.27 18.19.01</t>
  </si>
  <si>
    <t xml:space="preserve">    Active:   2026.08.27 17.08.06</t>
  </si>
  <si>
    <t xml:space="preserve">    Active:   2026.08.26 15.38.52</t>
  </si>
  <si>
    <t xml:space="preserve">    Active:   2026.08.18 17.16.21</t>
  </si>
  <si>
    <t xml:space="preserve">    Active:   2026.08.18 15.37.59</t>
  </si>
  <si>
    <t xml:space="preserve">    Active:   2026.08.18 12.33.00</t>
  </si>
  <si>
    <t xml:space="preserve">    Active:   2026.08.17 10.53.59</t>
  </si>
  <si>
    <t xml:space="preserve">    Active:   2026.08.16 20.54.58</t>
  </si>
  <si>
    <t xml:space="preserve">    Active:   2026.08.16 16.26.01</t>
  </si>
  <si>
    <t xml:space="preserve">    Active:   2026.08.15 15.28.25</t>
  </si>
  <si>
    <t xml:space="preserve">    Active:   2026.08.13 20.39.05</t>
  </si>
  <si>
    <t xml:space="preserve">    Active:   2026.08.13 13.23.28</t>
  </si>
  <si>
    <t xml:space="preserve">    Active:   2026.08.12 18.31.57</t>
  </si>
  <si>
    <t xml:space="preserve">    Active:   2026.08.12 17.34.35</t>
  </si>
  <si>
    <t xml:space="preserve">    Active:   2026.08.11 18.06.48</t>
  </si>
  <si>
    <t xml:space="preserve">    Active:   2026.08.11 14.53.39</t>
  </si>
  <si>
    <t xml:space="preserve">    Active:   2026.08.11 12.19.30</t>
  </si>
  <si>
    <t xml:space="preserve">    Active:   2026.08.10 22.41.47</t>
  </si>
  <si>
    <t xml:space="preserve">    Active:   2026.08.09 18.39.32</t>
  </si>
  <si>
    <t xml:space="preserve">    Active:   2026.08.09 16.39.37</t>
  </si>
  <si>
    <t xml:space="preserve">    Active:   2026.08.09 14.59.21</t>
  </si>
  <si>
    <t xml:space="preserve">    Active:   2026.08.09 13.11.04</t>
  </si>
  <si>
    <t xml:space="preserve">    Active:   2026.08.09 10.45.32</t>
  </si>
  <si>
    <t xml:space="preserve">    Active:   2026.08.08 20.24.54</t>
  </si>
  <si>
    <t xml:space="preserve">    Active:   2026.08.07 18.17.56</t>
  </si>
  <si>
    <t xml:space="preserve">    Active:   2026.08.07 14.12.17</t>
  </si>
  <si>
    <t xml:space="preserve">    Active:   2026.08.05 20.42.45</t>
  </si>
  <si>
    <t xml:space="preserve">    Active:   2026.08.05 16.51.58</t>
  </si>
  <si>
    <t xml:space="preserve">    Active:   2026.08.05 16.13.52</t>
  </si>
  <si>
    <t xml:space="preserve">    Active:   2026.08.05 13.26.37</t>
  </si>
  <si>
    <t xml:space="preserve">    Active:   2026.08.05 10.52.02</t>
  </si>
  <si>
    <t xml:space="preserve">    Active:   2026.08.05 10.25.01</t>
  </si>
  <si>
    <t xml:space="preserve">    Active:   2026.08.05 08.06.06</t>
  </si>
  <si>
    <t xml:space="preserve">    Active:   2026.08.04 18.50.48</t>
  </si>
  <si>
    <t xml:space="preserve">    Active:   2026.08.04 11.57.32</t>
  </si>
  <si>
    <t xml:space="preserve">    Active:   2026.08.03 22.12.10</t>
  </si>
  <si>
    <t xml:space="preserve">    Active:   2026.08.02 22.03.07</t>
  </si>
  <si>
    <t xml:space="preserve">    Active:   2026.08.02 15.13.22</t>
  </si>
  <si>
    <t xml:space="preserve">    Active:   2026.08.02 13.45.12</t>
  </si>
  <si>
    <t xml:space="preserve">    Active:   2026.08.01 16.55.47</t>
  </si>
  <si>
    <t xml:space="preserve">  Flex BA - No Response Alarm</t>
  </si>
  <si>
    <t xml:space="preserve">    Active:   2026.08.27 23.39.33</t>
  </si>
  <si>
    <t xml:space="preserve">    Active:   2026.08.27 21.25.08</t>
  </si>
  <si>
    <t xml:space="preserve">    Active:   2026.08.27 22.23.57</t>
  </si>
  <si>
    <t xml:space="preserve">    Active:   2026.08.27 20.20.38</t>
  </si>
  <si>
    <t xml:space="preserve">    Active:   2026.08.18 06.36.04</t>
  </si>
  <si>
    <t xml:space="preserve">  FLEX - HeatingControl.L1 pumppu hälytys</t>
  </si>
  <si>
    <t xml:space="preserve">    Active:   2026.08.18 16.07.20</t>
  </si>
  <si>
    <t xml:space="preserve">    Active:   2026.08.31 17.34.42</t>
  </si>
  <si>
    <t xml:space="preserve">    Active:   2026.08.30 19.45.31</t>
  </si>
  <si>
    <t xml:space="preserve">    Active:   2026.08.29 20.39.49</t>
  </si>
  <si>
    <t xml:space="preserve">    Active:   2026.08.28 20.45.28</t>
  </si>
  <si>
    <t xml:space="preserve">    Active:   2026.08.27 20.54.12</t>
  </si>
  <si>
    <t xml:space="preserve">    Active:   2026.08.26 18.53.10</t>
  </si>
  <si>
    <t xml:space="preserve">    Active:   2026.08.17 17.23.47</t>
  </si>
  <si>
    <t xml:space="preserve">    Active:   2026.08.15 22.01.26</t>
  </si>
  <si>
    <t xml:space="preserve">    Active:   2026.08.15 12.35.38</t>
  </si>
  <si>
    <t xml:space="preserve">    Active:   2026.08.14 19.10.18</t>
  </si>
  <si>
    <t xml:space="preserve">    Active:   2026.08.13 20.57.52</t>
  </si>
  <si>
    <t xml:space="preserve">    Active:   2026.08.13 20.18.42</t>
  </si>
  <si>
    <t xml:space="preserve">    Active:   2026.08.13 19.11.40</t>
  </si>
  <si>
    <t xml:space="preserve">    Active:   2026.08.12 20.39.01</t>
  </si>
  <si>
    <t xml:space="preserve">    Active:   2026.08.12 19.11.45</t>
  </si>
  <si>
    <t xml:space="preserve">    Active:   2026.08.11 20.22.38</t>
  </si>
  <si>
    <t xml:space="preserve">    Active:   2026.08.10 10.34.54</t>
  </si>
  <si>
    <t xml:space="preserve">    Active:   2026.08.27 22.27.35</t>
  </si>
  <si>
    <t xml:space="preserve">    Active:   2026.08.27 20.24.32</t>
  </si>
  <si>
    <t xml:space="preserve">    Active:   2026.08.26 11.33.06</t>
  </si>
  <si>
    <t xml:space="preserve">    Active:   2026.08.26 11.25.06</t>
  </si>
  <si>
    <t xml:space="preserve">    Active:   2026.08.26 10.33.41</t>
  </si>
  <si>
    <t xml:space="preserve">    Active:   2026.08.26 10.15.50</t>
  </si>
  <si>
    <t xml:space="preserve">    Active:   2026.08.26 09.28.30</t>
  </si>
  <si>
    <t xml:space="preserve">    Active:   2026.08.26 09.11.24</t>
  </si>
  <si>
    <t xml:space="preserve">    Active:   2026.08.26 08.35.43</t>
  </si>
  <si>
    <t xml:space="preserve">    Active:   2026.08.10 08.36.01</t>
  </si>
  <si>
    <t>Kajaani Tehdaskatu 8 Total</t>
  </si>
  <si>
    <t xml:space="preserve">    Active:   2026.08.31 11.53.27</t>
  </si>
  <si>
    <t xml:space="preserve">    Active:   2026.08.27 22.28.26</t>
  </si>
  <si>
    <t xml:space="preserve">    Active:   2026.08.27 20.25.22</t>
  </si>
  <si>
    <t xml:space="preserve">    Active:   2026.08.18 06.31.30</t>
  </si>
  <si>
    <t xml:space="preserve">  Flex - DHeatMeasures.Kaukolämpövesi liian kylmää</t>
  </si>
  <si>
    <t xml:space="preserve">    Active:   2026.08.15 22.04.50</t>
  </si>
  <si>
    <t xml:space="preserve">    Active:   2026.08.11 10.48.00</t>
  </si>
  <si>
    <t xml:space="preserve">    Active:   2026.08.11 09.59.22</t>
  </si>
  <si>
    <t xml:space="preserve">  Flex - Anturivika UI7 L2 paluuveden lämpötila (L2 paluuveden lämpötila)</t>
  </si>
  <si>
    <t xml:space="preserve">    Active:   2026.08.15 20.43.28</t>
  </si>
  <si>
    <t xml:space="preserve">    Active:   2026.08.13 02.03.46</t>
  </si>
  <si>
    <t xml:space="preserve">    Active:   2026.08.31 11.05.09</t>
  </si>
  <si>
    <t xml:space="preserve">    Active:   2026.08.31 10.11.20</t>
  </si>
  <si>
    <t xml:space="preserve">    Active:   2026.08.31 10.01.05</t>
  </si>
  <si>
    <t xml:space="preserve">    Active:   2026.08.31 09.48.44</t>
  </si>
  <si>
    <t xml:space="preserve">    Active:   2026.08.31 09.26.43</t>
  </si>
  <si>
    <t xml:space="preserve">    Active:   2026.08.30 17.36.35</t>
  </si>
  <si>
    <t xml:space="preserve">    Active:   2026.08.30 16.21.58</t>
  </si>
  <si>
    <t xml:space="preserve">    Active:   2026.08.30 15.09.48</t>
  </si>
  <si>
    <t xml:space="preserve">    Active:   2026.08.30 13.29.25</t>
  </si>
  <si>
    <t xml:space="preserve">    Active:   2026.08.30 12.53.18</t>
  </si>
  <si>
    <t xml:space="preserve">    Active:   2026.08.30 02.17.55</t>
  </si>
  <si>
    <t xml:space="preserve">    Active:   2026.08.30 01.53.58</t>
  </si>
  <si>
    <t xml:space="preserve">    Active:   2026.08.30 01.31.41</t>
  </si>
  <si>
    <t xml:space="preserve">    Active:   2026.08.30 01.15.22</t>
  </si>
  <si>
    <t xml:space="preserve">    Active:   2026.08.30 00.24.04</t>
  </si>
  <si>
    <t xml:space="preserve">    Active:   2026.08.29 23.55.26</t>
  </si>
  <si>
    <t xml:space="preserve">    Active:   2026.08.29 22.40.15</t>
  </si>
  <si>
    <t xml:space="preserve">    Active:   2026.08.29 22.28.49</t>
  </si>
  <si>
    <t xml:space="preserve">    Active:   2026.08.29 22.23.49</t>
  </si>
  <si>
    <t xml:space="preserve">    Active:   2026.08.29 20.50.40</t>
  </si>
  <si>
    <t xml:space="preserve">    Active:   2026.08.29 19.34.03</t>
  </si>
  <si>
    <t xml:space="preserve">    Active:   2026.08.29 19.25.40</t>
  </si>
  <si>
    <t xml:space="preserve">    Active:   2026.08.29 19.06.49</t>
  </si>
  <si>
    <t xml:space="preserve">    Active:   2026.08.29 18.52.08</t>
  </si>
  <si>
    <t xml:space="preserve">    Active:   2026.08.29 18.02.22</t>
  </si>
  <si>
    <t xml:space="preserve">    Active:   2026.08.29 17.15.54</t>
  </si>
  <si>
    <t xml:space="preserve">    Active:   2026.08.29 17.09.21</t>
  </si>
  <si>
    <t xml:space="preserve">    Active:   2026.08.29 16.51.08</t>
  </si>
  <si>
    <t xml:space="preserve">    Active:   2026.08.29 16.20.46</t>
  </si>
  <si>
    <t xml:space="preserve">    Active:   2026.08.29 16.11.31</t>
  </si>
  <si>
    <t xml:space="preserve">    Active:   2026.08.29 15.01.16</t>
  </si>
  <si>
    <t xml:space="preserve">    Active:   2026.08.29 14.51.40</t>
  </si>
  <si>
    <t xml:space="preserve">    Active:   2026.08.29 13.33.47</t>
  </si>
  <si>
    <t xml:space="preserve">    Active:   2026.08.29 13.21.49</t>
  </si>
  <si>
    <t xml:space="preserve">    Active:   2026.08.29 13.14.37</t>
  </si>
  <si>
    <t xml:space="preserve">    Active:   2026.08.29 12.57.03</t>
  </si>
  <si>
    <t xml:space="preserve">    Active:   2026.08.27 22.24.20</t>
  </si>
  <si>
    <t xml:space="preserve">    Active:   2026.08.27 20.21.37</t>
  </si>
  <si>
    <t xml:space="preserve">    Active:   2026.08.27 16.27.11</t>
  </si>
  <si>
    <t xml:space="preserve">    Active:   2026.08.27 16.19.39</t>
  </si>
  <si>
    <t xml:space="preserve">    Active:   2026.08.27 08.32.08</t>
  </si>
  <si>
    <t xml:space="preserve">    Active:   2026.08.26 18.50.51</t>
  </si>
  <si>
    <t xml:space="preserve">    Active:   2026.08.26 08.26.22</t>
  </si>
  <si>
    <t xml:space="preserve">    Active:   2026.08.18 06.30.28</t>
  </si>
  <si>
    <t xml:space="preserve">    Active:   2026.08.17 15.15.29</t>
  </si>
  <si>
    <t xml:space="preserve">    Active:   2026.08.15 06.21.21</t>
  </si>
  <si>
    <t xml:space="preserve">    Active:   2026.08.14 14.00.32</t>
  </si>
  <si>
    <t xml:space="preserve">    Active:   2026.08.14 10.01.09</t>
  </si>
  <si>
    <t xml:space="preserve">    Active:   2026.08.13 09.13.39</t>
  </si>
  <si>
    <t xml:space="preserve">    Active:   2026.08.13 09.00.37</t>
  </si>
  <si>
    <t xml:space="preserve">    Active:   2026.08.11 14.12.13</t>
  </si>
  <si>
    <t xml:space="preserve">    Active:   2026.08.11 00.18.27</t>
  </si>
  <si>
    <t xml:space="preserve">    Active:   2026.08.06 10.17.24</t>
  </si>
  <si>
    <t>Oulu Helatorni Total</t>
  </si>
  <si>
    <t xml:space="preserve">    Active:   2026.08.31 08.06.19</t>
  </si>
  <si>
    <t xml:space="preserve">    Active:   2026.08.31 01.04.36</t>
  </si>
  <si>
    <t xml:space="preserve">    Active:   2026.08.27 22.23.55</t>
  </si>
  <si>
    <t xml:space="preserve">    Active:   2026.08.27 20.21.54</t>
  </si>
  <si>
    <t>Sotkamo Kanervatie 4 ja 6 Total</t>
  </si>
  <si>
    <t xml:space="preserve">    Active:   2026.08.31 08.06.13</t>
  </si>
  <si>
    <t xml:space="preserve">    Active:   2026.08.31 01.04.30</t>
  </si>
  <si>
    <t xml:space="preserve">    Active:   2026.08.27 20.22.34</t>
  </si>
  <si>
    <t xml:space="preserve">  FLEX - HeatingControl.L1 menovesi poikkeamahäl.</t>
  </si>
  <si>
    <t xml:space="preserve">    Active:   2026.08.28 21.30.55</t>
  </si>
  <si>
    <t xml:space="preserve">    Active:   2026.08.27 19.50.14</t>
  </si>
  <si>
    <t xml:space="preserve">    Active:   2026.08.26 19.35.45</t>
  </si>
  <si>
    <t xml:space="preserve">    Active:   2026.08.16 17.23.35</t>
  </si>
  <si>
    <t xml:space="preserve">    Active:   2026.08.15 21.14.14</t>
  </si>
  <si>
    <t xml:space="preserve">    Active:   2026.08.10 18.59.37</t>
  </si>
  <si>
    <t xml:space="preserve">    Active:   2026.08.09 18.28.07</t>
  </si>
  <si>
    <t xml:space="preserve">    Active:   2026.08.07 08.05.29</t>
  </si>
  <si>
    <t xml:space="preserve">    Active:   2026.08.05 18.09.05</t>
  </si>
  <si>
    <t xml:space="preserve">  WL base - No Response Alarm</t>
  </si>
  <si>
    <t xml:space="preserve">    Active:   2026.08.27 22.06.52</t>
  </si>
  <si>
    <t>Sotkamo Vuokatinluhti 1 Total</t>
  </si>
  <si>
    <t xml:space="preserve">  FLEX - Kuuluvuushälytys</t>
  </si>
  <si>
    <t xml:space="preserve">    Active:   2026.08.31 08.06.00</t>
  </si>
  <si>
    <t xml:space="preserve">    Active:   2026.08.31 01.04.35</t>
  </si>
  <si>
    <t xml:space="preserve">    Active:   2026.08.27 20.22.32</t>
  </si>
  <si>
    <t xml:space="preserve">    Active:   2026.08.29 19.27.36</t>
  </si>
  <si>
    <t xml:space="preserve">    Active:   2026.08.15 20.45.37</t>
  </si>
  <si>
    <t xml:space="preserve">    Active:   2026.08.07 15.44.55</t>
  </si>
  <si>
    <t xml:space="preserve">    Active:   2026.08.28 10.03.47</t>
  </si>
  <si>
    <t xml:space="preserve">    Active:   2026.08.27 08.00.12</t>
  </si>
  <si>
    <t xml:space="preserve">    Active:   2026.08.18 09.59.56</t>
  </si>
  <si>
    <t xml:space="preserve">    Active:   2026.08.12 10.40.01</t>
  </si>
  <si>
    <t xml:space="preserve">    Active:   2026.08.11 07.53.00</t>
  </si>
  <si>
    <t xml:space="preserve">    Active:   2026.08.10 09.39.55</t>
  </si>
  <si>
    <t xml:space="preserve">    Active:   2026.08.08 12.23.48</t>
  </si>
  <si>
    <t xml:space="preserve">    Active:   2026.08.05 09.18.15</t>
  </si>
  <si>
    <t xml:space="preserve">    Active:   2026.08.03 14.49.34</t>
  </si>
  <si>
    <t>Kajaani Pohjolankatu 22 Total</t>
  </si>
  <si>
    <t xml:space="preserve">    Active:   2026.08.31 08.05.59</t>
  </si>
  <si>
    <t xml:space="preserve">    Active:   2026.08.31 01.04.53</t>
  </si>
  <si>
    <t xml:space="preserve">    Active:   2026.08.27 22.24.17</t>
  </si>
  <si>
    <t xml:space="preserve">    Active:   2026.08.27 20.21.25</t>
  </si>
  <si>
    <t xml:space="preserve">    Active:   2026.08.18 06.36.05</t>
  </si>
  <si>
    <t xml:space="preserve">    Active:   2026.08.10 08.12.29</t>
  </si>
  <si>
    <t>Vaalan alakoulu (P) Total</t>
  </si>
  <si>
    <t xml:space="preserve">    Active:   2026.08.31 08.04.07</t>
  </si>
  <si>
    <t xml:space="preserve">    Active:   2026.08.31 01.05.07</t>
  </si>
  <si>
    <t xml:space="preserve">    Active:   2026.08.27 22.33.16</t>
  </si>
  <si>
    <t xml:space="preserve">    Active:   2026.08.27 20.23.50</t>
  </si>
  <si>
    <t xml:space="preserve">    Active:   2026.08.18 01.20.58</t>
  </si>
  <si>
    <t xml:space="preserve">    Active:   2026.08.15 20.46.09</t>
  </si>
  <si>
    <t xml:space="preserve">    Active:   2026.08.14 03.40.05</t>
  </si>
  <si>
    <t xml:space="preserve">    Active:   2026.08.31 02.13.23</t>
  </si>
  <si>
    <t xml:space="preserve">    Active:   2026.08.30 02.48.41</t>
  </si>
  <si>
    <t xml:space="preserve">    Active:   2026.08.29 03.00.56</t>
  </si>
  <si>
    <t xml:space="preserve">    Active:   2026.08.27 04.01.55</t>
  </si>
  <si>
    <t xml:space="preserve">    Active:   2026.08.17 02.12.20</t>
  </si>
  <si>
    <t xml:space="preserve">    Active:   2026.08.16 02.33.08</t>
  </si>
  <si>
    <t xml:space="preserve">    Active:   2026.08.15 02.46.17</t>
  </si>
  <si>
    <t xml:space="preserve">    Active:   2026.08.11 02.06.06</t>
  </si>
  <si>
    <t xml:space="preserve">    Active:   2026.08.10 02.03.26</t>
  </si>
  <si>
    <t xml:space="preserve">    Active:   2026.08.09 02.04.21</t>
  </si>
  <si>
    <t xml:space="preserve">    Active:   2026.08.07 02.03.26</t>
  </si>
  <si>
    <t xml:space="preserve">    Active:   2026.08.06 02.12.56</t>
  </si>
  <si>
    <t xml:space="preserve">    Active:   2026.08.05 03.01.46</t>
  </si>
  <si>
    <t xml:space="preserve">    Active:   2026.08.03 02.04.53</t>
  </si>
  <si>
    <t xml:space="preserve">    Active:   2026.08.02 02.03.45</t>
  </si>
  <si>
    <t xml:space="preserve">    Active:   2026.08.01 03.38.06</t>
  </si>
  <si>
    <t xml:space="preserve">  VAK3 - No Response Alarm</t>
  </si>
  <si>
    <t xml:space="preserve">    Active:   2026.08.27 22.37.21</t>
  </si>
  <si>
    <t xml:space="preserve">    Active:   2026.08.27 20.35.28</t>
  </si>
  <si>
    <t xml:space="preserve">    Active:   2026.08.09 22.39.38</t>
  </si>
  <si>
    <t xml:space="preserve">  VAK1 - No Response Alarm</t>
  </si>
  <si>
    <t xml:space="preserve">    Active:   2026.08.27 22.37.06</t>
  </si>
  <si>
    <t xml:space="preserve">  VAK2 - No Response Alarm</t>
  </si>
  <si>
    <t xml:space="preserve">    Active:   2026.08.27 22.38.10</t>
  </si>
  <si>
    <t xml:space="preserve">    Active:   2026.08.27 20.33.17</t>
  </si>
  <si>
    <t xml:space="preserve">    Active:   2026.08.18 06.49.15</t>
  </si>
  <si>
    <t xml:space="preserve">  VAK2 - Laite MBTCP.VAK3 väylässä ModbusTCP ei vastaa</t>
  </si>
  <si>
    <t xml:space="preserve">    Active:   2026.08.18 05.04.24</t>
  </si>
  <si>
    <t xml:space="preserve">    Active:   2026.08.09 22.29.27</t>
  </si>
  <si>
    <t xml:space="preserve">  VAK1 - Laite MBTCP.VAK3 väylässä ModbusTCP ei vastaa</t>
  </si>
  <si>
    <t xml:space="preserve">    Active:   2026.08.18 05.04.20</t>
  </si>
  <si>
    <t xml:space="preserve">    Active:   2026.08.09 22.29.28</t>
  </si>
  <si>
    <t xml:space="preserve">  VAK3 - Ristiriitahälytys IV-pumppu</t>
  </si>
  <si>
    <t xml:space="preserve">    Active:   2026.08.10 09.42.38</t>
  </si>
  <si>
    <t xml:space="preserve">    Active:   2026.08.10 08.59.03</t>
  </si>
  <si>
    <t xml:space="preserve">  VAK1 - Paloilmoitin palohälytys</t>
  </si>
  <si>
    <t xml:space="preserve">    Active:   2026.08.08 07.37.53</t>
  </si>
  <si>
    <t xml:space="preserve">    Active:   2026.08.08 02.18.31</t>
  </si>
  <si>
    <t xml:space="preserve">    Active:   2026.08.04 09.01.17</t>
  </si>
  <si>
    <t xml:space="preserve">    Active:   2026.08.31 01.35.43</t>
  </si>
  <si>
    <t xml:space="preserve">    Active:   2026.08.27 22.23.49</t>
  </si>
  <si>
    <t xml:space="preserve">    Active:   2026.08.27 20.21.52</t>
  </si>
  <si>
    <t xml:space="preserve">    Active:   2026.08.18 06.34.21</t>
  </si>
  <si>
    <t xml:space="preserve">  Autohalli IV - Kuuluvuushälytys</t>
  </si>
  <si>
    <t xml:space="preserve">    Active:   2026.08.27 22.27.52</t>
  </si>
  <si>
    <t xml:space="preserve">    Active:   2026.08.27 20.23.45</t>
  </si>
  <si>
    <t>Raahe Saaristokatu 54 Total</t>
  </si>
  <si>
    <t xml:space="preserve">    Active:   2026.08.31 01.04.46</t>
  </si>
  <si>
    <t xml:space="preserve">    Active:   2026.08.27 20.21.16</t>
  </si>
  <si>
    <t xml:space="preserve">    Active:   2026.08.27 22.47.30</t>
  </si>
  <si>
    <t xml:space="preserve">    Active:   2026.08.27 20.30.14</t>
  </si>
  <si>
    <t>Tornionväylä Total</t>
  </si>
  <si>
    <t xml:space="preserve">    Active:   2026.08.31 01.04.44</t>
  </si>
  <si>
    <t xml:space="preserve">    Active:   2026.08.27 22.24.00</t>
  </si>
  <si>
    <t xml:space="preserve">    Active:   2026.08.27 20.21.39</t>
  </si>
  <si>
    <t xml:space="preserve">    Active:   2026.08.18 06.30.54</t>
  </si>
  <si>
    <t xml:space="preserve">    Active:   2026.08.27 22.06.49</t>
  </si>
  <si>
    <t>Oulu Voimanuotta Total</t>
  </si>
  <si>
    <t xml:space="preserve">    Active:   2026.08.27 22.24.21</t>
  </si>
  <si>
    <t xml:space="preserve">    Active:   2026.08.18 06.30.29</t>
  </si>
  <si>
    <t>Raahe Ollinsaarenrivi Total</t>
  </si>
  <si>
    <t xml:space="preserve">    Active:   2026.08.30 21.06.38</t>
  </si>
  <si>
    <t xml:space="preserve">    Active:   2026.08.27 20.21.55</t>
  </si>
  <si>
    <t xml:space="preserve">  Flex - OumanBlock.Huonemitt.5 pois väylältä</t>
  </si>
  <si>
    <t xml:space="preserve">    Active:   2026.08.30 17.22.30</t>
  </si>
  <si>
    <t xml:space="preserve">    Active:   2026.08.28 09.22.26</t>
  </si>
  <si>
    <t xml:space="preserve">    Active:   2026.08.28 04.49.56</t>
  </si>
  <si>
    <t xml:space="preserve">    Active:   2026.08.27 23.50.01</t>
  </si>
  <si>
    <t xml:space="preserve">    Active:   2026.08.15 05.07.42</t>
  </si>
  <si>
    <t xml:space="preserve">    Active:   2026.08.15 02.37.42</t>
  </si>
  <si>
    <t xml:space="preserve">    Active:   2026.08.13 20.34.52</t>
  </si>
  <si>
    <t xml:space="preserve">    Active:   2026.08.27 22.27.37</t>
  </si>
  <si>
    <t xml:space="preserve">    Active:   2026.08.27 20.25.24</t>
  </si>
  <si>
    <t xml:space="preserve">  Flex - Laite MB2.FLTA osoitteessa 1 ei vastaa</t>
  </si>
  <si>
    <t xml:space="preserve">    Active:   2026.08.27 09.32.35</t>
  </si>
  <si>
    <t>RYP Verstas Total</t>
  </si>
  <si>
    <t xml:space="preserve">  VAK1 IVKH - TK1 Tuloilman paineen yläraja</t>
  </si>
  <si>
    <t xml:space="preserve">    Active:   2026.08.28 20.06.02</t>
  </si>
  <si>
    <t xml:space="preserve">    Active:   2026.08.28 18.06.44</t>
  </si>
  <si>
    <t xml:space="preserve">    Active:   2026.08.28 06.46.00</t>
  </si>
  <si>
    <t xml:space="preserve">    Active:   2026.08.11 10.17.19</t>
  </si>
  <si>
    <t xml:space="preserve">    Active:   2026.08.05 18.06.45</t>
  </si>
  <si>
    <t xml:space="preserve">    Active:   2026.08.05 06.46.18</t>
  </si>
  <si>
    <t xml:space="preserve">    Active:   2026.08.04 20.14.02</t>
  </si>
  <si>
    <t xml:space="preserve">    Active:   2026.08.04 18.20.15</t>
  </si>
  <si>
    <t xml:space="preserve">    Active:   2026.08.04 18.12.24</t>
  </si>
  <si>
    <t xml:space="preserve">  VAK1 IVKH - TK1 Poistoilman paineen yläraja</t>
  </si>
  <si>
    <t xml:space="preserve">    Active:   2026.08.28 18.15.04</t>
  </si>
  <si>
    <t xml:space="preserve">    Active:   2026.08.28 18.06.06</t>
  </si>
  <si>
    <t xml:space="preserve">    Active:   2026.08.28 06.59.22</t>
  </si>
  <si>
    <t xml:space="preserve">    Active:   2026.08.11 10.17.21</t>
  </si>
  <si>
    <t xml:space="preserve">    Active:   2026.08.05 18.06.10</t>
  </si>
  <si>
    <t xml:space="preserve">    Active:   2026.08.04 20.13.39</t>
  </si>
  <si>
    <t xml:space="preserve">    Active:   2026.08.04 18.19.53</t>
  </si>
  <si>
    <t xml:space="preserve">  VAK1 IVKH - Kuuluvuushälytys</t>
  </si>
  <si>
    <t xml:space="preserve">    Active:   2026.08.18 06.42.32</t>
  </si>
  <si>
    <t xml:space="preserve">    Active:   2026.08.11 09.29.19</t>
  </si>
  <si>
    <t xml:space="preserve">    Active:   2026.08.27 22.47.27</t>
  </si>
  <si>
    <t xml:space="preserve">    Active:   2026.08.27 20.46.52</t>
  </si>
  <si>
    <t xml:space="preserve">    Active:   2026.08.27 20.21.42</t>
  </si>
  <si>
    <t>As Oy Tornion Sairaalakatu 5 Total</t>
  </si>
  <si>
    <t xml:space="preserve">    Active:   2026.08.28 00.25.20</t>
  </si>
  <si>
    <t xml:space="preserve">    Active:   2026.08.27 23.07.53</t>
  </si>
  <si>
    <t xml:space="preserve">    Active:   2026.08.27 21.53.32</t>
  </si>
  <si>
    <t xml:space="preserve">    Active:   2026.08.27 21.17.22</t>
  </si>
  <si>
    <t xml:space="preserve">  VAK1 - Perusvesipumppu hälytys</t>
  </si>
  <si>
    <t xml:space="preserve">    Active:   2026.08.03 10.36.09</t>
  </si>
  <si>
    <t xml:space="preserve">    Active:   2026.08.27 22.27.10</t>
  </si>
  <si>
    <t xml:space="preserve">    Active:   2026.08.27 20.24.07</t>
  </si>
  <si>
    <t xml:space="preserve">    Active:   2026.08.04 05.49.36</t>
  </si>
  <si>
    <t xml:space="preserve">    Active:   2026.08.05 17.25.30</t>
  </si>
  <si>
    <t>Kajaani Louhikatu 4 Total</t>
  </si>
  <si>
    <t xml:space="preserve">    Active:   2026.08.27 22.47.35</t>
  </si>
  <si>
    <t xml:space="preserve">    Active:   2026.08.27 20.30.55</t>
  </si>
  <si>
    <t xml:space="preserve">    Active:   2026.08.27 22.27.23</t>
  </si>
  <si>
    <t xml:space="preserve">    Active:   2026.08.27 20.24.11</t>
  </si>
  <si>
    <t xml:space="preserve">    Active:   2026.08.18 06.32.19</t>
  </si>
  <si>
    <t xml:space="preserve">    Active:   2026.08.18 14.21.19</t>
  </si>
  <si>
    <t xml:space="preserve">    Active:   2026.08.16 01.15.36</t>
  </si>
  <si>
    <t xml:space="preserve">    Active:   2026.08.15 23.38.13</t>
  </si>
  <si>
    <t xml:space="preserve">    Active:   2026.08.11 12.25.52</t>
  </si>
  <si>
    <t xml:space="preserve">    Active:   2026.08.11 09.59.28</t>
  </si>
  <si>
    <t>Rovaniemi Ainonkatu 4-6 Pääsäädin (P) Total</t>
  </si>
  <si>
    <t xml:space="preserve">    Active:   2026.08.27 22.25.18</t>
  </si>
  <si>
    <t xml:space="preserve">    Active:   2026.08.27 20.24.31</t>
  </si>
  <si>
    <t xml:space="preserve">    Active:   2026.08.05 13.09.01</t>
  </si>
  <si>
    <t>Raahen Raatihovi Total</t>
  </si>
  <si>
    <t xml:space="preserve">    Active:   2026.08.27 23.38.02</t>
  </si>
  <si>
    <t xml:space="preserve">    Active:   2026.08.27 21.56.38</t>
  </si>
  <si>
    <t xml:space="preserve">  C203 - Kuuluvuushälytys</t>
  </si>
  <si>
    <t xml:space="preserve">    Active:   2026.08.27 23.16.02</t>
  </si>
  <si>
    <t xml:space="preserve">    Active:   2026.08.27 21.15.57</t>
  </si>
  <si>
    <t xml:space="preserve">  Flex - Laite MB3.C203 osoitteessa 10 ei vastaa</t>
  </si>
  <si>
    <t xml:space="preserve">    Active:   2026.08.16 10.43.32</t>
  </si>
  <si>
    <t>Oulu Rommakkokatu 9 Total</t>
  </si>
  <si>
    <t xml:space="preserve">    Active:   2026.08.27 22.47.31</t>
  </si>
  <si>
    <t xml:space="preserve">    Active:   2026.08.27 20.30.20</t>
  </si>
  <si>
    <t xml:space="preserve">    Active:   2026.08.17 08.51.12</t>
  </si>
  <si>
    <t xml:space="preserve">    Active:   2026.08.27 23.09.22</t>
  </si>
  <si>
    <t xml:space="preserve">    Active:   2026.08.27 21.17.18</t>
  </si>
  <si>
    <t xml:space="preserve">    Active:   2026.08.27 22.46.44</t>
  </si>
  <si>
    <t xml:space="preserve">    Active:   2026.08.27 21.36.07</t>
  </si>
  <si>
    <t xml:space="preserve">    Cleared: 2026.08.27 23.39.45</t>
  </si>
  <si>
    <t xml:space="preserve">    Active:   2026.08.27 23.16.59</t>
  </si>
  <si>
    <t xml:space="preserve">    Cleared: 2026.08.18 08.24.27</t>
  </si>
  <si>
    <t xml:space="preserve">    Active:   2026.08.18 06.48.52</t>
  </si>
  <si>
    <t xml:space="preserve">    Cleared: 2026.08.06 10.40.54</t>
  </si>
  <si>
    <t xml:space="preserve">    Active:   2026.08.06 10.40.19</t>
  </si>
  <si>
    <t xml:space="preserve">    Cleared: 2026.08.14 18.28.19</t>
  </si>
  <si>
    <t xml:space="preserve">    Active:   2026.08.14 17.19.31</t>
  </si>
  <si>
    <t xml:space="preserve">    Cleared: 2026.08.10 13.38.05</t>
  </si>
  <si>
    <t xml:space="preserve">    Active:   2026.08.10 13.35.55</t>
  </si>
  <si>
    <t xml:space="preserve">    Cleared: 2026.08.13 08.00.15</t>
  </si>
  <si>
    <t xml:space="preserve">    Active:   2026.08.13 07.50.39</t>
  </si>
  <si>
    <t xml:space="preserve">    Cleared: 2026.08.04 19.19.35</t>
  </si>
  <si>
    <t xml:space="preserve">    Active:   2026.08.04 09.59.52</t>
  </si>
  <si>
    <t xml:space="preserve">  VAK13 - TK3 Tulopuhallin ristiriita</t>
  </si>
  <si>
    <t xml:space="preserve">    Cleared: 2026.08.18 10.02.38</t>
  </si>
  <si>
    <t xml:space="preserve">    Active:   2026.08.17 11.31.09</t>
  </si>
  <si>
    <t xml:space="preserve">    Cleared: 2026.08.06 12.01.30</t>
  </si>
  <si>
    <t xml:space="preserve">    Active:   2026.08.06 11.40.24</t>
  </si>
  <si>
    <t xml:space="preserve">  VAK13 - TK3 Poistoilman paineen alaraja</t>
  </si>
  <si>
    <t xml:space="preserve">    Cleared: 2026.08.18 10.02.36</t>
  </si>
  <si>
    <t xml:space="preserve">    Active:   2026.08.17 11.40.05</t>
  </si>
  <si>
    <t xml:space="preserve">    Cleared: 2026.08.06 12.01.43</t>
  </si>
  <si>
    <t xml:space="preserve">    Active:   2026.08.06 11.49.12</t>
  </si>
  <si>
    <t xml:space="preserve">  VAK13 - TK3 Tulopuhallin TaMu häiriö</t>
  </si>
  <si>
    <t xml:space="preserve">    Cleared: 2026.08.18 10.02.32</t>
  </si>
  <si>
    <t xml:space="preserve">    Active:   2026.08.17 11.29.11</t>
  </si>
  <si>
    <t xml:space="preserve">    Cleared: 2026.08.06 12.01.24</t>
  </si>
  <si>
    <t xml:space="preserve">    Active:   2026.08.06 11.38.20</t>
  </si>
  <si>
    <t xml:space="preserve">  VAKLJH - Kuuluvuushälytys</t>
  </si>
  <si>
    <t xml:space="preserve">    Cleared: 2026.08.18 08.27.54</t>
  </si>
  <si>
    <t xml:space="preserve">    Active:   2026.08.18 07.28.32</t>
  </si>
  <si>
    <t xml:space="preserve">  VAK13 - Kuuluvuushälytys</t>
  </si>
  <si>
    <t xml:space="preserve">    Cleared: 2026.08.18 08.27.53</t>
  </si>
  <si>
    <t xml:space="preserve">    Active:   2026.08.18 06.50.07</t>
  </si>
  <si>
    <t xml:space="preserve">  VAK11 - TK2 Tulopuhallin TaMu häiriö</t>
  </si>
  <si>
    <t xml:space="preserve">    Cleared: 2026.08.17 11.33.23</t>
  </si>
  <si>
    <t xml:space="preserve">    Active:   2026.08.17 11.33.06</t>
  </si>
  <si>
    <t xml:space="preserve">    Cleared: 2026.08.06 12.01.08</t>
  </si>
  <si>
    <t xml:space="preserve">    Active:   2026.08.06 11.36.32</t>
  </si>
  <si>
    <t xml:space="preserve">  VAK11 - TK2 LP Pumppu SEIS</t>
  </si>
  <si>
    <t xml:space="preserve">    Cleared: 2026.08.17 11.33.22</t>
  </si>
  <si>
    <t xml:space="preserve">    Active:   2026.08.17 11.33.09</t>
  </si>
  <si>
    <t xml:space="preserve">  VAK11 - TK2 Poistopuhallin TaMu häiriö</t>
  </si>
  <si>
    <t xml:space="preserve">    Cleared: 2026.08.17 11.31.55</t>
  </si>
  <si>
    <t xml:space="preserve">    Active:   2026.08.10 14.05.55</t>
  </si>
  <si>
    <t xml:space="preserve">    Cleared: 2026.08.10 13.46.46</t>
  </si>
  <si>
    <t xml:space="preserve">    Active:   2026.08.10 13.41.08</t>
  </si>
  <si>
    <t xml:space="preserve">    Cleared: 2026.08.10 12.49.32</t>
  </si>
  <si>
    <t xml:space="preserve">    Active:   2026.08.10 09.37.26</t>
  </si>
  <si>
    <t xml:space="preserve">    Cleared: 2026.08.10 09.35.32</t>
  </si>
  <si>
    <t xml:space="preserve">    Cleared: 2026.08.10 09.35.24</t>
  </si>
  <si>
    <t xml:space="preserve">    Active:   2026.08.10 09.35.15</t>
  </si>
  <si>
    <t xml:space="preserve">    Active:   2026.08.06 11.36.12</t>
  </si>
  <si>
    <t xml:space="preserve">  VAK11 - TK1 Poistopuhallin PK1.2 ristiriita</t>
  </si>
  <si>
    <t xml:space="preserve">    Cleared: 2026.08.13 17.34.53</t>
  </si>
  <si>
    <t xml:space="preserve">    Active:   2026.08.13 00.05.38</t>
  </si>
  <si>
    <t xml:space="preserve">    Cleared: 2026.08.06 22.00.23</t>
  </si>
  <si>
    <t xml:space="preserve">    Active:   2026.08.06 12.06.43</t>
  </si>
  <si>
    <t xml:space="preserve">    Cleared: 2026.08.06 12.01.22</t>
  </si>
  <si>
    <t xml:space="preserve">    Active:   2026.08.06 11.45.19</t>
  </si>
  <si>
    <t xml:space="preserve">  VAK11 - PK9 Poistopuhallin WC ristiriita</t>
  </si>
  <si>
    <t xml:space="preserve">    Cleared: 2026.08.13 16.07.32</t>
  </si>
  <si>
    <t xml:space="preserve">    Active:   2026.08.13 15.57.26</t>
  </si>
  <si>
    <t xml:space="preserve">    Cleared: 2026.08.13 15.52.50</t>
  </si>
  <si>
    <t xml:space="preserve">    Active:   2026.08.13 15.41.16</t>
  </si>
  <si>
    <t xml:space="preserve">    Cleared: 2026.08.06 12.10.58</t>
  </si>
  <si>
    <t xml:space="preserve">    Active:   2026.08.06 10.29.02</t>
  </si>
  <si>
    <t xml:space="preserve">  VAK11 - TK4 LP Pumppu SEIS</t>
  </si>
  <si>
    <t xml:space="preserve">    Cleared: 2026.08.06 12.19.38</t>
  </si>
  <si>
    <t xml:space="preserve">    Active:   2026.08.06 12.18.55</t>
  </si>
  <si>
    <t xml:space="preserve">    Cleared: 2026.08.06 12.16.57</t>
  </si>
  <si>
    <t xml:space="preserve">  VAK11 - TK4 Tulopuhallin TaMu häiriö</t>
  </si>
  <si>
    <t xml:space="preserve">    Cleared: 2026.08.06 12.19.34</t>
  </si>
  <si>
    <t xml:space="preserve">    Active:   2026.08.06 12.18.50</t>
  </si>
  <si>
    <t xml:space="preserve">    Cleared: 2026.08.06 12.16.56</t>
  </si>
  <si>
    <t xml:space="preserve">  VAK13 - PK6 Poistopuhallin WC nopea ristiriita</t>
  </si>
  <si>
    <t xml:space="preserve">    Cleared: 2026.08.06 12.09.32</t>
  </si>
  <si>
    <t xml:space="preserve">    Active:   2026.08.06 12.05.07</t>
  </si>
  <si>
    <t xml:space="preserve">    Cleared: 2026.08.06 11.38.35</t>
  </si>
  <si>
    <t xml:space="preserve">    Active:   2026.08.06 10.34.25</t>
  </si>
  <si>
    <t xml:space="preserve">  VAK13 - PK6 Poistopuhallin WC ristiriita</t>
  </si>
  <si>
    <t xml:space="preserve">    Cleared: 2026.08.06 12.04.02</t>
  </si>
  <si>
    <t xml:space="preserve">    Active:   2026.08.06 11.39.37</t>
  </si>
  <si>
    <t xml:space="preserve">  VAK11 - TK1 Tulopuhallin ristiriita</t>
  </si>
  <si>
    <t xml:space="preserve">    Cleared: 2026.08.06 12.01.19</t>
  </si>
  <si>
    <t xml:space="preserve">    Active:   2026.08.06 10.43.19</t>
  </si>
  <si>
    <t xml:space="preserve">    Cleared: 2026.08.06 10.40.51</t>
  </si>
  <si>
    <t xml:space="preserve">    Active:   2026.08.06 10.23.19</t>
  </si>
  <si>
    <t xml:space="preserve">  VAK11 - TK1 Tulopuhallin TaMu häiriö</t>
  </si>
  <si>
    <t xml:space="preserve">    Cleared: 2026.08.06 12.01.14</t>
  </si>
  <si>
    <t xml:space="preserve">    Active:   2026.08.06 10.21.20</t>
  </si>
  <si>
    <t xml:space="preserve">  VAK11 - TK2 Tulopuhallin ristiriita</t>
  </si>
  <si>
    <t xml:space="preserve">    Cleared: 2026.08.06 12.01.11</t>
  </si>
  <si>
    <t xml:space="preserve">    Active:   2026.08.06 11.38.31</t>
  </si>
  <si>
    <t>Kajaani Tehdaskatu 10 Total</t>
  </si>
  <si>
    <t xml:space="preserve">    Active:   2026.08.27 20.25.21</t>
  </si>
  <si>
    <t xml:space="preserve">    Active:   2026.08.18 06.29.20</t>
  </si>
  <si>
    <t xml:space="preserve">    Active:   2026.08.27 22.56.50</t>
  </si>
  <si>
    <t xml:space="preserve">    Active:   2026.08.27 20.42.14</t>
  </si>
  <si>
    <t xml:space="preserve">    Active:   2026.08.27 22.28.36</t>
  </si>
  <si>
    <t xml:space="preserve">    Active:   2026.08.27 20.25.10</t>
  </si>
  <si>
    <t xml:space="preserve">    Active:   2026.08.18 06.31.09</t>
  </si>
  <si>
    <t xml:space="preserve">    Active:   2026.08.16 21.27.15</t>
  </si>
  <si>
    <t xml:space="preserve">    Active:   2026.08.16 18.33.17</t>
  </si>
  <si>
    <t xml:space="preserve">    Active:   2026.08.16 09.50.25</t>
  </si>
  <si>
    <t xml:space="preserve">    Active:   2026.08.16 07.57.48</t>
  </si>
  <si>
    <t xml:space="preserve">    Active:   2026.08.15 10.01.01</t>
  </si>
  <si>
    <t xml:space="preserve">    Active:   2026.08.12 17.53.45</t>
  </si>
  <si>
    <t xml:space="preserve">    Active:   2026.08.11 10.12.25</t>
  </si>
  <si>
    <t xml:space="preserve">    Active:   2026.08.11 08.40.32</t>
  </si>
  <si>
    <t xml:space="preserve">    Active:   2026.08.10 16.10.19</t>
  </si>
  <si>
    <t xml:space="preserve">    Active:   2026.08.10 14.15.20</t>
  </si>
  <si>
    <t xml:space="preserve">    Active:   2026.08.07 11.12.49</t>
  </si>
  <si>
    <t xml:space="preserve">    Active:   2026.08.07 10.12.14</t>
  </si>
  <si>
    <t xml:space="preserve">    Active:   2026.08.06 17.09.01</t>
  </si>
  <si>
    <t xml:space="preserve">    Active:   2026.08.13 15.06.05</t>
  </si>
  <si>
    <t xml:space="preserve">    Active:   2026.08.13 14.03.09</t>
  </si>
  <si>
    <t xml:space="preserve">  Flex - Anturivika UI9 LV ennakoinnin lämpötila (LV käyttöv. ennakoinnin lämpötila)</t>
  </si>
  <si>
    <t xml:space="preserve">    Active:   2026.08.06 13.05.25</t>
  </si>
  <si>
    <t>Oulu Järvihiisi Total</t>
  </si>
  <si>
    <t xml:space="preserve">    Active:   2026.08.27 22.27.58</t>
  </si>
  <si>
    <t xml:space="preserve">    Active:   2026.08.27 20.24.59</t>
  </si>
  <si>
    <t xml:space="preserve">    Active:   2026.08.18 06.33.54</t>
  </si>
  <si>
    <t>Oulu Suohaukka Total</t>
  </si>
  <si>
    <t xml:space="preserve">    Active:   2026.08.27 20.21.38</t>
  </si>
  <si>
    <t xml:space="preserve">    Active:   2026.08.27 22.28.21</t>
  </si>
  <si>
    <t xml:space="preserve">    Active:   2026.08.27 20.25.12</t>
  </si>
  <si>
    <t xml:space="preserve">    Active:   2026.08.18 06.30.45</t>
  </si>
  <si>
    <t>Kalajoki Kalajoen liikekeskus Total</t>
  </si>
  <si>
    <t xml:space="preserve">    Active:   2026.08.27 22.36.19</t>
  </si>
  <si>
    <t xml:space="preserve">    Active:   2026.08.27 20.27.59</t>
  </si>
  <si>
    <t xml:space="preserve">    Active:   2026.08.18 07.20.47</t>
  </si>
  <si>
    <t>Oulu Varpushaukantie 4 (P) Total</t>
  </si>
  <si>
    <t xml:space="preserve">    Active:   2026.08.27 22.27.14</t>
  </si>
  <si>
    <t xml:space="preserve">    Active:   2026.08.27 20.24.25</t>
  </si>
  <si>
    <t xml:space="preserve">    Active:   2026.08.18 06.30.13</t>
  </si>
  <si>
    <t xml:space="preserve">    Active:   2026.08.11 00.08.19</t>
  </si>
  <si>
    <t>Sotkamo Vatro 1 / Vatro 2 Total</t>
  </si>
  <si>
    <t xml:space="preserve">    Active:   2026.08.27 22.23.54</t>
  </si>
  <si>
    <t xml:space="preserve">    Active:   2026.08.27 20.21.50</t>
  </si>
  <si>
    <t xml:space="preserve">    Active:   2026.08.27 22.06.44</t>
  </si>
  <si>
    <t xml:space="preserve">    Active:   2026.08.27 22.28.33</t>
  </si>
  <si>
    <t xml:space="preserve">    Active:   2026.08.27 20.25.28</t>
  </si>
  <si>
    <t xml:space="preserve">    Active:   2026.08.18 11.13.36</t>
  </si>
  <si>
    <t xml:space="preserve">    Active:   2026.08.26 07.37.49</t>
  </si>
  <si>
    <t xml:space="preserve">    Active:   2026.08.18 10.21.28</t>
  </si>
  <si>
    <t xml:space="preserve">    Active:   2026.08.18 10.35.21</t>
  </si>
  <si>
    <t xml:space="preserve">  Flex - HeatingControl.L1 pumppu hälytys</t>
  </si>
  <si>
    <t xml:space="preserve">    Active:   2026.08.18 10.04.01</t>
  </si>
  <si>
    <t xml:space="preserve">    Active:   2026.08.16 03.07.11</t>
  </si>
  <si>
    <t xml:space="preserve">    Active:   2026.08.11 16.14.05</t>
  </si>
  <si>
    <t xml:space="preserve">    Active:   2026.08.11 15.57.37</t>
  </si>
  <si>
    <t xml:space="preserve">    Active:   2026.08.15 20.43.29</t>
  </si>
  <si>
    <t>Oulu Saaristonkatu 5 Total</t>
  </si>
  <si>
    <t xml:space="preserve">    Active:   2026.08.27 22.27.46</t>
  </si>
  <si>
    <t xml:space="preserve">    Active:   2026.08.27 20.24.12</t>
  </si>
  <si>
    <t xml:space="preserve">    Active:   2026.08.27 22.27.33</t>
  </si>
  <si>
    <t xml:space="preserve">    Active:   2026.08.27 20.25.13</t>
  </si>
  <si>
    <t xml:space="preserve">    Active:   2026.08.27 12.04.38</t>
  </si>
  <si>
    <t xml:space="preserve">  Flex - OumanBlock.Huonemitt.8 pois väylältä</t>
  </si>
  <si>
    <t xml:space="preserve">    Active:   2026.08.27 13.05.25</t>
  </si>
  <si>
    <t>Oulu Rantakatu 9 Total</t>
  </si>
  <si>
    <t xml:space="preserve">    Active:   2026.08.27 22.27.36</t>
  </si>
  <si>
    <t xml:space="preserve">    Active:   2026.08.27 20.24.08</t>
  </si>
  <si>
    <t>Raahe Reiponkatu 32 Total</t>
  </si>
  <si>
    <t xml:space="preserve">    Active:   2026.08.27 22.27.24</t>
  </si>
  <si>
    <t xml:space="preserve">    Active:   2026.08.27 20.24.17</t>
  </si>
  <si>
    <t xml:space="preserve">    Active:   2026.08.18 06.31.16</t>
  </si>
  <si>
    <t>Oulu Vaskikotka (P) Total</t>
  </si>
  <si>
    <t xml:space="preserve">    Active:   2026.08.27 20.24.39</t>
  </si>
  <si>
    <t xml:space="preserve">    Active:   2026.08.18 06.31.58</t>
  </si>
  <si>
    <t xml:space="preserve">    Active:   2026.08.18 01.07.59</t>
  </si>
  <si>
    <t>Oulu Metsälauhantie 3 Total</t>
  </si>
  <si>
    <t xml:space="preserve">    Active:   2026.08.18 06.30.27</t>
  </si>
  <si>
    <t xml:space="preserve">  FLEX - Laite MB2.OumanWireless osoitteessa 1 ei vastaa</t>
  </si>
  <si>
    <t xml:space="preserve">    Active:   2026.08.15 20.43.20</t>
  </si>
  <si>
    <t>Oulu Haukanpolku Total</t>
  </si>
  <si>
    <t xml:space="preserve">    Active:   2026.08.27 22.24.50</t>
  </si>
  <si>
    <t xml:space="preserve">    Active:   2026.08.27 20.23.59</t>
  </si>
  <si>
    <t xml:space="preserve">    Active:   2026.08.18 06.32.14</t>
  </si>
  <si>
    <t xml:space="preserve">    Active:   2026.08.07 09.21.25</t>
  </si>
  <si>
    <t xml:space="preserve">  Flex - WL-Base ei vastaa väylältä</t>
  </si>
  <si>
    <t xml:space="preserve">    Active:   2026.08.15 20.43.19</t>
  </si>
  <si>
    <t xml:space="preserve">    Active:   2026.08.27 22.24.18</t>
  </si>
  <si>
    <t xml:space="preserve">    Active:   2026.08.27 20.21.33</t>
  </si>
  <si>
    <t>Oulu Tuulimyllynkatu 7-9 (P) Total</t>
  </si>
  <si>
    <t xml:space="preserve">    Active:   2026.08.27 20.34.31</t>
  </si>
  <si>
    <t xml:space="preserve">    Active:   2026.08.18 01.16.42</t>
  </si>
  <si>
    <t xml:space="preserve">    Active:   2026.08.07 12.02.14</t>
  </si>
  <si>
    <t>Vaasa Hanhenpolku 3 Total</t>
  </si>
  <si>
    <t xml:space="preserve">  FLEX - WL-Base ei vastaa väylältä</t>
  </si>
  <si>
    <t xml:space="preserve">    Active:   2026.08.16 17.22.27</t>
  </si>
  <si>
    <t>Myyty</t>
  </si>
  <si>
    <t>Myyty anturiverkon uusinta 302/2172 ja 302/2171</t>
  </si>
  <si>
    <t>Myyty 4 anturilla, Timo tekee, avain Sampalla</t>
  </si>
  <si>
    <t>Myyty anturiverkko vuodelle 2027</t>
  </si>
  <si>
    <r>
      <rPr>
        <strike/>
        <sz val="11"/>
        <color theme="1"/>
        <rFont val="Calibri"/>
        <family val="2"/>
        <scheme val="minor"/>
      </rPr>
      <t>Tarjottu ja myyty ja tehty 250/2783</t>
    </r>
    <r>
      <rPr>
        <sz val="11"/>
        <color theme="1"/>
        <rFont val="Calibri"/>
        <family val="2"/>
        <scheme val="minor"/>
      </rPr>
      <t xml:space="preserve"> </t>
    </r>
    <r>
      <rPr>
        <strike/>
        <sz val="11"/>
        <color theme="1"/>
        <rFont val="Calibri"/>
        <family val="2"/>
        <scheme val="minor"/>
      </rPr>
      <t xml:space="preserve">Tarjottu ja myyty 250/2805 </t>
    </r>
    <r>
      <rPr>
        <sz val="11"/>
        <color theme="1"/>
        <rFont val="Calibri"/>
        <family val="2"/>
        <scheme val="minor"/>
      </rPr>
      <t xml:space="preserve">Molemmat työt tehty ja laskutettu
</t>
    </r>
  </si>
  <si>
    <r>
      <rPr>
        <strike/>
        <sz val="11"/>
        <color theme="1"/>
        <rFont val="Calibri"/>
        <family val="2"/>
        <scheme val="minor"/>
      </rPr>
      <t xml:space="preserve">Anturiverkon huolto 250/2783 tehty </t>
    </r>
    <r>
      <rPr>
        <sz val="11"/>
        <color theme="1"/>
        <rFont val="Calibri"/>
        <family val="2"/>
        <scheme val="minor"/>
      </rPr>
      <t xml:space="preserve"> </t>
    </r>
    <r>
      <rPr>
        <strike/>
        <sz val="11"/>
        <color theme="1"/>
        <rFont val="Calibri"/>
        <family val="2"/>
        <scheme val="minor"/>
      </rPr>
      <t>Anturiverkon saneeraus 250/2805 26.6.26</t>
    </r>
  </si>
  <si>
    <r>
      <t xml:space="preserve">Huolto tehty, Mittausanturit:
A2 asunnossa ei anturia ollenkaan A6 anturi rikki A8 ok B14 ok B16 asunnossa ei anturia ollenkaan C22 anturi ei yhdistä verkkoon, joko rikki olevan reitittimen syy tai anturi rikki. C24 ok D27 anturi ei yhdistä verkkoon, joko rikki olevan reitittimen syy tai anturi rikki. D29 ok D30 rikki Kylmiö vasen ok Kylmiö oikea ok. Reitittimet: A-Porras kellari oli virroissa muttei saa yhteyttä, rikki C-Porras kellari ok C-Porras 2krs virtajohto katkottu ja otettu pois pistokkeesta                                                        </t>
    </r>
    <r>
      <rPr>
        <sz val="11"/>
        <color theme="1"/>
        <rFont val="Calibri"/>
        <family val="2"/>
        <scheme val="minor"/>
      </rPr>
      <t>Anturiverkon saneeraus tehty ja laskutettu</t>
    </r>
  </si>
  <si>
    <t>Samuel Hanhela 250/2783 tehty Timo Mikkonen 250/2805 tehty</t>
  </si>
  <si>
    <t>701,55e tehty2320,61e alv0 tehty</t>
  </si>
  <si>
    <r>
      <t>M</t>
    </r>
    <r>
      <rPr>
        <strike/>
        <sz val="11"/>
        <color theme="1"/>
        <rFont val="Calibri"/>
        <family val="2"/>
        <scheme val="minor"/>
      </rPr>
      <t>yyty tehty ja laskutettu huollon jälkeen täyssaneeraus tukarijärjestelmään.</t>
    </r>
  </si>
  <si>
    <t>302/2421</t>
  </si>
  <si>
    <t>Myyty anturiverkko vuodelle 2027 302/2421</t>
  </si>
  <si>
    <t>2270 alv0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</si>
</sst>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rgb="FFFFFFFF"/>
      <name val="Arial"/>
      <family val="2"/>
    </font>
    <font>
      <b/>
      <sz val="11"/>
      <color rgb="FFFFFFFF"/>
      <name val="Calibri"/>
      <family val="2"/>
      <scheme val="minor"/>
    </font>
    <font>
      <sz val="11"/>
      <color rgb="FF000000"/>
      <name val="Arial"/>
      <family val="2"/>
    </font>
    <font>
      <sz val="11"/>
      <color rgb="FF000000"/>
      <name val="Calibri"/>
      <family val="2"/>
      <scheme val="minor"/>
    </font>
    <font>
      <sz val="13"/>
      <color rgb="FF000000"/>
      <name val="Calibri"/>
      <family val="2"/>
      <scheme val="minor"/>
    </font>
    <font>
      <b/>
      <sz val="11"/>
      <color rgb="FF0066CC"/>
      <name val="Calibri"/>
      <family val="2"/>
      <scheme val="minor"/>
    </font>
    <font>
      <b/>
      <sz val="13"/>
      <color rgb="FFFFFFFF"/>
      <name val="Arial"/>
      <family val="2"/>
    </font>
    <font>
      <b/>
      <sz val="11"/>
      <color rgb="FF000000"/>
      <name val="Calibri"/>
      <family val="2"/>
      <scheme val="minor"/>
    </font>
    <font>
      <b/>
      <sz val="13"/>
      <color rgb="FFFFFFFF"/>
      <name val="Calibri"/>
      <family val="2"/>
      <scheme val="minor"/>
    </font>
    <font>
      <b/>
      <sz val="11"/>
      <color rgb="FF000000"/>
      <name val="Arial"/>
      <family val="2"/>
    </font>
    <font>
      <b/>
      <sz val="11"/>
      <color theme="1"/>
      <name val="Calibri"/>
      <family val="2"/>
      <scheme val="minor"/>
    </font>
    <font>
      <b/>
      <sz val="13"/>
      <color rgb="FF000000"/>
      <name val="Calibri"/>
      <family val="2"/>
      <scheme val="minor"/>
    </font>
    <font>
      <sz val="13"/>
      <color rgb="FF000000"/>
      <name val="Calibri"/>
      <family val="2"/>
    </font>
    <font>
      <b/>
      <sz val="14"/>
      <color rgb="FFFFFFFF"/>
      <name val="Calibri"/>
      <family val="2"/>
      <scheme val="minor"/>
    </font>
    <font>
      <b/>
      <sz val="13"/>
      <color theme="1"/>
      <name val="Calibri"/>
      <family val="2"/>
      <scheme val="minor"/>
    </font>
    <font>
      <strike/>
      <sz val="11"/>
      <color theme="1"/>
      <name val="Calibri"/>
      <family val="2"/>
      <scheme val="minor"/>
    </font>
    <font>
      <sz val="11"/>
      <color rgb="FF000000"/>
      <name val="Calibri"/>
      <family val="2"/>
    </font>
    <font>
      <sz val="13"/>
      <color rgb="FF282828"/>
      <name val="Calibri"/>
      <family val="2"/>
      <scheme val="minor"/>
    </font>
  </fonts>
  <fills count="9">
    <fill>
      <patternFill patternType="none"/>
    </fill>
    <fill>
      <patternFill patternType="gray125"/>
    </fill>
    <fill>
      <patternFill patternType="solid">
        <fgColor rgb="FF1F3864"/>
      </patternFill>
    </fill>
    <fill>
      <patternFill patternType="solid">
        <fgColor rgb="FFDCE6F1"/>
        <bgColor indexed="64"/>
      </patternFill>
    </fill>
    <fill>
      <patternFill patternType="solid">
        <fgColor rgb="FFFFFFFF"/>
        <bgColor indexed="64"/>
      </patternFill>
    </fill>
    <fill>
      <patternFill patternType="solid">
        <fgColor rgb="FFFFFF99"/>
        <bgColor indexed="64"/>
      </patternFill>
    </fill>
    <fill>
      <patternFill patternType="solid">
        <fgColor rgb="FF1F3864"/>
        <bgColor indexed="64"/>
      </patternFill>
    </fill>
    <fill>
      <patternFill patternType="solid">
        <fgColor rgb="FFF2F2F2"/>
        <bgColor indexed="64"/>
      </patternFill>
    </fill>
    <fill>
      <patternFill patternType="solid">
        <fgColor rgb="FFEBF1FB"/>
        <bgColor indexed="64"/>
      </patternFill>
    </fill>
  </fills>
  <borders count="5">
    <border>
      <left/>
      <right/>
      <top/>
      <bottom/>
      <diagonal/>
    </border>
    <border>
      <left style="thin">
        <color rgb="FFB0B8C8"/>
      </left>
      <right style="thin">
        <color rgb="FFB0B8C8"/>
      </right>
      <top style="thin">
        <color rgb="FFB0B8C8"/>
      </top>
      <bottom style="thin">
        <color rgb="FFB0B8C8"/>
      </bottom>
      <diagonal/>
    </border>
    <border>
      <left style="medium">
        <color rgb="FFC80000"/>
      </left>
      <right style="medium">
        <color rgb="FFC80000"/>
      </right>
      <top style="medium">
        <color rgb="FFC80000"/>
      </top>
      <bottom style="medium">
        <color rgb="FFC80000"/>
      </bottom>
      <diagonal/>
    </border>
    <border>
      <left style="thin">
        <color indexed="64"/>
      </left>
      <right style="thin">
        <color indexed="64"/>
      </right>
      <top style="thin">
        <color indexed="64"/>
      </top>
      <bottom style="thin">
        <color indexed="64"/>
      </bottom>
      <diagonal/>
    </border>
    <border>
      <left style="thin">
        <color rgb="FFE1E1E1"/>
      </left>
      <right style="thin">
        <color rgb="FFE1E1E1"/>
      </right>
      <top style="thin">
        <color rgb="FFE1E1E1"/>
      </top>
      <bottom style="thin">
        <color rgb="FFE1E1E1"/>
      </bottom>
      <diagonal/>
    </border>
  </borders>
  <cellStyleXfs count="1">
    <xf numFmtId="0" fontId="0" fillId="0" borderId="0"/>
  </cellStyleXfs>
  <cellXfs count="46">
    <xf numFmtId="0" fontId="0" fillId="0" borderId="0" xfId="0"/>
    <xf numFmtId="0" fontId="1" fillId="2" borderId="1" xfId="0" applyFont="1" applyFill="1" applyBorder="1" applyAlignment="1">
      <alignment horizontal="center" vertical="center" wrapText="1"/>
    </xf>
    <xf numFmtId="0" fontId="0" fillId="3" borderId="0" xfId="0" applyFill="1"/>
    <xf numFmtId="0" fontId="0" fillId="4" borderId="0" xfId="0" applyFill="1"/>
    <xf numFmtId="14" fontId="0" fillId="3" borderId="0" xfId="0" applyNumberFormat="1" applyFill="1"/>
    <xf numFmtId="49" fontId="0" fillId="0" borderId="0" xfId="0" applyNumberFormat="1"/>
    <xf numFmtId="49" fontId="1" fillId="2" borderId="1" xfId="0" applyNumberFormat="1" applyFont="1" applyFill="1" applyBorder="1" applyAlignment="1">
      <alignment horizontal="center" vertical="center" wrapText="1"/>
    </xf>
    <xf numFmtId="0" fontId="6" fillId="0" borderId="0" xfId="0" applyFont="1" applyAlignment="1">
      <alignment horizontal="right"/>
    </xf>
    <xf numFmtId="14" fontId="0" fillId="5" borderId="2" xfId="0" applyNumberFormat="1" applyFill="1" applyBorder="1"/>
    <xf numFmtId="0" fontId="4" fillId="0" borderId="0" xfId="0" applyFont="1"/>
    <xf numFmtId="0" fontId="7" fillId="6" borderId="1" xfId="0" applyFont="1" applyFill="1" applyBorder="1" applyAlignment="1">
      <alignment horizontal="center" vertical="center" wrapText="1"/>
    </xf>
    <xf numFmtId="14" fontId="4" fillId="5" borderId="3" xfId="0" applyNumberFormat="1" applyFont="1" applyFill="1" applyBorder="1" applyAlignment="1">
      <alignment horizontal="center"/>
    </xf>
    <xf numFmtId="0" fontId="8" fillId="0" borderId="1" xfId="0" applyFont="1" applyBorder="1" applyAlignment="1">
      <alignment horizontal="right" vertical="center" wrapText="1"/>
    </xf>
    <xf numFmtId="0" fontId="8" fillId="0" borderId="0" xfId="0" applyFont="1" applyAlignment="1">
      <alignment horizontal="right" vertical="center"/>
    </xf>
    <xf numFmtId="0" fontId="11" fillId="0" borderId="0" xfId="0" applyFont="1"/>
    <xf numFmtId="0" fontId="14" fillId="6" borderId="0" xfId="0" applyFont="1" applyFill="1"/>
    <xf numFmtId="0" fontId="0" fillId="6" borderId="0" xfId="0" applyFill="1"/>
    <xf numFmtId="0" fontId="0" fillId="8" borderId="0" xfId="0" applyFill="1"/>
    <xf numFmtId="0" fontId="12" fillId="8" borderId="0" xfId="0" applyFont="1" applyFill="1"/>
    <xf numFmtId="0" fontId="0" fillId="0" borderId="4" xfId="0" applyBorder="1" applyAlignment="1">
      <alignment vertical="top" wrapText="1"/>
    </xf>
    <xf numFmtId="0" fontId="11" fillId="7" borderId="0" xfId="0" applyFont="1" applyFill="1"/>
    <xf numFmtId="0" fontId="15" fillId="8" borderId="0" xfId="0" applyFont="1" applyFill="1"/>
    <xf numFmtId="0" fontId="0" fillId="8" borderId="0" xfId="0" applyFill="1" applyAlignment="1">
      <alignment vertical="top" wrapText="1"/>
    </xf>
    <xf numFmtId="0" fontId="16" fillId="0" borderId="4" xfId="0" applyFont="1" applyBorder="1" applyAlignment="1">
      <alignment vertical="top" wrapText="1"/>
    </xf>
    <xf numFmtId="14" fontId="0" fillId="0" borderId="0" xfId="0" applyNumberFormat="1"/>
    <xf numFmtId="49" fontId="0" fillId="0" borderId="0" xfId="0" quotePrefix="1" applyNumberFormat="1"/>
    <xf numFmtId="3" fontId="8" fillId="7" borderId="0" xfId="0" applyNumberFormat="1" applyFont="1" applyFill="1" applyAlignment="1">
      <alignment horizontal="right"/>
    </xf>
    <xf numFmtId="14" fontId="0" fillId="0" borderId="0" xfId="0" applyNumberFormat="1" applyFill="1" applyBorder="1"/>
    <xf numFmtId="0" fontId="0" fillId="0" borderId="0" xfId="0" applyFill="1" applyBorder="1"/>
    <xf numFmtId="49" fontId="0" fillId="0" borderId="0" xfId="0" applyNumberFormat="1" applyFill="1" applyBorder="1"/>
    <xf numFmtId="49" fontId="0" fillId="0" borderId="0" xfId="0" quotePrefix="1" applyNumberFormat="1" applyFill="1" applyBorder="1"/>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3" fontId="4" fillId="0" borderId="0" xfId="0" applyNumberFormat="1" applyFont="1" applyFill="1" applyAlignment="1">
      <alignment horizontal="right"/>
    </xf>
    <xf numFmtId="0" fontId="5" fillId="0" borderId="0" xfId="0" applyNumberFormat="1" applyFont="1" applyFill="1"/>
    <xf numFmtId="0" fontId="4" fillId="0" borderId="0" xfId="0" applyNumberFormat="1" applyFont="1" applyFill="1"/>
    <xf numFmtId="0" fontId="5" fillId="0" borderId="0" xfId="0" applyNumberFormat="1" applyFont="1" applyFill="1" applyAlignment="1">
      <alignment horizontal="left"/>
    </xf>
    <xf numFmtId="0" fontId="4" fillId="0" borderId="0" xfId="0" applyNumberFormat="1" applyFont="1" applyFill="1" applyAlignment="1">
      <alignment horizontal="right"/>
    </xf>
    <xf numFmtId="0" fontId="4" fillId="0" borderId="0" xfId="0" applyNumberFormat="1" applyFont="1" applyFill="1" applyAlignment="1">
      <alignment horizontal="center"/>
    </xf>
    <xf numFmtId="0" fontId="13" fillId="0" borderId="0" xfId="0" applyNumberFormat="1" applyFont="1" applyFill="1" applyAlignment="1">
      <alignment horizontal="left" vertical="top" wrapText="1"/>
    </xf>
    <xf numFmtId="0" fontId="9" fillId="6" borderId="0" xfId="0" applyNumberFormat="1" applyFont="1" applyFill="1" applyAlignment="1">
      <alignment horizontal="left"/>
    </xf>
    <xf numFmtId="0" fontId="4" fillId="6" borderId="0" xfId="0" applyNumberFormat="1" applyFont="1" applyFill="1" applyAlignment="1">
      <alignment horizontal="right"/>
    </xf>
    <xf numFmtId="0" fontId="2" fillId="6" borderId="0" xfId="0" applyNumberFormat="1" applyFont="1" applyFill="1" applyAlignment="1">
      <alignment horizontal="center"/>
    </xf>
    <xf numFmtId="16" fontId="2" fillId="6" borderId="0" xfId="0" applyNumberFormat="1" applyFont="1" applyFill="1" applyAlignment="1">
      <alignment horizontal="center"/>
    </xf>
    <xf numFmtId="0" fontId="12" fillId="7" borderId="0" xfId="0" applyNumberFormat="1" applyFont="1" applyFill="1" applyAlignment="1">
      <alignment horizontal="left"/>
    </xf>
    <xf numFmtId="0" fontId="18" fillId="0" borderId="0" xfId="0" applyNumberFormat="1" applyFont="1" applyFill="1" applyAlignment="1">
      <alignment horizontal="left"/>
    </xf>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1257300</xdr:colOff>
          <xdr:row>1</xdr:row>
          <xdr:rowOff>9525</xdr:rowOff>
        </xdr:from>
        <xdr:to>
          <xdr:col>12</xdr:col>
          <xdr:colOff>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FI" sz="1100" b="0" i="0" u="none" strike="noStrike" baseline="0">
                  <a:solidFill>
                    <a:srgbClr val="000000"/>
                  </a:solidFill>
                  <a:latin typeface="Calibri"/>
                  <a:ea typeface="Calibri"/>
                  <a:cs typeface="Calibri"/>
                </a:rPr>
                <a:t>Hae tiedot</a:t>
              </a:r>
            </a:p>
            <a:p>
              <a:pPr algn="ctr" rtl="0">
                <a:defRPr sz="1000"/>
              </a:pPr>
              <a:endParaRPr lang="en-FI" sz="1100" b="0" i="0" u="none" strike="noStrike" baseline="0">
                <a:solidFill>
                  <a:srgbClr val="000000"/>
                </a:solidFill>
                <a:latin typeface="Calibri"/>
                <a:ea typeface="Calibri"/>
                <a:cs typeface="Calibri"/>
              </a:endParaRPr>
            </a:p>
            <a:p>
              <a:pPr algn="ctr" rtl="0">
                <a:defRPr sz="1000"/>
              </a:pPr>
              <a:endParaRPr lang="en-FI"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xdr:from>
      <xdr:col>11</xdr:col>
      <xdr:colOff>0</xdr:colOff>
      <xdr:row>5</xdr:row>
      <xdr:rowOff>25400</xdr:rowOff>
    </xdr:from>
    <xdr:to>
      <xdr:col>14</xdr:col>
      <xdr:colOff>210911</xdr:colOff>
      <xdr:row>15</xdr:row>
      <xdr:rowOff>143782</xdr:rowOff>
    </xdr:to>
    <mc:AlternateContent xmlns:mc="http://schemas.openxmlformats.org/markup-compatibility/2006">
      <mc:Choice xmlns:we="http://schemas.microsoft.com/office/webextensions/webextension/2010/11" Requires="we">
        <xdr:graphicFrame macro="">
          <xdr:nvGraphicFramePr>
            <xdr:cNvPr id="5" name="Calendar" hidden="1">
              <a:extLst>
                <a:ext uri="{FF2B5EF4-FFF2-40B4-BE49-F238E27FC236}">
                  <a16:creationId xmlns:a16="http://schemas.microsoft.com/office/drawing/2014/main" id="{17454EB8-A577-1164-E754-0561EFDC01A5}"/>
                </a:ext>
                <a:ext uri="{147F2762-F138-4A5C-976F-8EAC2B608ADB}">
                  <a16:predDERef xmlns:a16="http://schemas.microsoft.com/office/drawing/2014/main" pred="{00000000-0008-0000-0000-00000108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5" name="Calendar">
              <a:extLst>
                <a:ext uri="{FF2B5EF4-FFF2-40B4-BE49-F238E27FC236}">
                  <a16:creationId xmlns:a16="http://schemas.microsoft.com/office/drawing/2014/main" id="{17454EB8-A577-1164-E754-0561EFDC01A5}"/>
                </a:ext>
                <a:ext uri="{147F2762-F138-4A5C-976F-8EAC2B608ADB}">
                  <a16:predDERef xmlns:a16="http://schemas.microsoft.com/office/drawing/2014/main" pred="{00000000-0008-0000-0000-00000108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38100</xdr:rowOff>
        </xdr:from>
        <xdr:to>
          <xdr:col>2</xdr:col>
          <xdr:colOff>1095375</xdr:colOff>
          <xdr:row>0</xdr:row>
          <xdr:rowOff>323850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FI" sz="1100" b="0" i="0" u="none" strike="noStrike" baseline="0">
                  <a:solidFill>
                    <a:srgbClr val="000000"/>
                  </a:solidFill>
                  <a:latin typeface="Calibri"/>
                  <a:ea typeface="Calibri"/>
                  <a:cs typeface="Calibri"/>
                </a:rPr>
                <a:t>Hae</a:t>
              </a:r>
            </a:p>
            <a:p>
              <a:pPr algn="ctr" rtl="0">
                <a:defRPr sz="1000"/>
              </a:pPr>
              <a:r>
                <a:rPr lang="en-FI" sz="1100" b="0" i="0" u="none" strike="noStrike" baseline="0">
                  <a:solidFill>
                    <a:srgbClr val="000000"/>
                  </a:solidFill>
                  <a:latin typeface="Calibri"/>
                  <a:ea typeface="Calibri"/>
                  <a:cs typeface="Calibri"/>
                </a:rPr>
                <a:t>Painike 1</a:t>
              </a:r>
            </a:p>
          </xdr:txBody>
        </xdr:sp>
        <xdr:clientData fPrintsWithSheet="0"/>
      </xdr:twoCellAnchor>
    </mc:Choice>
    <mc:Fallback/>
  </mc:AlternateContent>
  <xdr:twoCellAnchor>
    <xdr:from>
      <xdr:col>6</xdr:col>
      <xdr:colOff>0</xdr:colOff>
      <xdr:row>1</xdr:row>
      <xdr:rowOff>25400</xdr:rowOff>
    </xdr:from>
    <xdr:to>
      <xdr:col>8</xdr:col>
      <xdr:colOff>568325</xdr:colOff>
      <xdr:row>23</xdr:row>
      <xdr:rowOff>215900</xdr:rowOff>
    </xdr:to>
    <mc:AlternateContent xmlns:mc="http://schemas.openxmlformats.org/markup-compatibility/2006">
      <mc:Choice xmlns:we="http://schemas.microsoft.com/office/webextensions/webextension/2010/11" Requires="we">
        <xdr:graphicFrame macro="">
          <xdr:nvGraphicFramePr>
            <xdr:cNvPr id="2" name="SummaryCalendar" hidden="1">
              <a:extLst>
                <a:ext uri="{FF2B5EF4-FFF2-40B4-BE49-F238E27FC236}">
                  <a16:creationId xmlns:a16="http://schemas.microsoft.com/office/drawing/2014/main" id="{8AB18459-43E2-8FED-7558-6E12A225B936}"/>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SummaryCalendar">
              <a:extLst>
                <a:ext uri="{FF2B5EF4-FFF2-40B4-BE49-F238E27FC236}">
                  <a16:creationId xmlns:a16="http://schemas.microsoft.com/office/drawing/2014/main" id="{8AB18459-43E2-8FED-7558-6E12A225B936}"/>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17454EB8-A577-1164-E754-0561EFDC01A5}">
  <we:reference id="wa102957665" version="1.3.0.0" store="fi-FI" storeType="OMEX"/>
  <we:alternateReferences>
    <we:reference id="WA102957665" version="1.3.0.0" store="WA102957665" storeType="OMEX"/>
  </we:alternateReferences>
  <we:properties>
    <we:property name="opt_cal_sys" value="21"/>
    <we:property name="opt_confirm" value="true"/>
    <we:property name="opt_month" value="&quot;2026-08-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8AB18459-43E2-8FED-7558-6E12A225B936}">
  <we:reference id="wa102957665" version="1.3.0.0" store="fi-FI" storeType="OMEX"/>
  <we:alternateReferences>
    <we:reference id="WA102957665" version="1.3.0.0" store="WA102957665" storeType="OMEX"/>
  </we:alternateReferences>
  <we:properties>
    <we:property name="opt_cal_sys" value="21"/>
    <we:property name="opt_confirm" value="true"/>
    <we:property name="opt_month" value="&quot;2026-08-01&quot;"/>
    <we:property name="opt_size" value="0"/>
    <we:property name="opt_theme" value="1"/>
    <we:property name="opt_wn" value="true"/>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L3237"/>
  <sheetViews>
    <sheetView zoomScale="85" zoomScaleNormal="85" workbookViewId="0">
      <pane ySplit="1" topLeftCell="A2" activePane="bottomLeft" state="frozen"/>
      <selection pane="bottomLeft" activeCell="K9" sqref="K9"/>
    </sheetView>
  </sheetViews>
  <sheetFormatPr defaultRowHeight="15" x14ac:dyDescent="0.25"/>
  <cols>
    <col min="1" max="1" width="36" customWidth="1"/>
    <col min="2" max="2" width="54.28515625" customWidth="1"/>
    <col min="3" max="3" width="55.85546875" customWidth="1"/>
    <col min="4" max="4" width="13.7109375" customWidth="1"/>
    <col min="5" max="5" width="16.42578125" style="5" customWidth="1"/>
    <col min="6" max="6" width="37.5703125" customWidth="1"/>
    <col min="7" max="7" width="50" hidden="1" customWidth="1"/>
    <col min="8" max="8" width="24" customWidth="1"/>
    <col min="9" max="9" width="18.85546875" customWidth="1"/>
    <col min="10" max="10" width="13.28515625" customWidth="1"/>
    <col min="11" max="11" width="15" customWidth="1"/>
    <col min="12" max="12" width="13.7109375" customWidth="1"/>
  </cols>
  <sheetData>
    <row r="1" spans="1:12" ht="27.95" customHeight="1" x14ac:dyDescent="0.25">
      <c r="A1" s="1" t="s">
        <v>0</v>
      </c>
      <c r="B1" s="1" t="s">
        <v>1</v>
      </c>
      <c r="C1" s="1" t="s">
        <v>2</v>
      </c>
      <c r="D1" s="1" t="s">
        <v>3</v>
      </c>
      <c r="E1" s="6" t="s">
        <v>4</v>
      </c>
      <c r="F1" s="1" t="s">
        <v>5</v>
      </c>
      <c r="G1" s="1" t="s">
        <v>6</v>
      </c>
      <c r="H1" s="1" t="s">
        <v>7</v>
      </c>
      <c r="I1" s="14" t="s">
        <v>4500</v>
      </c>
    </row>
    <row r="2" spans="1:12" s="2" customFormat="1" x14ac:dyDescent="0.25">
      <c r="A2" s="27" t="s">
        <v>110</v>
      </c>
      <c r="B2" s="28" t="s">
        <v>111</v>
      </c>
      <c r="C2" s="28" t="s">
        <v>1246</v>
      </c>
      <c r="D2" s="29" t="s">
        <v>1247</v>
      </c>
      <c r="E2" s="30" t="s">
        <v>1248</v>
      </c>
      <c r="F2" s="28" t="s">
        <v>112</v>
      </c>
      <c r="G2" s="28" t="s">
        <v>1249</v>
      </c>
      <c r="H2" s="27" t="s">
        <v>1250</v>
      </c>
    </row>
    <row r="3" spans="1:12" s="3" customFormat="1" x14ac:dyDescent="0.25">
      <c r="A3" s="28" t="s">
        <v>130</v>
      </c>
      <c r="B3" s="28" t="s">
        <v>131</v>
      </c>
      <c r="C3" s="28" t="s">
        <v>1251</v>
      </c>
      <c r="D3" s="29" t="s">
        <v>1247</v>
      </c>
      <c r="E3" s="30" t="s">
        <v>1252</v>
      </c>
      <c r="F3" s="28" t="s">
        <v>119</v>
      </c>
      <c r="G3" s="28" t="s">
        <v>1253</v>
      </c>
      <c r="H3" s="27" t="s">
        <v>1250</v>
      </c>
    </row>
    <row r="4" spans="1:12" s="2" customFormat="1" ht="15.75" thickBot="1" x14ac:dyDescent="0.3">
      <c r="A4" s="28" t="s">
        <v>110</v>
      </c>
      <c r="B4" s="28" t="s">
        <v>115</v>
      </c>
      <c r="C4" s="28" t="s">
        <v>1254</v>
      </c>
      <c r="D4" s="29" t="s">
        <v>1247</v>
      </c>
      <c r="E4" s="30" t="s">
        <v>1255</v>
      </c>
      <c r="F4" s="28" t="s">
        <v>112</v>
      </c>
      <c r="G4" s="28" t="s">
        <v>1256</v>
      </c>
      <c r="H4" s="27" t="s">
        <v>1250</v>
      </c>
    </row>
    <row r="5" spans="1:12" s="3" customFormat="1" ht="15.75" thickBot="1" x14ac:dyDescent="0.3">
      <c r="A5" s="28" t="s">
        <v>11</v>
      </c>
      <c r="B5" s="28" t="s">
        <v>12</v>
      </c>
      <c r="C5" s="28" t="s">
        <v>1257</v>
      </c>
      <c r="D5" s="29" t="s">
        <v>1247</v>
      </c>
      <c r="E5" s="30" t="s">
        <v>1258</v>
      </c>
      <c r="F5" s="28" t="s">
        <v>104</v>
      </c>
      <c r="G5" s="28" t="s">
        <v>1259</v>
      </c>
      <c r="H5" s="27" t="s">
        <v>1250</v>
      </c>
      <c r="I5" s="7" t="s">
        <v>9</v>
      </c>
      <c r="J5" s="8">
        <v>46235</v>
      </c>
      <c r="K5" s="7" t="s">
        <v>10</v>
      </c>
      <c r="L5" s="8">
        <v>46265</v>
      </c>
    </row>
    <row r="6" spans="1:12" s="2" customFormat="1" x14ac:dyDescent="0.25">
      <c r="A6" s="28" t="s">
        <v>643</v>
      </c>
      <c r="B6" s="28" t="s">
        <v>107</v>
      </c>
      <c r="C6" s="28" t="s">
        <v>1260</v>
      </c>
      <c r="D6" s="29" t="s">
        <v>1247</v>
      </c>
      <c r="E6" s="30" t="s">
        <v>1261</v>
      </c>
      <c r="F6" s="28" t="s">
        <v>108</v>
      </c>
      <c r="G6" s="28" t="s">
        <v>1262</v>
      </c>
      <c r="H6" s="27" t="s">
        <v>1250</v>
      </c>
    </row>
    <row r="7" spans="1:12" s="3" customFormat="1" x14ac:dyDescent="0.25">
      <c r="A7" s="28" t="s">
        <v>102</v>
      </c>
      <c r="B7" s="28" t="s">
        <v>103</v>
      </c>
      <c r="C7" s="28" t="s">
        <v>1263</v>
      </c>
      <c r="D7" s="29" t="s">
        <v>1247</v>
      </c>
      <c r="E7" s="30" t="s">
        <v>1264</v>
      </c>
      <c r="F7" s="28" t="s">
        <v>104</v>
      </c>
      <c r="G7" s="28" t="s">
        <v>1265</v>
      </c>
      <c r="H7" s="27" t="s">
        <v>1250</v>
      </c>
    </row>
    <row r="8" spans="1:12" s="2" customFormat="1" x14ac:dyDescent="0.25">
      <c r="A8" s="28" t="s">
        <v>102</v>
      </c>
      <c r="B8" s="28" t="s">
        <v>103</v>
      </c>
      <c r="C8" s="28" t="s">
        <v>1266</v>
      </c>
      <c r="D8" s="29" t="s">
        <v>1247</v>
      </c>
      <c r="E8" s="30" t="s">
        <v>1267</v>
      </c>
      <c r="F8" s="28" t="s">
        <v>8</v>
      </c>
      <c r="G8" s="28" t="s">
        <v>1268</v>
      </c>
      <c r="H8" s="27" t="s">
        <v>1250</v>
      </c>
    </row>
    <row r="9" spans="1:12" s="3" customFormat="1" x14ac:dyDescent="0.25">
      <c r="A9" s="28" t="s">
        <v>130</v>
      </c>
      <c r="B9" s="28" t="s">
        <v>131</v>
      </c>
      <c r="C9" s="28" t="s">
        <v>1269</v>
      </c>
      <c r="D9" s="29" t="s">
        <v>1247</v>
      </c>
      <c r="E9" s="30" t="s">
        <v>1270</v>
      </c>
      <c r="F9" s="28" t="s">
        <v>119</v>
      </c>
      <c r="G9" s="28" t="s">
        <v>1271</v>
      </c>
      <c r="H9" s="27" t="s">
        <v>1250</v>
      </c>
    </row>
    <row r="10" spans="1:12" s="2" customFormat="1" x14ac:dyDescent="0.25">
      <c r="A10" s="28" t="s">
        <v>106</v>
      </c>
      <c r="B10" s="28" t="s">
        <v>107</v>
      </c>
      <c r="C10" s="28" t="s">
        <v>1272</v>
      </c>
      <c r="D10" s="29" t="s">
        <v>1247</v>
      </c>
      <c r="E10" s="30" t="s">
        <v>1273</v>
      </c>
      <c r="F10" s="28" t="s">
        <v>108</v>
      </c>
      <c r="G10" s="28" t="s">
        <v>1274</v>
      </c>
      <c r="H10" s="27" t="s">
        <v>1250</v>
      </c>
    </row>
    <row r="11" spans="1:12" s="3" customFormat="1" x14ac:dyDescent="0.25">
      <c r="A11" s="28" t="s">
        <v>130</v>
      </c>
      <c r="B11" s="28" t="s">
        <v>131</v>
      </c>
      <c r="C11" s="28" t="s">
        <v>1275</v>
      </c>
      <c r="D11" s="29" t="s">
        <v>1247</v>
      </c>
      <c r="E11" s="30" t="s">
        <v>1276</v>
      </c>
      <c r="F11" s="28" t="s">
        <v>119</v>
      </c>
      <c r="G11" s="28" t="s">
        <v>1277</v>
      </c>
      <c r="H11" s="27" t="s">
        <v>1250</v>
      </c>
    </row>
    <row r="12" spans="1:12" s="2" customFormat="1" x14ac:dyDescent="0.25">
      <c r="A12" s="28" t="s">
        <v>130</v>
      </c>
      <c r="B12" s="28" t="s">
        <v>131</v>
      </c>
      <c r="C12" s="28" t="s">
        <v>1275</v>
      </c>
      <c r="D12" s="29" t="s">
        <v>1247</v>
      </c>
      <c r="E12" s="30" t="s">
        <v>1278</v>
      </c>
      <c r="F12" s="28" t="s">
        <v>119</v>
      </c>
      <c r="G12" s="28" t="s">
        <v>1279</v>
      </c>
      <c r="H12" s="27" t="s">
        <v>1250</v>
      </c>
    </row>
    <row r="13" spans="1:12" s="3" customFormat="1" x14ac:dyDescent="0.25">
      <c r="A13" s="28" t="s">
        <v>116</v>
      </c>
      <c r="B13" s="28" t="s">
        <v>117</v>
      </c>
      <c r="C13" s="28" t="s">
        <v>1280</v>
      </c>
      <c r="D13" s="29" t="s">
        <v>1247</v>
      </c>
      <c r="E13" s="30" t="s">
        <v>1281</v>
      </c>
      <c r="F13" s="28" t="s">
        <v>118</v>
      </c>
      <c r="G13" s="28" t="s">
        <v>1282</v>
      </c>
      <c r="H13" s="27" t="s">
        <v>1250</v>
      </c>
    </row>
    <row r="14" spans="1:12" s="2" customFormat="1" x14ac:dyDescent="0.25">
      <c r="A14" s="28" t="s">
        <v>120</v>
      </c>
      <c r="B14" s="28" t="s">
        <v>410</v>
      </c>
      <c r="C14" s="28" t="s">
        <v>1283</v>
      </c>
      <c r="D14" s="29" t="s">
        <v>1247</v>
      </c>
      <c r="E14" s="30" t="s">
        <v>1284</v>
      </c>
      <c r="F14" s="28" t="s">
        <v>121</v>
      </c>
      <c r="G14" s="28" t="s">
        <v>1285</v>
      </c>
      <c r="H14" s="27" t="s">
        <v>1250</v>
      </c>
    </row>
    <row r="15" spans="1:12" s="3" customFormat="1" x14ac:dyDescent="0.25">
      <c r="A15" s="28" t="s">
        <v>102</v>
      </c>
      <c r="B15" s="28" t="s">
        <v>103</v>
      </c>
      <c r="C15" s="28" t="s">
        <v>1286</v>
      </c>
      <c r="D15" s="29" t="s">
        <v>1247</v>
      </c>
      <c r="E15" s="30" t="s">
        <v>1287</v>
      </c>
      <c r="F15" s="28" t="s">
        <v>104</v>
      </c>
      <c r="G15" s="28" t="s">
        <v>1288</v>
      </c>
      <c r="H15" s="27" t="s">
        <v>1250</v>
      </c>
    </row>
    <row r="16" spans="1:12" s="2" customFormat="1" x14ac:dyDescent="0.25">
      <c r="A16" s="28" t="s">
        <v>102</v>
      </c>
      <c r="B16" s="28" t="s">
        <v>103</v>
      </c>
      <c r="C16" s="28" t="s">
        <v>1289</v>
      </c>
      <c r="D16" s="29" t="s">
        <v>1247</v>
      </c>
      <c r="E16" s="30" t="s">
        <v>1290</v>
      </c>
      <c r="F16" s="28" t="s">
        <v>8</v>
      </c>
      <c r="G16" s="28" t="s">
        <v>1291</v>
      </c>
      <c r="H16" s="27" t="s">
        <v>1250</v>
      </c>
    </row>
    <row r="17" spans="1:12" s="3" customFormat="1" x14ac:dyDescent="0.25">
      <c r="A17" s="28" t="s">
        <v>102</v>
      </c>
      <c r="B17" s="28" t="s">
        <v>103</v>
      </c>
      <c r="C17" s="28" t="s">
        <v>1292</v>
      </c>
      <c r="D17" s="29" t="s">
        <v>1247</v>
      </c>
      <c r="E17" s="30" t="s">
        <v>1293</v>
      </c>
      <c r="F17" s="28" t="s">
        <v>104</v>
      </c>
      <c r="G17" s="28" t="s">
        <v>1294</v>
      </c>
      <c r="H17" s="27" t="s">
        <v>1250</v>
      </c>
    </row>
    <row r="18" spans="1:12" s="2" customFormat="1" x14ac:dyDescent="0.25">
      <c r="A18" s="28" t="s">
        <v>102</v>
      </c>
      <c r="B18" s="28" t="s">
        <v>103</v>
      </c>
      <c r="C18" s="28" t="s">
        <v>1295</v>
      </c>
      <c r="D18" s="29" t="s">
        <v>1247</v>
      </c>
      <c r="E18" s="30" t="s">
        <v>1296</v>
      </c>
      <c r="F18" s="28" t="s">
        <v>8</v>
      </c>
      <c r="G18" s="28" t="s">
        <v>1297</v>
      </c>
      <c r="H18" s="27" t="s">
        <v>1250</v>
      </c>
    </row>
    <row r="19" spans="1:12" s="3" customFormat="1" x14ac:dyDescent="0.25">
      <c r="A19" s="28" t="s">
        <v>1298</v>
      </c>
      <c r="B19" s="28" t="s">
        <v>107</v>
      </c>
      <c r="C19" s="28" t="s">
        <v>1299</v>
      </c>
      <c r="D19" s="29" t="s">
        <v>1247</v>
      </c>
      <c r="E19" s="30" t="s">
        <v>1300</v>
      </c>
      <c r="F19" s="28" t="s">
        <v>1301</v>
      </c>
      <c r="G19" s="28" t="s">
        <v>1302</v>
      </c>
      <c r="H19" s="27" t="s">
        <v>1250</v>
      </c>
    </row>
    <row r="20" spans="1:12" s="2" customFormat="1" x14ac:dyDescent="0.25">
      <c r="A20" s="28" t="s">
        <v>116</v>
      </c>
      <c r="B20" s="28" t="s">
        <v>117</v>
      </c>
      <c r="C20" s="28" t="s">
        <v>1303</v>
      </c>
      <c r="D20" s="29" t="s">
        <v>1247</v>
      </c>
      <c r="E20" s="30" t="s">
        <v>1304</v>
      </c>
      <c r="F20" s="28" t="s">
        <v>118</v>
      </c>
      <c r="G20" s="28" t="s">
        <v>1305</v>
      </c>
      <c r="H20" s="27" t="s">
        <v>1250</v>
      </c>
    </row>
    <row r="21" spans="1:12" s="3" customFormat="1" x14ac:dyDescent="0.25">
      <c r="A21" s="28" t="s">
        <v>122</v>
      </c>
      <c r="B21" s="28" t="s">
        <v>107</v>
      </c>
      <c r="C21" s="28" t="s">
        <v>1306</v>
      </c>
      <c r="D21" s="29" t="s">
        <v>1247</v>
      </c>
      <c r="E21" s="30" t="s">
        <v>1307</v>
      </c>
      <c r="F21" s="28" t="s">
        <v>123</v>
      </c>
      <c r="G21" s="28" t="s">
        <v>1308</v>
      </c>
      <c r="H21" s="27" t="s">
        <v>1250</v>
      </c>
    </row>
    <row r="22" spans="1:12" s="2" customFormat="1" x14ac:dyDescent="0.25">
      <c r="A22" s="28" t="s">
        <v>102</v>
      </c>
      <c r="B22" s="28" t="s">
        <v>103</v>
      </c>
      <c r="C22" s="28" t="s">
        <v>1309</v>
      </c>
      <c r="D22" s="29" t="s">
        <v>1247</v>
      </c>
      <c r="E22" s="30" t="s">
        <v>1310</v>
      </c>
      <c r="F22" s="28" t="s">
        <v>104</v>
      </c>
      <c r="G22" s="28" t="s">
        <v>1311</v>
      </c>
      <c r="H22" s="27" t="s">
        <v>1250</v>
      </c>
    </row>
    <row r="23" spans="1:12" s="3" customFormat="1" x14ac:dyDescent="0.25">
      <c r="A23" s="28" t="s">
        <v>102</v>
      </c>
      <c r="B23" s="28" t="s">
        <v>103</v>
      </c>
      <c r="C23" s="28" t="s">
        <v>1312</v>
      </c>
      <c r="D23" s="29" t="s">
        <v>1247</v>
      </c>
      <c r="E23" s="30" t="s">
        <v>1313</v>
      </c>
      <c r="F23" s="28" t="s">
        <v>8</v>
      </c>
      <c r="G23" s="28" t="s">
        <v>1314</v>
      </c>
      <c r="H23" s="27" t="s">
        <v>1250</v>
      </c>
    </row>
    <row r="24" spans="1:12" s="2" customFormat="1" x14ac:dyDescent="0.25">
      <c r="A24" s="28" t="s">
        <v>122</v>
      </c>
      <c r="B24" s="28" t="s">
        <v>107</v>
      </c>
      <c r="C24" s="28" t="s">
        <v>1315</v>
      </c>
      <c r="D24" s="29" t="s">
        <v>1247</v>
      </c>
      <c r="E24" s="30" t="s">
        <v>1316</v>
      </c>
      <c r="F24" s="28" t="s">
        <v>123</v>
      </c>
      <c r="G24" s="28" t="s">
        <v>1317</v>
      </c>
      <c r="H24" s="27" t="s">
        <v>1250</v>
      </c>
    </row>
    <row r="25" spans="1:12" s="3" customFormat="1" x14ac:dyDescent="0.25">
      <c r="A25" s="28" t="s">
        <v>122</v>
      </c>
      <c r="B25" s="28" t="s">
        <v>107</v>
      </c>
      <c r="C25" s="28" t="s">
        <v>1315</v>
      </c>
      <c r="D25" s="29" t="s">
        <v>1247</v>
      </c>
      <c r="E25" s="30" t="s">
        <v>1318</v>
      </c>
      <c r="F25" s="28" t="s">
        <v>123</v>
      </c>
      <c r="G25" s="28" t="s">
        <v>1319</v>
      </c>
      <c r="H25" s="27" t="s">
        <v>1250</v>
      </c>
    </row>
    <row r="26" spans="1:12" s="2" customFormat="1" x14ac:dyDescent="0.25">
      <c r="A26" s="28" t="s">
        <v>122</v>
      </c>
      <c r="B26" s="28" t="s">
        <v>107</v>
      </c>
      <c r="C26" s="28" t="s">
        <v>1320</v>
      </c>
      <c r="D26" s="29" t="s">
        <v>1247</v>
      </c>
      <c r="E26" s="30" t="s">
        <v>1321</v>
      </c>
      <c r="F26" s="28" t="s">
        <v>123</v>
      </c>
      <c r="G26" s="28" t="s">
        <v>1322</v>
      </c>
      <c r="H26" s="27" t="s">
        <v>1250</v>
      </c>
    </row>
    <row r="27" spans="1:12" s="3" customFormat="1" x14ac:dyDescent="0.25">
      <c r="A27" s="28" t="s">
        <v>122</v>
      </c>
      <c r="B27" s="28" t="s">
        <v>107</v>
      </c>
      <c r="C27" s="28" t="s">
        <v>1320</v>
      </c>
      <c r="D27" s="29" t="s">
        <v>1247</v>
      </c>
      <c r="E27" s="30" t="s">
        <v>1323</v>
      </c>
      <c r="F27" s="28" t="s">
        <v>123</v>
      </c>
      <c r="G27" s="28" t="s">
        <v>1324</v>
      </c>
      <c r="H27" s="27" t="s">
        <v>1250</v>
      </c>
    </row>
    <row r="28" spans="1:12" s="2" customFormat="1" x14ac:dyDescent="0.25">
      <c r="A28" s="28" t="s">
        <v>102</v>
      </c>
      <c r="B28" s="28" t="s">
        <v>103</v>
      </c>
      <c r="C28" s="28" t="s">
        <v>1325</v>
      </c>
      <c r="D28" s="29" t="s">
        <v>1247</v>
      </c>
      <c r="E28" s="30" t="s">
        <v>1326</v>
      </c>
      <c r="F28" s="28" t="s">
        <v>104</v>
      </c>
      <c r="G28" s="28" t="s">
        <v>1327</v>
      </c>
      <c r="H28" s="27" t="s">
        <v>1250</v>
      </c>
    </row>
    <row r="29" spans="1:12" s="3" customFormat="1" x14ac:dyDescent="0.25">
      <c r="A29" s="28" t="s">
        <v>102</v>
      </c>
      <c r="B29" s="28" t="s">
        <v>103</v>
      </c>
      <c r="C29" s="28" t="s">
        <v>1328</v>
      </c>
      <c r="D29" s="29" t="s">
        <v>1247</v>
      </c>
      <c r="E29" s="30" t="s">
        <v>1329</v>
      </c>
      <c r="F29" s="28" t="s">
        <v>8</v>
      </c>
      <c r="G29" s="28" t="s">
        <v>1330</v>
      </c>
      <c r="H29" s="27" t="s">
        <v>1250</v>
      </c>
    </row>
    <row r="30" spans="1:12" s="2" customFormat="1" x14ac:dyDescent="0.25">
      <c r="A30" s="28" t="s">
        <v>1331</v>
      </c>
      <c r="B30" s="28" t="s">
        <v>107</v>
      </c>
      <c r="C30" s="28" t="s">
        <v>1332</v>
      </c>
      <c r="D30" s="29" t="s">
        <v>1247</v>
      </c>
      <c r="E30" s="30" t="s">
        <v>1333</v>
      </c>
      <c r="F30" s="28" t="s">
        <v>1334</v>
      </c>
      <c r="G30" s="28" t="s">
        <v>1335</v>
      </c>
      <c r="H30" s="27" t="s">
        <v>1250</v>
      </c>
    </row>
    <row r="31" spans="1:12" s="3" customFormat="1" x14ac:dyDescent="0.25">
      <c r="A31" s="28" t="s">
        <v>1336</v>
      </c>
      <c r="B31" s="28" t="s">
        <v>107</v>
      </c>
      <c r="C31" s="28" t="s">
        <v>1332</v>
      </c>
      <c r="D31" s="29" t="s">
        <v>1247</v>
      </c>
      <c r="E31" s="30" t="s">
        <v>1337</v>
      </c>
      <c r="F31" s="28" t="s">
        <v>1338</v>
      </c>
      <c r="G31" s="28" t="s">
        <v>1339</v>
      </c>
      <c r="H31" s="27" t="s">
        <v>1250</v>
      </c>
    </row>
    <row r="32" spans="1:12" s="2" customFormat="1" x14ac:dyDescent="0.25">
      <c r="A32" s="28" t="s">
        <v>1340</v>
      </c>
      <c r="B32" s="28" t="s">
        <v>105</v>
      </c>
      <c r="C32" s="28" t="s">
        <v>1341</v>
      </c>
      <c r="D32" s="29" t="s">
        <v>1247</v>
      </c>
      <c r="E32" s="30" t="s">
        <v>1342</v>
      </c>
      <c r="F32" s="28" t="s">
        <v>1343</v>
      </c>
      <c r="G32" s="28" t="s">
        <v>1344</v>
      </c>
      <c r="H32" s="27" t="s">
        <v>1250</v>
      </c>
      <c r="L32" s="4"/>
    </row>
    <row r="33" spans="1:8" s="3" customFormat="1" x14ac:dyDescent="0.25">
      <c r="A33" s="28" t="s">
        <v>1345</v>
      </c>
      <c r="B33" s="28" t="s">
        <v>107</v>
      </c>
      <c r="C33" s="28" t="s">
        <v>1346</v>
      </c>
      <c r="D33" s="29" t="s">
        <v>1247</v>
      </c>
      <c r="E33" s="30" t="s">
        <v>1347</v>
      </c>
      <c r="F33" s="28" t="s">
        <v>1348</v>
      </c>
      <c r="G33" s="28" t="s">
        <v>1349</v>
      </c>
      <c r="H33" s="27" t="s">
        <v>1250</v>
      </c>
    </row>
    <row r="34" spans="1:8" s="2" customFormat="1" x14ac:dyDescent="0.25">
      <c r="A34" s="28" t="s">
        <v>1350</v>
      </c>
      <c r="B34" s="28" t="s">
        <v>107</v>
      </c>
      <c r="C34" s="28" t="s">
        <v>1351</v>
      </c>
      <c r="D34" s="29" t="s">
        <v>1247</v>
      </c>
      <c r="E34" s="30" t="s">
        <v>1352</v>
      </c>
      <c r="F34" s="28" t="s">
        <v>1353</v>
      </c>
      <c r="G34" s="28" t="s">
        <v>1354</v>
      </c>
      <c r="H34" s="27" t="s">
        <v>1250</v>
      </c>
    </row>
    <row r="35" spans="1:8" s="3" customFormat="1" x14ac:dyDescent="0.25">
      <c r="A35" s="28" t="s">
        <v>11</v>
      </c>
      <c r="B35" s="28" t="s">
        <v>12</v>
      </c>
      <c r="C35" s="28" t="s">
        <v>1355</v>
      </c>
      <c r="D35" s="29" t="s">
        <v>1247</v>
      </c>
      <c r="E35" s="30" t="s">
        <v>1356</v>
      </c>
      <c r="F35" s="28" t="s">
        <v>8</v>
      </c>
      <c r="G35" s="28" t="s">
        <v>1357</v>
      </c>
      <c r="H35" s="27" t="s">
        <v>1250</v>
      </c>
    </row>
    <row r="36" spans="1:8" s="2" customFormat="1" x14ac:dyDescent="0.25">
      <c r="A36" s="28" t="s">
        <v>14</v>
      </c>
      <c r="B36" s="28" t="s">
        <v>15</v>
      </c>
      <c r="C36" s="28" t="s">
        <v>1358</v>
      </c>
      <c r="D36" s="29" t="s">
        <v>1247</v>
      </c>
      <c r="E36" s="30" t="s">
        <v>1359</v>
      </c>
      <c r="F36" s="28" t="s">
        <v>13</v>
      </c>
      <c r="G36" s="28" t="s">
        <v>1360</v>
      </c>
      <c r="H36" s="27" t="s">
        <v>1250</v>
      </c>
    </row>
    <row r="37" spans="1:8" s="3" customFormat="1" x14ac:dyDescent="0.25">
      <c r="A37" s="28" t="s">
        <v>634</v>
      </c>
      <c r="B37" s="28" t="s">
        <v>105</v>
      </c>
      <c r="C37" s="28" t="s">
        <v>1361</v>
      </c>
      <c r="D37" s="29" t="s">
        <v>1247</v>
      </c>
      <c r="E37" s="30" t="s">
        <v>1362</v>
      </c>
      <c r="F37" s="28" t="s">
        <v>638</v>
      </c>
      <c r="G37" s="28" t="s">
        <v>1363</v>
      </c>
      <c r="H37" s="27" t="s">
        <v>1250</v>
      </c>
    </row>
    <row r="38" spans="1:8" s="2" customFormat="1" x14ac:dyDescent="0.25">
      <c r="A38" s="28" t="s">
        <v>1350</v>
      </c>
      <c r="B38" s="28" t="s">
        <v>107</v>
      </c>
      <c r="C38" s="28" t="s">
        <v>1364</v>
      </c>
      <c r="D38" s="29" t="s">
        <v>1247</v>
      </c>
      <c r="E38" s="30" t="s">
        <v>1365</v>
      </c>
      <c r="F38" s="28" t="s">
        <v>1353</v>
      </c>
      <c r="G38" s="28" t="s">
        <v>1366</v>
      </c>
      <c r="H38" s="27" t="s">
        <v>1250</v>
      </c>
    </row>
    <row r="39" spans="1:8" s="3" customFormat="1" x14ac:dyDescent="0.25">
      <c r="A39" s="28" t="s">
        <v>1345</v>
      </c>
      <c r="B39" s="28" t="s">
        <v>107</v>
      </c>
      <c r="C39" s="28" t="s">
        <v>1367</v>
      </c>
      <c r="D39" s="29" t="s">
        <v>1247</v>
      </c>
      <c r="E39" s="30" t="s">
        <v>1368</v>
      </c>
      <c r="F39" s="28" t="s">
        <v>1348</v>
      </c>
      <c r="G39" s="28" t="s">
        <v>1369</v>
      </c>
      <c r="H39" s="27" t="s">
        <v>1250</v>
      </c>
    </row>
    <row r="40" spans="1:8" s="2" customFormat="1" x14ac:dyDescent="0.25">
      <c r="A40" s="28" t="s">
        <v>1370</v>
      </c>
      <c r="B40" s="28" t="s">
        <v>107</v>
      </c>
      <c r="C40" s="28" t="s">
        <v>1361</v>
      </c>
      <c r="D40" s="29" t="s">
        <v>1247</v>
      </c>
      <c r="E40" s="30" t="s">
        <v>1371</v>
      </c>
      <c r="F40" s="28" t="s">
        <v>1372</v>
      </c>
      <c r="G40" s="28" t="s">
        <v>1373</v>
      </c>
      <c r="H40" s="27" t="s">
        <v>1250</v>
      </c>
    </row>
    <row r="41" spans="1:8" s="3" customFormat="1" x14ac:dyDescent="0.25">
      <c r="A41" s="28" t="s">
        <v>1374</v>
      </c>
      <c r="B41" s="28" t="s">
        <v>105</v>
      </c>
      <c r="C41" s="28" t="s">
        <v>1361</v>
      </c>
      <c r="D41" s="29" t="s">
        <v>1247</v>
      </c>
      <c r="E41" s="30" t="s">
        <v>1375</v>
      </c>
      <c r="F41" s="28" t="s">
        <v>1376</v>
      </c>
      <c r="G41" s="28" t="s">
        <v>1377</v>
      </c>
      <c r="H41" s="27" t="s">
        <v>1250</v>
      </c>
    </row>
    <row r="42" spans="1:8" s="2" customFormat="1" x14ac:dyDescent="0.25">
      <c r="A42" s="28" t="s">
        <v>1331</v>
      </c>
      <c r="B42" s="28" t="s">
        <v>107</v>
      </c>
      <c r="C42" s="28" t="s">
        <v>1378</v>
      </c>
      <c r="D42" s="29" t="s">
        <v>1247</v>
      </c>
      <c r="E42" s="30" t="s">
        <v>1379</v>
      </c>
      <c r="F42" s="28" t="s">
        <v>1334</v>
      </c>
      <c r="G42" s="28" t="s">
        <v>1380</v>
      </c>
      <c r="H42" s="27" t="s">
        <v>1250</v>
      </c>
    </row>
    <row r="43" spans="1:8" s="3" customFormat="1" x14ac:dyDescent="0.25">
      <c r="A43" s="28" t="s">
        <v>1381</v>
      </c>
      <c r="B43" s="28" t="s">
        <v>107</v>
      </c>
      <c r="C43" s="28" t="s">
        <v>1382</v>
      </c>
      <c r="D43" s="29" t="s">
        <v>1247</v>
      </c>
      <c r="E43" s="30" t="s">
        <v>1379</v>
      </c>
      <c r="F43" s="28" t="s">
        <v>1383</v>
      </c>
      <c r="G43" s="28" t="s">
        <v>1384</v>
      </c>
      <c r="H43" s="27" t="s">
        <v>1250</v>
      </c>
    </row>
    <row r="44" spans="1:8" s="2" customFormat="1" x14ac:dyDescent="0.25">
      <c r="A44" s="28" t="s">
        <v>1336</v>
      </c>
      <c r="B44" s="28" t="s">
        <v>107</v>
      </c>
      <c r="C44" s="28" t="s">
        <v>1378</v>
      </c>
      <c r="D44" s="29" t="s">
        <v>1247</v>
      </c>
      <c r="E44" s="30" t="s">
        <v>1385</v>
      </c>
      <c r="F44" s="28" t="s">
        <v>1338</v>
      </c>
      <c r="G44" s="28" t="s">
        <v>1386</v>
      </c>
      <c r="H44" s="27" t="s">
        <v>1250</v>
      </c>
    </row>
    <row r="45" spans="1:8" s="3" customFormat="1" x14ac:dyDescent="0.25">
      <c r="A45" s="28" t="s">
        <v>1340</v>
      </c>
      <c r="B45" s="28" t="s">
        <v>105</v>
      </c>
      <c r="C45" s="28" t="s">
        <v>1361</v>
      </c>
      <c r="D45" s="29" t="s">
        <v>1247</v>
      </c>
      <c r="E45" s="30" t="s">
        <v>1387</v>
      </c>
      <c r="F45" s="28" t="s">
        <v>1343</v>
      </c>
      <c r="G45" s="28" t="s">
        <v>1388</v>
      </c>
      <c r="H45" s="27" t="s">
        <v>1250</v>
      </c>
    </row>
    <row r="46" spans="1:8" s="2" customFormat="1" x14ac:dyDescent="0.25">
      <c r="A46" s="28" t="s">
        <v>102</v>
      </c>
      <c r="B46" s="28" t="s">
        <v>103</v>
      </c>
      <c r="C46" s="28" t="s">
        <v>1389</v>
      </c>
      <c r="D46" s="29" t="s">
        <v>1390</v>
      </c>
      <c r="E46" s="30" t="s">
        <v>1391</v>
      </c>
      <c r="F46" s="28" t="s">
        <v>104</v>
      </c>
      <c r="G46" s="28" t="s">
        <v>1392</v>
      </c>
      <c r="H46" s="27" t="s">
        <v>1393</v>
      </c>
    </row>
    <row r="47" spans="1:8" s="3" customFormat="1" x14ac:dyDescent="0.25">
      <c r="A47" s="28" t="s">
        <v>102</v>
      </c>
      <c r="B47" s="28" t="s">
        <v>103</v>
      </c>
      <c r="C47" s="28" t="s">
        <v>1394</v>
      </c>
      <c r="D47" s="29" t="s">
        <v>1390</v>
      </c>
      <c r="E47" s="30" t="s">
        <v>1395</v>
      </c>
      <c r="F47" s="28" t="s">
        <v>8</v>
      </c>
      <c r="G47" s="28" t="s">
        <v>1396</v>
      </c>
      <c r="H47" s="27" t="s">
        <v>1393</v>
      </c>
    </row>
    <row r="48" spans="1:8" s="2" customFormat="1" x14ac:dyDescent="0.25">
      <c r="A48" s="28" t="s">
        <v>110</v>
      </c>
      <c r="B48" s="28" t="s">
        <v>111</v>
      </c>
      <c r="C48" s="28" t="s">
        <v>1397</v>
      </c>
      <c r="D48" s="29" t="s">
        <v>1390</v>
      </c>
      <c r="E48" s="30" t="s">
        <v>1398</v>
      </c>
      <c r="F48" s="28" t="s">
        <v>112</v>
      </c>
      <c r="G48" s="28" t="s">
        <v>1399</v>
      </c>
      <c r="H48" s="27" t="s">
        <v>1393</v>
      </c>
    </row>
    <row r="49" spans="1:8" s="3" customFormat="1" x14ac:dyDescent="0.25">
      <c r="A49" s="28" t="s">
        <v>1400</v>
      </c>
      <c r="B49" s="28" t="s">
        <v>410</v>
      </c>
      <c r="C49" s="28" t="s">
        <v>1401</v>
      </c>
      <c r="D49" s="29" t="s">
        <v>1390</v>
      </c>
      <c r="E49" s="30" t="s">
        <v>1402</v>
      </c>
      <c r="F49" s="28" t="s">
        <v>1403</v>
      </c>
      <c r="G49" s="28" t="s">
        <v>1404</v>
      </c>
      <c r="H49" s="27" t="s">
        <v>1393</v>
      </c>
    </row>
    <row r="50" spans="1:8" s="2" customFormat="1" x14ac:dyDescent="0.25">
      <c r="A50" s="28" t="s">
        <v>110</v>
      </c>
      <c r="B50" s="28" t="s">
        <v>115</v>
      </c>
      <c r="C50" s="28" t="s">
        <v>1405</v>
      </c>
      <c r="D50" s="29" t="s">
        <v>1390</v>
      </c>
      <c r="E50" s="30" t="s">
        <v>1406</v>
      </c>
      <c r="F50" s="28" t="s">
        <v>112</v>
      </c>
      <c r="G50" s="28" t="s">
        <v>1407</v>
      </c>
      <c r="H50" s="27" t="s">
        <v>1393</v>
      </c>
    </row>
    <row r="51" spans="1:8" s="3" customFormat="1" x14ac:dyDescent="0.25">
      <c r="A51" s="28" t="s">
        <v>120</v>
      </c>
      <c r="B51" s="28" t="s">
        <v>410</v>
      </c>
      <c r="C51" s="28" t="s">
        <v>1408</v>
      </c>
      <c r="D51" s="29" t="s">
        <v>1390</v>
      </c>
      <c r="E51" s="30" t="s">
        <v>1409</v>
      </c>
      <c r="F51" s="28" t="s">
        <v>121</v>
      </c>
      <c r="G51" s="28" t="s">
        <v>1410</v>
      </c>
      <c r="H51" s="27" t="s">
        <v>1393</v>
      </c>
    </row>
    <row r="52" spans="1:8" s="2" customFormat="1" x14ac:dyDescent="0.25">
      <c r="A52" s="28" t="s">
        <v>122</v>
      </c>
      <c r="B52" s="28" t="s">
        <v>107</v>
      </c>
      <c r="C52" s="28" t="s">
        <v>1411</v>
      </c>
      <c r="D52" s="29" t="s">
        <v>1390</v>
      </c>
      <c r="E52" s="30" t="s">
        <v>1412</v>
      </c>
      <c r="F52" s="28" t="s">
        <v>123</v>
      </c>
      <c r="G52" s="28" t="s">
        <v>1413</v>
      </c>
      <c r="H52" s="27" t="s">
        <v>1393</v>
      </c>
    </row>
    <row r="53" spans="1:8" s="3" customFormat="1" x14ac:dyDescent="0.25">
      <c r="A53" s="28" t="s">
        <v>574</v>
      </c>
      <c r="B53" s="28" t="s">
        <v>1414</v>
      </c>
      <c r="C53" s="28" t="s">
        <v>1415</v>
      </c>
      <c r="D53" s="29" t="s">
        <v>1390</v>
      </c>
      <c r="E53" s="30" t="s">
        <v>1416</v>
      </c>
      <c r="F53" s="28" t="s">
        <v>578</v>
      </c>
      <c r="G53" s="28" t="s">
        <v>1417</v>
      </c>
      <c r="H53" s="27" t="s">
        <v>1393</v>
      </c>
    </row>
    <row r="54" spans="1:8" s="2" customFormat="1" x14ac:dyDescent="0.25">
      <c r="A54" s="28" t="s">
        <v>102</v>
      </c>
      <c r="B54" s="28" t="s">
        <v>103</v>
      </c>
      <c r="C54" s="28" t="s">
        <v>1418</v>
      </c>
      <c r="D54" s="29" t="s">
        <v>1390</v>
      </c>
      <c r="E54" s="30" t="s">
        <v>1419</v>
      </c>
      <c r="F54" s="28" t="s">
        <v>104</v>
      </c>
      <c r="G54" s="28" t="s">
        <v>1420</v>
      </c>
      <c r="H54" s="27" t="s">
        <v>1393</v>
      </c>
    </row>
    <row r="55" spans="1:8" s="3" customFormat="1" x14ac:dyDescent="0.25">
      <c r="A55" s="28" t="s">
        <v>102</v>
      </c>
      <c r="B55" s="28" t="s">
        <v>103</v>
      </c>
      <c r="C55" s="28" t="s">
        <v>1421</v>
      </c>
      <c r="D55" s="29" t="s">
        <v>1390</v>
      </c>
      <c r="E55" s="30" t="s">
        <v>1422</v>
      </c>
      <c r="F55" s="28" t="s">
        <v>8</v>
      </c>
      <c r="G55" s="28" t="s">
        <v>1423</v>
      </c>
      <c r="H55" s="27" t="s">
        <v>1393</v>
      </c>
    </row>
    <row r="56" spans="1:8" s="2" customFormat="1" x14ac:dyDescent="0.25">
      <c r="A56" s="28" t="s">
        <v>122</v>
      </c>
      <c r="B56" s="28" t="s">
        <v>107</v>
      </c>
      <c r="C56" s="28" t="s">
        <v>1424</v>
      </c>
      <c r="D56" s="29" t="s">
        <v>1390</v>
      </c>
      <c r="E56" s="30" t="s">
        <v>1425</v>
      </c>
      <c r="F56" s="28" t="s">
        <v>123</v>
      </c>
      <c r="G56" s="28" t="s">
        <v>1426</v>
      </c>
      <c r="H56" s="27" t="s">
        <v>1393</v>
      </c>
    </row>
    <row r="57" spans="1:8" s="3" customFormat="1" x14ac:dyDescent="0.25">
      <c r="A57" s="28" t="s">
        <v>116</v>
      </c>
      <c r="B57" s="28" t="s">
        <v>117</v>
      </c>
      <c r="C57" s="28" t="s">
        <v>1427</v>
      </c>
      <c r="D57" s="29" t="s">
        <v>1390</v>
      </c>
      <c r="E57" s="30" t="s">
        <v>1428</v>
      </c>
      <c r="F57" s="28" t="s">
        <v>118</v>
      </c>
      <c r="G57" s="28" t="s">
        <v>1429</v>
      </c>
      <c r="H57" s="27" t="s">
        <v>1393</v>
      </c>
    </row>
    <row r="58" spans="1:8" s="2" customFormat="1" x14ac:dyDescent="0.25">
      <c r="A58" s="28" t="s">
        <v>122</v>
      </c>
      <c r="B58" s="28" t="s">
        <v>107</v>
      </c>
      <c r="C58" s="28" t="s">
        <v>1430</v>
      </c>
      <c r="D58" s="29" t="s">
        <v>1390</v>
      </c>
      <c r="E58" s="30" t="s">
        <v>1431</v>
      </c>
      <c r="F58" s="28" t="s">
        <v>123</v>
      </c>
      <c r="G58" s="28" t="s">
        <v>1432</v>
      </c>
      <c r="H58" s="27" t="s">
        <v>1393</v>
      </c>
    </row>
    <row r="59" spans="1:8" s="3" customFormat="1" x14ac:dyDescent="0.25">
      <c r="A59" s="28" t="s">
        <v>122</v>
      </c>
      <c r="B59" s="28" t="s">
        <v>107</v>
      </c>
      <c r="C59" s="28" t="s">
        <v>1433</v>
      </c>
      <c r="D59" s="29" t="s">
        <v>1390</v>
      </c>
      <c r="E59" s="30" t="s">
        <v>1434</v>
      </c>
      <c r="F59" s="28" t="s">
        <v>123</v>
      </c>
      <c r="G59" s="28" t="s">
        <v>1435</v>
      </c>
      <c r="H59" s="27" t="s">
        <v>1393</v>
      </c>
    </row>
    <row r="60" spans="1:8" s="2" customFormat="1" x14ac:dyDescent="0.25">
      <c r="A60" s="28" t="s">
        <v>122</v>
      </c>
      <c r="B60" s="28" t="s">
        <v>107</v>
      </c>
      <c r="C60" s="28" t="s">
        <v>1436</v>
      </c>
      <c r="D60" s="29" t="s">
        <v>1390</v>
      </c>
      <c r="E60" s="30" t="s">
        <v>1437</v>
      </c>
      <c r="F60" s="28" t="s">
        <v>123</v>
      </c>
      <c r="G60" s="28" t="s">
        <v>1438</v>
      </c>
      <c r="H60" s="27" t="s">
        <v>1393</v>
      </c>
    </row>
    <row r="61" spans="1:8" s="3" customFormat="1" x14ac:dyDescent="0.25">
      <c r="A61" s="28" t="s">
        <v>102</v>
      </c>
      <c r="B61" s="28" t="s">
        <v>103</v>
      </c>
      <c r="C61" s="28" t="s">
        <v>1439</v>
      </c>
      <c r="D61" s="29" t="s">
        <v>1390</v>
      </c>
      <c r="E61" s="30" t="s">
        <v>1440</v>
      </c>
      <c r="F61" s="28" t="s">
        <v>104</v>
      </c>
      <c r="G61" s="28" t="s">
        <v>1441</v>
      </c>
      <c r="H61" s="27" t="s">
        <v>1393</v>
      </c>
    </row>
    <row r="62" spans="1:8" s="2" customFormat="1" x14ac:dyDescent="0.25">
      <c r="A62" s="28" t="s">
        <v>102</v>
      </c>
      <c r="B62" s="28" t="s">
        <v>103</v>
      </c>
      <c r="C62" s="28" t="s">
        <v>1442</v>
      </c>
      <c r="D62" s="29" t="s">
        <v>1390</v>
      </c>
      <c r="E62" s="30" t="s">
        <v>1443</v>
      </c>
      <c r="F62" s="28" t="s">
        <v>8</v>
      </c>
      <c r="G62" s="28" t="s">
        <v>1444</v>
      </c>
      <c r="H62" s="27" t="s">
        <v>1393</v>
      </c>
    </row>
    <row r="63" spans="1:8" s="3" customFormat="1" x14ac:dyDescent="0.25">
      <c r="A63" s="28" t="s">
        <v>14</v>
      </c>
      <c r="B63" s="28" t="s">
        <v>15</v>
      </c>
      <c r="C63" s="28" t="s">
        <v>1445</v>
      </c>
      <c r="D63" s="29" t="s">
        <v>1390</v>
      </c>
      <c r="E63" s="30" t="s">
        <v>1446</v>
      </c>
      <c r="F63" s="28" t="s">
        <v>13</v>
      </c>
      <c r="G63" s="28" t="s">
        <v>1447</v>
      </c>
      <c r="H63" s="27" t="s">
        <v>1393</v>
      </c>
    </row>
    <row r="64" spans="1:8" s="2" customFormat="1" x14ac:dyDescent="0.25">
      <c r="A64" s="28" t="s">
        <v>122</v>
      </c>
      <c r="B64" s="28" t="s">
        <v>107</v>
      </c>
      <c r="C64" s="28" t="s">
        <v>1448</v>
      </c>
      <c r="D64" s="29" t="s">
        <v>1390</v>
      </c>
      <c r="E64" s="30" t="s">
        <v>1449</v>
      </c>
      <c r="F64" s="28" t="s">
        <v>123</v>
      </c>
      <c r="G64" s="28" t="s">
        <v>1450</v>
      </c>
      <c r="H64" s="27" t="s">
        <v>1393</v>
      </c>
    </row>
    <row r="65" spans="1:8" s="3" customFormat="1" x14ac:dyDescent="0.25">
      <c r="A65" s="28" t="s">
        <v>122</v>
      </c>
      <c r="B65" s="28" t="s">
        <v>107</v>
      </c>
      <c r="C65" s="28" t="s">
        <v>1451</v>
      </c>
      <c r="D65" s="29" t="s">
        <v>1390</v>
      </c>
      <c r="E65" s="30" t="s">
        <v>1452</v>
      </c>
      <c r="F65" s="28" t="s">
        <v>123</v>
      </c>
      <c r="G65" s="28" t="s">
        <v>1453</v>
      </c>
      <c r="H65" s="27" t="s">
        <v>1393</v>
      </c>
    </row>
    <row r="66" spans="1:8" s="2" customFormat="1" x14ac:dyDescent="0.25">
      <c r="A66" s="28" t="s">
        <v>122</v>
      </c>
      <c r="B66" s="28" t="s">
        <v>107</v>
      </c>
      <c r="C66" s="28" t="s">
        <v>1451</v>
      </c>
      <c r="D66" s="29" t="s">
        <v>1390</v>
      </c>
      <c r="E66" s="30" t="s">
        <v>1454</v>
      </c>
      <c r="F66" s="28" t="s">
        <v>123</v>
      </c>
      <c r="G66" s="28" t="s">
        <v>1455</v>
      </c>
      <c r="H66" s="27" t="s">
        <v>1393</v>
      </c>
    </row>
    <row r="67" spans="1:8" s="3" customFormat="1" x14ac:dyDescent="0.25">
      <c r="A67" s="28" t="s">
        <v>122</v>
      </c>
      <c r="B67" s="28" t="s">
        <v>107</v>
      </c>
      <c r="C67" s="28" t="s">
        <v>1451</v>
      </c>
      <c r="D67" s="29" t="s">
        <v>1390</v>
      </c>
      <c r="E67" s="30" t="s">
        <v>1456</v>
      </c>
      <c r="F67" s="28" t="s">
        <v>123</v>
      </c>
      <c r="G67" s="28" t="s">
        <v>1457</v>
      </c>
      <c r="H67" s="27" t="s">
        <v>1393</v>
      </c>
    </row>
    <row r="68" spans="1:8" s="2" customFormat="1" x14ac:dyDescent="0.25">
      <c r="A68" s="28" t="s">
        <v>1458</v>
      </c>
      <c r="B68" s="28" t="s">
        <v>1459</v>
      </c>
      <c r="C68" s="28" t="s">
        <v>1460</v>
      </c>
      <c r="D68" s="29" t="s">
        <v>1390</v>
      </c>
      <c r="E68" s="30" t="s">
        <v>1461</v>
      </c>
      <c r="F68" s="28" t="s">
        <v>119</v>
      </c>
      <c r="G68" s="28" t="s">
        <v>1462</v>
      </c>
      <c r="H68" s="27" t="s">
        <v>1393</v>
      </c>
    </row>
    <row r="69" spans="1:8" s="3" customFormat="1" x14ac:dyDescent="0.25">
      <c r="A69" s="28" t="s">
        <v>122</v>
      </c>
      <c r="B69" s="28" t="s">
        <v>107</v>
      </c>
      <c r="C69" s="28" t="s">
        <v>1463</v>
      </c>
      <c r="D69" s="29" t="s">
        <v>1390</v>
      </c>
      <c r="E69" s="30" t="s">
        <v>1464</v>
      </c>
      <c r="F69" s="28" t="s">
        <v>123</v>
      </c>
      <c r="G69" s="28" t="s">
        <v>1465</v>
      </c>
      <c r="H69" s="27" t="s">
        <v>1393</v>
      </c>
    </row>
    <row r="70" spans="1:8" s="2" customFormat="1" x14ac:dyDescent="0.25">
      <c r="A70" s="28" t="s">
        <v>122</v>
      </c>
      <c r="B70" s="28" t="s">
        <v>107</v>
      </c>
      <c r="C70" s="28" t="s">
        <v>1466</v>
      </c>
      <c r="D70" s="29" t="s">
        <v>1467</v>
      </c>
      <c r="E70" s="30" t="s">
        <v>1468</v>
      </c>
      <c r="F70" s="28" t="s">
        <v>123</v>
      </c>
      <c r="G70" s="28" t="s">
        <v>1469</v>
      </c>
      <c r="H70" s="27" t="s">
        <v>1470</v>
      </c>
    </row>
    <row r="71" spans="1:8" s="3" customFormat="1" x14ac:dyDescent="0.25">
      <c r="A71" s="28" t="s">
        <v>102</v>
      </c>
      <c r="B71" s="28" t="s">
        <v>103</v>
      </c>
      <c r="C71" s="28" t="s">
        <v>1471</v>
      </c>
      <c r="D71" s="29" t="s">
        <v>1467</v>
      </c>
      <c r="E71" s="30" t="s">
        <v>1472</v>
      </c>
      <c r="F71" s="28" t="s">
        <v>104</v>
      </c>
      <c r="G71" s="28" t="s">
        <v>1473</v>
      </c>
      <c r="H71" s="27" t="s">
        <v>1470</v>
      </c>
    </row>
    <row r="72" spans="1:8" s="2" customFormat="1" x14ac:dyDescent="0.25">
      <c r="A72" s="28" t="s">
        <v>102</v>
      </c>
      <c r="B72" s="28" t="s">
        <v>103</v>
      </c>
      <c r="C72" s="28" t="s">
        <v>1474</v>
      </c>
      <c r="D72" s="29" t="s">
        <v>1467</v>
      </c>
      <c r="E72" s="30" t="s">
        <v>1475</v>
      </c>
      <c r="F72" s="28" t="s">
        <v>8</v>
      </c>
      <c r="G72" s="28" t="s">
        <v>1476</v>
      </c>
      <c r="H72" s="27" t="s">
        <v>1470</v>
      </c>
    </row>
    <row r="73" spans="1:8" s="3" customFormat="1" x14ac:dyDescent="0.25">
      <c r="A73" s="28" t="s">
        <v>122</v>
      </c>
      <c r="B73" s="28" t="s">
        <v>107</v>
      </c>
      <c r="C73" s="28" t="s">
        <v>1477</v>
      </c>
      <c r="D73" s="29" t="s">
        <v>1467</v>
      </c>
      <c r="E73" s="30" t="s">
        <v>1478</v>
      </c>
      <c r="F73" s="28" t="s">
        <v>123</v>
      </c>
      <c r="G73" s="28" t="s">
        <v>1479</v>
      </c>
      <c r="H73" s="27" t="s">
        <v>1470</v>
      </c>
    </row>
    <row r="74" spans="1:8" s="2" customFormat="1" x14ac:dyDescent="0.25">
      <c r="A74" s="28" t="s">
        <v>122</v>
      </c>
      <c r="B74" s="28" t="s">
        <v>107</v>
      </c>
      <c r="C74" s="28" t="s">
        <v>1477</v>
      </c>
      <c r="D74" s="29" t="s">
        <v>1467</v>
      </c>
      <c r="E74" s="30" t="s">
        <v>1480</v>
      </c>
      <c r="F74" s="28" t="s">
        <v>123</v>
      </c>
      <c r="G74" s="28" t="s">
        <v>1481</v>
      </c>
      <c r="H74" s="27" t="s">
        <v>1470</v>
      </c>
    </row>
    <row r="75" spans="1:8" s="3" customFormat="1" x14ac:dyDescent="0.25">
      <c r="A75" s="28" t="s">
        <v>122</v>
      </c>
      <c r="B75" s="28" t="s">
        <v>107</v>
      </c>
      <c r="C75" s="28" t="s">
        <v>1477</v>
      </c>
      <c r="D75" s="29" t="s">
        <v>1467</v>
      </c>
      <c r="E75" s="30" t="s">
        <v>1482</v>
      </c>
      <c r="F75" s="28" t="s">
        <v>123</v>
      </c>
      <c r="G75" s="28" t="s">
        <v>1483</v>
      </c>
      <c r="H75" s="27" t="s">
        <v>1470</v>
      </c>
    </row>
    <row r="76" spans="1:8" s="2" customFormat="1" x14ac:dyDescent="0.25">
      <c r="A76" s="28" t="s">
        <v>110</v>
      </c>
      <c r="B76" s="28" t="s">
        <v>111</v>
      </c>
      <c r="C76" s="28" t="s">
        <v>1484</v>
      </c>
      <c r="D76" s="29" t="s">
        <v>1467</v>
      </c>
      <c r="E76" s="30" t="s">
        <v>1485</v>
      </c>
      <c r="F76" s="28" t="s">
        <v>112</v>
      </c>
      <c r="G76" s="28" t="s">
        <v>1486</v>
      </c>
      <c r="H76" s="27" t="s">
        <v>1470</v>
      </c>
    </row>
    <row r="77" spans="1:8" s="3" customFormat="1" x14ac:dyDescent="0.25">
      <c r="A77" s="28" t="s">
        <v>110</v>
      </c>
      <c r="B77" s="28" t="s">
        <v>115</v>
      </c>
      <c r="C77" s="28" t="s">
        <v>1487</v>
      </c>
      <c r="D77" s="29" t="s">
        <v>1467</v>
      </c>
      <c r="E77" s="30" t="s">
        <v>1488</v>
      </c>
      <c r="F77" s="28" t="s">
        <v>112</v>
      </c>
      <c r="G77" s="28" t="s">
        <v>1489</v>
      </c>
      <c r="H77" s="27" t="s">
        <v>1470</v>
      </c>
    </row>
    <row r="78" spans="1:8" s="2" customFormat="1" x14ac:dyDescent="0.25">
      <c r="A78" s="28" t="s">
        <v>122</v>
      </c>
      <c r="B78" s="28" t="s">
        <v>107</v>
      </c>
      <c r="C78" s="28" t="s">
        <v>1490</v>
      </c>
      <c r="D78" s="29" t="s">
        <v>1467</v>
      </c>
      <c r="E78" s="30" t="s">
        <v>1491</v>
      </c>
      <c r="F78" s="28" t="s">
        <v>123</v>
      </c>
      <c r="G78" s="28" t="s">
        <v>1492</v>
      </c>
      <c r="H78" s="27" t="s">
        <v>1470</v>
      </c>
    </row>
    <row r="79" spans="1:8" s="3" customFormat="1" x14ac:dyDescent="0.25">
      <c r="A79" s="28" t="s">
        <v>11</v>
      </c>
      <c r="B79" s="28" t="s">
        <v>12</v>
      </c>
      <c r="C79" s="28" t="s">
        <v>1493</v>
      </c>
      <c r="D79" s="29" t="s">
        <v>1467</v>
      </c>
      <c r="E79" s="30" t="s">
        <v>1494</v>
      </c>
      <c r="F79" s="28" t="s">
        <v>104</v>
      </c>
      <c r="G79" s="28" t="s">
        <v>1495</v>
      </c>
      <c r="H79" s="27" t="s">
        <v>1470</v>
      </c>
    </row>
    <row r="80" spans="1:8" s="2" customFormat="1" x14ac:dyDescent="0.25">
      <c r="A80" s="28" t="s">
        <v>120</v>
      </c>
      <c r="B80" s="28" t="s">
        <v>410</v>
      </c>
      <c r="C80" s="28" t="s">
        <v>1496</v>
      </c>
      <c r="D80" s="29" t="s">
        <v>1467</v>
      </c>
      <c r="E80" s="30" t="s">
        <v>1497</v>
      </c>
      <c r="F80" s="28" t="s">
        <v>121</v>
      </c>
      <c r="G80" s="28" t="s">
        <v>1498</v>
      </c>
      <c r="H80" s="27" t="s">
        <v>1470</v>
      </c>
    </row>
    <row r="81" spans="1:8" s="3" customFormat="1" x14ac:dyDescent="0.25">
      <c r="A81" s="28" t="s">
        <v>122</v>
      </c>
      <c r="B81" s="28" t="s">
        <v>107</v>
      </c>
      <c r="C81" s="28" t="s">
        <v>1499</v>
      </c>
      <c r="D81" s="29" t="s">
        <v>1467</v>
      </c>
      <c r="E81" s="30" t="s">
        <v>1500</v>
      </c>
      <c r="F81" s="28" t="s">
        <v>123</v>
      </c>
      <c r="G81" s="28" t="s">
        <v>1501</v>
      </c>
      <c r="H81" s="27" t="s">
        <v>1470</v>
      </c>
    </row>
    <row r="82" spans="1:8" s="2" customFormat="1" x14ac:dyDescent="0.25">
      <c r="A82" s="28" t="s">
        <v>1340</v>
      </c>
      <c r="B82" s="28" t="s">
        <v>410</v>
      </c>
      <c r="C82" s="28" t="s">
        <v>1502</v>
      </c>
      <c r="D82" s="29" t="s">
        <v>1467</v>
      </c>
      <c r="E82" s="30" t="s">
        <v>1503</v>
      </c>
      <c r="F82" s="28" t="s">
        <v>1343</v>
      </c>
      <c r="G82" s="28" t="s">
        <v>1504</v>
      </c>
      <c r="H82" s="27" t="s">
        <v>1470</v>
      </c>
    </row>
    <row r="83" spans="1:8" s="3" customFormat="1" x14ac:dyDescent="0.25">
      <c r="A83" s="28" t="s">
        <v>122</v>
      </c>
      <c r="B83" s="28" t="s">
        <v>107</v>
      </c>
      <c r="C83" s="28" t="s">
        <v>1499</v>
      </c>
      <c r="D83" s="29" t="s">
        <v>1467</v>
      </c>
      <c r="E83" s="30" t="s">
        <v>1505</v>
      </c>
      <c r="F83" s="28" t="s">
        <v>123</v>
      </c>
      <c r="G83" s="28" t="s">
        <v>1506</v>
      </c>
      <c r="H83" s="27" t="s">
        <v>1470</v>
      </c>
    </row>
    <row r="84" spans="1:8" s="2" customFormat="1" x14ac:dyDescent="0.25">
      <c r="A84" s="28" t="s">
        <v>122</v>
      </c>
      <c r="B84" s="28" t="s">
        <v>107</v>
      </c>
      <c r="C84" s="28" t="s">
        <v>1499</v>
      </c>
      <c r="D84" s="29" t="s">
        <v>1467</v>
      </c>
      <c r="E84" s="30" t="s">
        <v>1507</v>
      </c>
      <c r="F84" s="28" t="s">
        <v>123</v>
      </c>
      <c r="G84" s="28" t="s">
        <v>1508</v>
      </c>
      <c r="H84" s="27" t="s">
        <v>1470</v>
      </c>
    </row>
    <row r="85" spans="1:8" s="3" customFormat="1" x14ac:dyDescent="0.25">
      <c r="A85" s="28" t="s">
        <v>102</v>
      </c>
      <c r="B85" s="28" t="s">
        <v>103</v>
      </c>
      <c r="C85" s="28" t="s">
        <v>1509</v>
      </c>
      <c r="D85" s="29" t="s">
        <v>1467</v>
      </c>
      <c r="E85" s="30" t="s">
        <v>1510</v>
      </c>
      <c r="F85" s="28" t="s">
        <v>104</v>
      </c>
      <c r="G85" s="28" t="s">
        <v>1511</v>
      </c>
      <c r="H85" s="27" t="s">
        <v>1470</v>
      </c>
    </row>
    <row r="86" spans="1:8" s="2" customFormat="1" x14ac:dyDescent="0.25">
      <c r="A86" s="28" t="s">
        <v>102</v>
      </c>
      <c r="B86" s="28" t="s">
        <v>103</v>
      </c>
      <c r="C86" s="28" t="s">
        <v>1512</v>
      </c>
      <c r="D86" s="29" t="s">
        <v>1467</v>
      </c>
      <c r="E86" s="30" t="s">
        <v>1513</v>
      </c>
      <c r="F86" s="28" t="s">
        <v>8</v>
      </c>
      <c r="G86" s="28" t="s">
        <v>1514</v>
      </c>
      <c r="H86" s="27" t="s">
        <v>1470</v>
      </c>
    </row>
    <row r="87" spans="1:8" s="3" customFormat="1" x14ac:dyDescent="0.25">
      <c r="A87" s="28" t="s">
        <v>122</v>
      </c>
      <c r="B87" s="28" t="s">
        <v>107</v>
      </c>
      <c r="C87" s="28" t="s">
        <v>1515</v>
      </c>
      <c r="D87" s="29" t="s">
        <v>1467</v>
      </c>
      <c r="E87" s="30" t="s">
        <v>1516</v>
      </c>
      <c r="F87" s="28" t="s">
        <v>123</v>
      </c>
      <c r="G87" s="28" t="s">
        <v>1517</v>
      </c>
      <c r="H87" s="27" t="s">
        <v>1470</v>
      </c>
    </row>
    <row r="88" spans="1:8" s="2" customFormat="1" x14ac:dyDescent="0.25">
      <c r="A88" s="28" t="s">
        <v>122</v>
      </c>
      <c r="B88" s="28" t="s">
        <v>107</v>
      </c>
      <c r="C88" s="28" t="s">
        <v>1515</v>
      </c>
      <c r="D88" s="29" t="s">
        <v>1467</v>
      </c>
      <c r="E88" s="30" t="s">
        <v>1518</v>
      </c>
      <c r="F88" s="28" t="s">
        <v>123</v>
      </c>
      <c r="G88" s="28" t="s">
        <v>1519</v>
      </c>
      <c r="H88" s="27" t="s">
        <v>1470</v>
      </c>
    </row>
    <row r="89" spans="1:8" s="3" customFormat="1" x14ac:dyDescent="0.25">
      <c r="A89" s="28" t="s">
        <v>102</v>
      </c>
      <c r="B89" s="28" t="s">
        <v>103</v>
      </c>
      <c r="C89" s="28" t="s">
        <v>1520</v>
      </c>
      <c r="D89" s="29" t="s">
        <v>1467</v>
      </c>
      <c r="E89" s="30" t="s">
        <v>1521</v>
      </c>
      <c r="F89" s="28" t="s">
        <v>104</v>
      </c>
      <c r="G89" s="28" t="s">
        <v>1522</v>
      </c>
      <c r="H89" s="27" t="s">
        <v>1470</v>
      </c>
    </row>
    <row r="90" spans="1:8" s="2" customFormat="1" x14ac:dyDescent="0.25">
      <c r="A90" s="28" t="s">
        <v>102</v>
      </c>
      <c r="B90" s="28" t="s">
        <v>103</v>
      </c>
      <c r="C90" s="28" t="s">
        <v>1523</v>
      </c>
      <c r="D90" s="29" t="s">
        <v>1467</v>
      </c>
      <c r="E90" s="30" t="s">
        <v>1524</v>
      </c>
      <c r="F90" s="28" t="s">
        <v>8</v>
      </c>
      <c r="G90" s="28" t="s">
        <v>1525</v>
      </c>
      <c r="H90" s="27" t="s">
        <v>1470</v>
      </c>
    </row>
    <row r="91" spans="1:8" s="3" customFormat="1" x14ac:dyDescent="0.25">
      <c r="A91" s="28" t="s">
        <v>122</v>
      </c>
      <c r="B91" s="28" t="s">
        <v>107</v>
      </c>
      <c r="C91" s="28" t="s">
        <v>1526</v>
      </c>
      <c r="D91" s="29" t="s">
        <v>1467</v>
      </c>
      <c r="E91" s="30" t="s">
        <v>1527</v>
      </c>
      <c r="F91" s="28" t="s">
        <v>123</v>
      </c>
      <c r="G91" s="28" t="s">
        <v>1528</v>
      </c>
      <c r="H91" s="27" t="s">
        <v>1470</v>
      </c>
    </row>
    <row r="92" spans="1:8" s="2" customFormat="1" x14ac:dyDescent="0.25">
      <c r="A92" s="28" t="s">
        <v>122</v>
      </c>
      <c r="B92" s="28" t="s">
        <v>107</v>
      </c>
      <c r="C92" s="28" t="s">
        <v>1526</v>
      </c>
      <c r="D92" s="29" t="s">
        <v>1467</v>
      </c>
      <c r="E92" s="30" t="s">
        <v>1529</v>
      </c>
      <c r="F92" s="28" t="s">
        <v>123</v>
      </c>
      <c r="G92" s="28" t="s">
        <v>1530</v>
      </c>
      <c r="H92" s="27" t="s">
        <v>1470</v>
      </c>
    </row>
    <row r="93" spans="1:8" s="3" customFormat="1" x14ac:dyDescent="0.25">
      <c r="A93" s="28" t="s">
        <v>122</v>
      </c>
      <c r="B93" s="28" t="s">
        <v>107</v>
      </c>
      <c r="C93" s="28" t="s">
        <v>1531</v>
      </c>
      <c r="D93" s="29" t="s">
        <v>1467</v>
      </c>
      <c r="E93" s="30" t="s">
        <v>1532</v>
      </c>
      <c r="F93" s="28" t="s">
        <v>123</v>
      </c>
      <c r="G93" s="28" t="s">
        <v>1533</v>
      </c>
      <c r="H93" s="27" t="s">
        <v>1470</v>
      </c>
    </row>
    <row r="94" spans="1:8" s="2" customFormat="1" x14ac:dyDescent="0.25">
      <c r="A94" s="28" t="s">
        <v>116</v>
      </c>
      <c r="B94" s="28" t="s">
        <v>117</v>
      </c>
      <c r="C94" s="28" t="s">
        <v>1534</v>
      </c>
      <c r="D94" s="29" t="s">
        <v>1467</v>
      </c>
      <c r="E94" s="30" t="s">
        <v>1535</v>
      </c>
      <c r="F94" s="28" t="s">
        <v>118</v>
      </c>
      <c r="G94" s="28" t="s">
        <v>1536</v>
      </c>
      <c r="H94" s="27" t="s">
        <v>1470</v>
      </c>
    </row>
    <row r="95" spans="1:8" s="3" customFormat="1" x14ac:dyDescent="0.25">
      <c r="A95" s="28" t="s">
        <v>122</v>
      </c>
      <c r="B95" s="28" t="s">
        <v>107</v>
      </c>
      <c r="C95" s="28" t="s">
        <v>1531</v>
      </c>
      <c r="D95" s="29" t="s">
        <v>1467</v>
      </c>
      <c r="E95" s="30" t="s">
        <v>1537</v>
      </c>
      <c r="F95" s="28" t="s">
        <v>123</v>
      </c>
      <c r="G95" s="28" t="s">
        <v>1538</v>
      </c>
      <c r="H95" s="27" t="s">
        <v>1470</v>
      </c>
    </row>
    <row r="96" spans="1:8" s="2" customFormat="1" x14ac:dyDescent="0.25">
      <c r="A96" s="28" t="s">
        <v>122</v>
      </c>
      <c r="B96" s="28" t="s">
        <v>107</v>
      </c>
      <c r="C96" s="28" t="s">
        <v>1531</v>
      </c>
      <c r="D96" s="29" t="s">
        <v>1467</v>
      </c>
      <c r="E96" s="30" t="s">
        <v>1539</v>
      </c>
      <c r="F96" s="28" t="s">
        <v>123</v>
      </c>
      <c r="G96" s="28" t="s">
        <v>1540</v>
      </c>
      <c r="H96" s="27" t="s">
        <v>1470</v>
      </c>
    </row>
    <row r="97" spans="1:8" s="3" customFormat="1" x14ac:dyDescent="0.25">
      <c r="A97" s="28" t="s">
        <v>122</v>
      </c>
      <c r="B97" s="28" t="s">
        <v>107</v>
      </c>
      <c r="C97" s="28" t="s">
        <v>1541</v>
      </c>
      <c r="D97" s="29" t="s">
        <v>1467</v>
      </c>
      <c r="E97" s="30" t="s">
        <v>1542</v>
      </c>
      <c r="F97" s="28" t="s">
        <v>123</v>
      </c>
      <c r="G97" s="28" t="s">
        <v>1543</v>
      </c>
      <c r="H97" s="27" t="s">
        <v>1470</v>
      </c>
    </row>
    <row r="98" spans="1:8" s="2" customFormat="1" x14ac:dyDescent="0.25">
      <c r="A98" s="28" t="s">
        <v>122</v>
      </c>
      <c r="B98" s="28" t="s">
        <v>107</v>
      </c>
      <c r="C98" s="28" t="s">
        <v>1544</v>
      </c>
      <c r="D98" s="29" t="s">
        <v>1467</v>
      </c>
      <c r="E98" s="30" t="s">
        <v>1545</v>
      </c>
      <c r="F98" s="28" t="s">
        <v>123</v>
      </c>
      <c r="G98" s="28" t="s">
        <v>1546</v>
      </c>
      <c r="H98" s="27" t="s">
        <v>1470</v>
      </c>
    </row>
    <row r="99" spans="1:8" s="3" customFormat="1" x14ac:dyDescent="0.25">
      <c r="A99" s="28" t="s">
        <v>102</v>
      </c>
      <c r="B99" s="28" t="s">
        <v>103</v>
      </c>
      <c r="C99" s="28" t="s">
        <v>1547</v>
      </c>
      <c r="D99" s="29" t="s">
        <v>1467</v>
      </c>
      <c r="E99" s="30" t="s">
        <v>1548</v>
      </c>
      <c r="F99" s="28" t="s">
        <v>104</v>
      </c>
      <c r="G99" s="28" t="s">
        <v>1549</v>
      </c>
      <c r="H99" s="27" t="s">
        <v>1470</v>
      </c>
    </row>
    <row r="100" spans="1:8" s="2" customFormat="1" x14ac:dyDescent="0.25">
      <c r="A100" s="28" t="s">
        <v>102</v>
      </c>
      <c r="B100" s="28" t="s">
        <v>103</v>
      </c>
      <c r="C100" s="28" t="s">
        <v>1550</v>
      </c>
      <c r="D100" s="29" t="s">
        <v>1467</v>
      </c>
      <c r="E100" s="30" t="s">
        <v>1551</v>
      </c>
      <c r="F100" s="28" t="s">
        <v>8</v>
      </c>
      <c r="G100" s="28" t="s">
        <v>1552</v>
      </c>
      <c r="H100" s="27" t="s">
        <v>1470</v>
      </c>
    </row>
    <row r="101" spans="1:8" s="3" customFormat="1" x14ac:dyDescent="0.25">
      <c r="A101" s="28" t="s">
        <v>122</v>
      </c>
      <c r="B101" s="28" t="s">
        <v>107</v>
      </c>
      <c r="C101" s="28" t="s">
        <v>1553</v>
      </c>
      <c r="D101" s="29" t="s">
        <v>1467</v>
      </c>
      <c r="E101" s="30" t="s">
        <v>1554</v>
      </c>
      <c r="F101" s="28" t="s">
        <v>123</v>
      </c>
      <c r="G101" s="28" t="s">
        <v>1555</v>
      </c>
      <c r="H101" s="27" t="s">
        <v>1470</v>
      </c>
    </row>
    <row r="102" spans="1:8" s="2" customFormat="1" x14ac:dyDescent="0.25">
      <c r="A102" s="28" t="s">
        <v>122</v>
      </c>
      <c r="B102" s="28" t="s">
        <v>107</v>
      </c>
      <c r="C102" s="28" t="s">
        <v>1553</v>
      </c>
      <c r="D102" s="29" t="s">
        <v>1467</v>
      </c>
      <c r="E102" s="30" t="s">
        <v>1556</v>
      </c>
      <c r="F102" s="28" t="s">
        <v>123</v>
      </c>
      <c r="G102" s="28" t="s">
        <v>1557</v>
      </c>
      <c r="H102" s="27" t="s">
        <v>1470</v>
      </c>
    </row>
    <row r="103" spans="1:8" s="3" customFormat="1" x14ac:dyDescent="0.25">
      <c r="A103" s="28" t="s">
        <v>122</v>
      </c>
      <c r="B103" s="28" t="s">
        <v>107</v>
      </c>
      <c r="C103" s="28" t="s">
        <v>1553</v>
      </c>
      <c r="D103" s="29" t="s">
        <v>1467</v>
      </c>
      <c r="E103" s="30" t="s">
        <v>1558</v>
      </c>
      <c r="F103" s="28" t="s">
        <v>123</v>
      </c>
      <c r="G103" s="28" t="s">
        <v>1559</v>
      </c>
      <c r="H103" s="27" t="s">
        <v>1470</v>
      </c>
    </row>
    <row r="104" spans="1:8" s="2" customFormat="1" x14ac:dyDescent="0.25">
      <c r="A104" s="28" t="s">
        <v>122</v>
      </c>
      <c r="B104" s="28" t="s">
        <v>107</v>
      </c>
      <c r="C104" s="28" t="s">
        <v>1560</v>
      </c>
      <c r="D104" s="29" t="s">
        <v>1467</v>
      </c>
      <c r="E104" s="30" t="s">
        <v>1561</v>
      </c>
      <c r="F104" s="28" t="s">
        <v>123</v>
      </c>
      <c r="G104" s="28" t="s">
        <v>1562</v>
      </c>
      <c r="H104" s="27" t="s">
        <v>1470</v>
      </c>
    </row>
    <row r="105" spans="1:8" s="3" customFormat="1" x14ac:dyDescent="0.25">
      <c r="A105" s="28" t="s">
        <v>102</v>
      </c>
      <c r="B105" s="28" t="s">
        <v>103</v>
      </c>
      <c r="C105" s="28" t="s">
        <v>1563</v>
      </c>
      <c r="D105" s="29" t="s">
        <v>1467</v>
      </c>
      <c r="E105" s="30" t="s">
        <v>1564</v>
      </c>
      <c r="F105" s="28" t="s">
        <v>104</v>
      </c>
      <c r="G105" s="28" t="s">
        <v>1565</v>
      </c>
      <c r="H105" s="27" t="s">
        <v>1470</v>
      </c>
    </row>
    <row r="106" spans="1:8" s="2" customFormat="1" x14ac:dyDescent="0.25">
      <c r="A106" s="28" t="s">
        <v>102</v>
      </c>
      <c r="B106" s="28" t="s">
        <v>103</v>
      </c>
      <c r="C106" s="28" t="s">
        <v>1566</v>
      </c>
      <c r="D106" s="29" t="s">
        <v>1467</v>
      </c>
      <c r="E106" s="30" t="s">
        <v>1567</v>
      </c>
      <c r="F106" s="28" t="s">
        <v>8</v>
      </c>
      <c r="G106" s="28" t="s">
        <v>1568</v>
      </c>
      <c r="H106" s="27" t="s">
        <v>1470</v>
      </c>
    </row>
    <row r="107" spans="1:8" s="3" customFormat="1" x14ac:dyDescent="0.25">
      <c r="A107" s="28" t="s">
        <v>102</v>
      </c>
      <c r="B107" s="28" t="s">
        <v>103</v>
      </c>
      <c r="C107" s="28" t="s">
        <v>1569</v>
      </c>
      <c r="D107" s="29" t="s">
        <v>1467</v>
      </c>
      <c r="E107" s="30" t="s">
        <v>1570</v>
      </c>
      <c r="F107" s="28" t="s">
        <v>104</v>
      </c>
      <c r="G107" s="28" t="s">
        <v>1571</v>
      </c>
      <c r="H107" s="27" t="s">
        <v>1470</v>
      </c>
    </row>
    <row r="108" spans="1:8" s="2" customFormat="1" x14ac:dyDescent="0.25">
      <c r="A108" s="28" t="s">
        <v>102</v>
      </c>
      <c r="B108" s="28" t="s">
        <v>103</v>
      </c>
      <c r="C108" s="28" t="s">
        <v>1572</v>
      </c>
      <c r="D108" s="29" t="s">
        <v>1467</v>
      </c>
      <c r="E108" s="30" t="s">
        <v>1573</v>
      </c>
      <c r="F108" s="28" t="s">
        <v>8</v>
      </c>
      <c r="G108" s="28" t="s">
        <v>1574</v>
      </c>
      <c r="H108" s="27" t="s">
        <v>1470</v>
      </c>
    </row>
    <row r="109" spans="1:8" s="3" customFormat="1" x14ac:dyDescent="0.25">
      <c r="A109" s="28" t="s">
        <v>102</v>
      </c>
      <c r="B109" s="28" t="s">
        <v>103</v>
      </c>
      <c r="C109" s="28" t="s">
        <v>1569</v>
      </c>
      <c r="D109" s="29" t="s">
        <v>1467</v>
      </c>
      <c r="E109" s="30" t="s">
        <v>1575</v>
      </c>
      <c r="F109" s="28" t="s">
        <v>104</v>
      </c>
      <c r="G109" s="28" t="s">
        <v>1576</v>
      </c>
      <c r="H109" s="27" t="s">
        <v>1470</v>
      </c>
    </row>
    <row r="110" spans="1:8" s="2" customFormat="1" x14ac:dyDescent="0.25">
      <c r="A110" s="28" t="s">
        <v>102</v>
      </c>
      <c r="B110" s="28" t="s">
        <v>103</v>
      </c>
      <c r="C110" s="28" t="s">
        <v>1572</v>
      </c>
      <c r="D110" s="29" t="s">
        <v>1467</v>
      </c>
      <c r="E110" s="30" t="s">
        <v>1577</v>
      </c>
      <c r="F110" s="28" t="s">
        <v>8</v>
      </c>
      <c r="G110" s="28" t="s">
        <v>1578</v>
      </c>
      <c r="H110" s="27" t="s">
        <v>1470</v>
      </c>
    </row>
    <row r="111" spans="1:8" s="3" customFormat="1" x14ac:dyDescent="0.25">
      <c r="A111" s="28" t="s">
        <v>11</v>
      </c>
      <c r="B111" s="28" t="s">
        <v>12</v>
      </c>
      <c r="C111" s="28" t="s">
        <v>1579</v>
      </c>
      <c r="D111" s="29" t="s">
        <v>1467</v>
      </c>
      <c r="E111" s="30" t="s">
        <v>1580</v>
      </c>
      <c r="F111" s="28" t="s">
        <v>8</v>
      </c>
      <c r="G111" s="28" t="s">
        <v>1581</v>
      </c>
      <c r="H111" s="27" t="s">
        <v>1470</v>
      </c>
    </row>
    <row r="112" spans="1:8" s="2" customFormat="1" x14ac:dyDescent="0.25">
      <c r="A112" s="28" t="s">
        <v>14</v>
      </c>
      <c r="B112" s="28" t="s">
        <v>15</v>
      </c>
      <c r="C112" s="28" t="s">
        <v>1582</v>
      </c>
      <c r="D112" s="29" t="s">
        <v>1467</v>
      </c>
      <c r="E112" s="30" t="s">
        <v>1583</v>
      </c>
      <c r="F112" s="28" t="s">
        <v>13</v>
      </c>
      <c r="G112" s="28" t="s">
        <v>1584</v>
      </c>
      <c r="H112" s="27" t="s">
        <v>1470</v>
      </c>
    </row>
    <row r="113" spans="1:8" s="3" customFormat="1" x14ac:dyDescent="0.25">
      <c r="A113" s="28" t="s">
        <v>102</v>
      </c>
      <c r="B113" s="28" t="s">
        <v>103</v>
      </c>
      <c r="C113" s="28" t="s">
        <v>1585</v>
      </c>
      <c r="D113" s="29" t="s">
        <v>1467</v>
      </c>
      <c r="E113" s="30" t="s">
        <v>1586</v>
      </c>
      <c r="F113" s="28" t="s">
        <v>104</v>
      </c>
      <c r="G113" s="28" t="s">
        <v>1587</v>
      </c>
      <c r="H113" s="27" t="s">
        <v>1470</v>
      </c>
    </row>
    <row r="114" spans="1:8" s="2" customFormat="1" x14ac:dyDescent="0.25">
      <c r="A114" s="28" t="s">
        <v>102</v>
      </c>
      <c r="B114" s="28" t="s">
        <v>103</v>
      </c>
      <c r="C114" s="28" t="s">
        <v>1588</v>
      </c>
      <c r="D114" s="29" t="s">
        <v>1467</v>
      </c>
      <c r="E114" s="30" t="s">
        <v>1589</v>
      </c>
      <c r="F114" s="28" t="s">
        <v>8</v>
      </c>
      <c r="G114" s="28" t="s">
        <v>1590</v>
      </c>
      <c r="H114" s="27" t="s">
        <v>1470</v>
      </c>
    </row>
    <row r="115" spans="1:8" s="3" customFormat="1" x14ac:dyDescent="0.25">
      <c r="A115" s="28" t="s">
        <v>1458</v>
      </c>
      <c r="B115" s="28" t="s">
        <v>1459</v>
      </c>
      <c r="C115" s="28" t="s">
        <v>1591</v>
      </c>
      <c r="D115" s="29" t="s">
        <v>1467</v>
      </c>
      <c r="E115" s="30" t="s">
        <v>1592</v>
      </c>
      <c r="F115" s="28" t="s">
        <v>119</v>
      </c>
      <c r="G115" s="28" t="s">
        <v>1593</v>
      </c>
      <c r="H115" s="27" t="s">
        <v>1470</v>
      </c>
    </row>
    <row r="116" spans="1:8" s="2" customFormat="1" x14ac:dyDescent="0.25">
      <c r="A116" s="28" t="s">
        <v>110</v>
      </c>
      <c r="B116" s="28" t="s">
        <v>111</v>
      </c>
      <c r="C116" s="28" t="s">
        <v>1594</v>
      </c>
      <c r="D116" s="29" t="s">
        <v>1595</v>
      </c>
      <c r="E116" s="30" t="s">
        <v>1596</v>
      </c>
      <c r="F116" s="28" t="s">
        <v>112</v>
      </c>
      <c r="G116" s="28" t="s">
        <v>1597</v>
      </c>
      <c r="H116" s="27" t="s">
        <v>1598</v>
      </c>
    </row>
    <row r="117" spans="1:8" s="3" customFormat="1" x14ac:dyDescent="0.25">
      <c r="A117" s="28" t="s">
        <v>1336</v>
      </c>
      <c r="B117" s="28" t="s">
        <v>410</v>
      </c>
      <c r="C117" s="28" t="s">
        <v>1599</v>
      </c>
      <c r="D117" s="29" t="s">
        <v>1595</v>
      </c>
      <c r="E117" s="30" t="s">
        <v>1600</v>
      </c>
      <c r="F117" s="28" t="s">
        <v>1338</v>
      </c>
      <c r="G117" s="28" t="s">
        <v>1601</v>
      </c>
      <c r="H117" s="27" t="s">
        <v>1598</v>
      </c>
    </row>
    <row r="118" spans="1:8" s="2" customFormat="1" x14ac:dyDescent="0.25">
      <c r="A118" s="28" t="s">
        <v>102</v>
      </c>
      <c r="B118" s="28" t="s">
        <v>103</v>
      </c>
      <c r="C118" s="28" t="s">
        <v>1602</v>
      </c>
      <c r="D118" s="29" t="s">
        <v>1595</v>
      </c>
      <c r="E118" s="30" t="s">
        <v>1603</v>
      </c>
      <c r="F118" s="28" t="s">
        <v>104</v>
      </c>
      <c r="G118" s="28" t="s">
        <v>1604</v>
      </c>
      <c r="H118" s="27" t="s">
        <v>1598</v>
      </c>
    </row>
    <row r="119" spans="1:8" s="3" customFormat="1" x14ac:dyDescent="0.25">
      <c r="A119" s="28" t="s">
        <v>102</v>
      </c>
      <c r="B119" s="28" t="s">
        <v>103</v>
      </c>
      <c r="C119" s="28" t="s">
        <v>1605</v>
      </c>
      <c r="D119" s="29" t="s">
        <v>1595</v>
      </c>
      <c r="E119" s="30" t="s">
        <v>1606</v>
      </c>
      <c r="F119" s="28" t="s">
        <v>8</v>
      </c>
      <c r="G119" s="28" t="s">
        <v>1607</v>
      </c>
      <c r="H119" s="27" t="s">
        <v>1598</v>
      </c>
    </row>
    <row r="120" spans="1:8" s="2" customFormat="1" x14ac:dyDescent="0.25">
      <c r="A120" s="28" t="s">
        <v>110</v>
      </c>
      <c r="B120" s="28" t="s">
        <v>115</v>
      </c>
      <c r="C120" s="28" t="s">
        <v>1608</v>
      </c>
      <c r="D120" s="29" t="s">
        <v>1595</v>
      </c>
      <c r="E120" s="30" t="s">
        <v>1609</v>
      </c>
      <c r="F120" s="28" t="s">
        <v>112</v>
      </c>
      <c r="G120" s="28" t="s">
        <v>1610</v>
      </c>
      <c r="H120" s="27" t="s">
        <v>1598</v>
      </c>
    </row>
    <row r="121" spans="1:8" s="3" customFormat="1" x14ac:dyDescent="0.25">
      <c r="A121" s="28" t="s">
        <v>120</v>
      </c>
      <c r="B121" s="28" t="s">
        <v>410</v>
      </c>
      <c r="C121" s="28" t="s">
        <v>1611</v>
      </c>
      <c r="D121" s="29" t="s">
        <v>1595</v>
      </c>
      <c r="E121" s="30" t="s">
        <v>1612</v>
      </c>
      <c r="F121" s="28" t="s">
        <v>121</v>
      </c>
      <c r="G121" s="28" t="s">
        <v>1613</v>
      </c>
      <c r="H121" s="27" t="s">
        <v>1598</v>
      </c>
    </row>
    <row r="122" spans="1:8" s="2" customFormat="1" x14ac:dyDescent="0.25">
      <c r="A122" s="28" t="s">
        <v>11</v>
      </c>
      <c r="B122" s="28" t="s">
        <v>12</v>
      </c>
      <c r="C122" s="28" t="s">
        <v>1614</v>
      </c>
      <c r="D122" s="29" t="s">
        <v>1595</v>
      </c>
      <c r="E122" s="30" t="s">
        <v>1615</v>
      </c>
      <c r="F122" s="28" t="s">
        <v>104</v>
      </c>
      <c r="G122" s="28" t="s">
        <v>1616</v>
      </c>
      <c r="H122" s="27" t="s">
        <v>1598</v>
      </c>
    </row>
    <row r="123" spans="1:8" s="3" customFormat="1" x14ac:dyDescent="0.25">
      <c r="A123" s="28" t="s">
        <v>1617</v>
      </c>
      <c r="B123" s="28" t="s">
        <v>1618</v>
      </c>
      <c r="C123" s="28" t="s">
        <v>1619</v>
      </c>
      <c r="D123" s="29" t="s">
        <v>1595</v>
      </c>
      <c r="E123" s="30" t="s">
        <v>1620</v>
      </c>
      <c r="F123" s="28" t="s">
        <v>1621</v>
      </c>
      <c r="G123" s="28" t="s">
        <v>1622</v>
      </c>
      <c r="H123" s="27" t="s">
        <v>1598</v>
      </c>
    </row>
    <row r="124" spans="1:8" s="2" customFormat="1" x14ac:dyDescent="0.25">
      <c r="A124" s="28" t="s">
        <v>102</v>
      </c>
      <c r="B124" s="28" t="s">
        <v>103</v>
      </c>
      <c r="C124" s="28" t="s">
        <v>1623</v>
      </c>
      <c r="D124" s="29" t="s">
        <v>1595</v>
      </c>
      <c r="E124" s="30" t="s">
        <v>1624</v>
      </c>
      <c r="F124" s="28" t="s">
        <v>104</v>
      </c>
      <c r="G124" s="28" t="s">
        <v>1625</v>
      </c>
      <c r="H124" s="27" t="s">
        <v>1598</v>
      </c>
    </row>
    <row r="125" spans="1:8" s="3" customFormat="1" x14ac:dyDescent="0.25">
      <c r="A125" s="28" t="s">
        <v>102</v>
      </c>
      <c r="B125" s="28" t="s">
        <v>103</v>
      </c>
      <c r="C125" s="28" t="s">
        <v>1626</v>
      </c>
      <c r="D125" s="29" t="s">
        <v>1595</v>
      </c>
      <c r="E125" s="30" t="s">
        <v>1627</v>
      </c>
      <c r="F125" s="28" t="s">
        <v>8</v>
      </c>
      <c r="G125" s="28" t="s">
        <v>1628</v>
      </c>
      <c r="H125" s="27" t="s">
        <v>1598</v>
      </c>
    </row>
    <row r="126" spans="1:8" s="2" customFormat="1" x14ac:dyDescent="0.25">
      <c r="A126" s="28" t="s">
        <v>1617</v>
      </c>
      <c r="B126" s="28" t="s">
        <v>1629</v>
      </c>
      <c r="C126" s="28" t="s">
        <v>1630</v>
      </c>
      <c r="D126" s="29" t="s">
        <v>1595</v>
      </c>
      <c r="E126" s="30" t="s">
        <v>1631</v>
      </c>
      <c r="F126" s="28" t="s">
        <v>1621</v>
      </c>
      <c r="G126" s="28" t="s">
        <v>1632</v>
      </c>
      <c r="H126" s="27" t="s">
        <v>1598</v>
      </c>
    </row>
    <row r="127" spans="1:8" s="3" customFormat="1" x14ac:dyDescent="0.25">
      <c r="A127" s="28" t="s">
        <v>1617</v>
      </c>
      <c r="B127" s="28" t="s">
        <v>1618</v>
      </c>
      <c r="C127" s="28" t="s">
        <v>1633</v>
      </c>
      <c r="D127" s="29" t="s">
        <v>1595</v>
      </c>
      <c r="E127" s="30" t="s">
        <v>1634</v>
      </c>
      <c r="F127" s="28" t="s">
        <v>1621</v>
      </c>
      <c r="G127" s="28" t="s">
        <v>1635</v>
      </c>
      <c r="H127" s="27" t="s">
        <v>1598</v>
      </c>
    </row>
    <row r="128" spans="1:8" s="2" customFormat="1" x14ac:dyDescent="0.25">
      <c r="A128" s="28" t="s">
        <v>1617</v>
      </c>
      <c r="B128" s="28" t="s">
        <v>1629</v>
      </c>
      <c r="C128" s="28" t="s">
        <v>1630</v>
      </c>
      <c r="D128" s="29" t="s">
        <v>1595</v>
      </c>
      <c r="E128" s="30" t="s">
        <v>1636</v>
      </c>
      <c r="F128" s="28" t="s">
        <v>1621</v>
      </c>
      <c r="G128" s="28" t="s">
        <v>1637</v>
      </c>
      <c r="H128" s="27" t="s">
        <v>1598</v>
      </c>
    </row>
    <row r="129" spans="1:8" s="3" customFormat="1" x14ac:dyDescent="0.25">
      <c r="A129" s="28" t="s">
        <v>102</v>
      </c>
      <c r="B129" s="28" t="s">
        <v>103</v>
      </c>
      <c r="C129" s="28" t="s">
        <v>1638</v>
      </c>
      <c r="D129" s="29" t="s">
        <v>1595</v>
      </c>
      <c r="E129" s="30" t="s">
        <v>1639</v>
      </c>
      <c r="F129" s="28" t="s">
        <v>104</v>
      </c>
      <c r="G129" s="28" t="s">
        <v>1640</v>
      </c>
      <c r="H129" s="27" t="s">
        <v>1598</v>
      </c>
    </row>
    <row r="130" spans="1:8" s="2" customFormat="1" x14ac:dyDescent="0.25">
      <c r="A130" s="28" t="s">
        <v>102</v>
      </c>
      <c r="B130" s="28" t="s">
        <v>103</v>
      </c>
      <c r="C130" s="28" t="s">
        <v>1641</v>
      </c>
      <c r="D130" s="29" t="s">
        <v>1595</v>
      </c>
      <c r="E130" s="30" t="s">
        <v>1642</v>
      </c>
      <c r="F130" s="28" t="s">
        <v>8</v>
      </c>
      <c r="G130" s="28" t="s">
        <v>1643</v>
      </c>
      <c r="H130" s="27" t="s">
        <v>1598</v>
      </c>
    </row>
    <row r="131" spans="1:8" s="3" customFormat="1" x14ac:dyDescent="0.25">
      <c r="A131" s="28" t="s">
        <v>102</v>
      </c>
      <c r="B131" s="28" t="s">
        <v>103</v>
      </c>
      <c r="C131" s="28" t="s">
        <v>1644</v>
      </c>
      <c r="D131" s="29" t="s">
        <v>1595</v>
      </c>
      <c r="E131" s="30" t="s">
        <v>1645</v>
      </c>
      <c r="F131" s="28" t="s">
        <v>104</v>
      </c>
      <c r="G131" s="28" t="s">
        <v>1646</v>
      </c>
      <c r="H131" s="27" t="s">
        <v>1598</v>
      </c>
    </row>
    <row r="132" spans="1:8" s="2" customFormat="1" x14ac:dyDescent="0.25">
      <c r="A132" s="28" t="s">
        <v>102</v>
      </c>
      <c r="B132" s="28" t="s">
        <v>103</v>
      </c>
      <c r="C132" s="28" t="s">
        <v>1647</v>
      </c>
      <c r="D132" s="29" t="s">
        <v>1595</v>
      </c>
      <c r="E132" s="30" t="s">
        <v>1648</v>
      </c>
      <c r="F132" s="28" t="s">
        <v>8</v>
      </c>
      <c r="G132" s="28" t="s">
        <v>1649</v>
      </c>
      <c r="H132" s="27" t="s">
        <v>1598</v>
      </c>
    </row>
    <row r="133" spans="1:8" s="3" customFormat="1" x14ac:dyDescent="0.25">
      <c r="A133" s="28" t="s">
        <v>116</v>
      </c>
      <c r="B133" s="28" t="s">
        <v>117</v>
      </c>
      <c r="C133" s="28" t="s">
        <v>1650</v>
      </c>
      <c r="D133" s="29" t="s">
        <v>1595</v>
      </c>
      <c r="E133" s="30" t="s">
        <v>1651</v>
      </c>
      <c r="F133" s="28" t="s">
        <v>118</v>
      </c>
      <c r="G133" s="28" t="s">
        <v>1652</v>
      </c>
      <c r="H133" s="27" t="s">
        <v>1598</v>
      </c>
    </row>
    <row r="134" spans="1:8" s="2" customFormat="1" x14ac:dyDescent="0.25">
      <c r="A134" s="28" t="s">
        <v>102</v>
      </c>
      <c r="B134" s="28" t="s">
        <v>103</v>
      </c>
      <c r="C134" s="28" t="s">
        <v>1653</v>
      </c>
      <c r="D134" s="29" t="s">
        <v>1595</v>
      </c>
      <c r="E134" s="30" t="s">
        <v>1654</v>
      </c>
      <c r="F134" s="28" t="s">
        <v>104</v>
      </c>
      <c r="G134" s="28" t="s">
        <v>1655</v>
      </c>
      <c r="H134" s="27" t="s">
        <v>1598</v>
      </c>
    </row>
    <row r="135" spans="1:8" s="3" customFormat="1" x14ac:dyDescent="0.25">
      <c r="A135" s="28" t="s">
        <v>102</v>
      </c>
      <c r="B135" s="28" t="s">
        <v>103</v>
      </c>
      <c r="C135" s="28" t="s">
        <v>1656</v>
      </c>
      <c r="D135" s="29" t="s">
        <v>1595</v>
      </c>
      <c r="E135" s="30" t="s">
        <v>1657</v>
      </c>
      <c r="F135" s="28" t="s">
        <v>8</v>
      </c>
      <c r="G135" s="28" t="s">
        <v>1658</v>
      </c>
      <c r="H135" s="27" t="s">
        <v>1598</v>
      </c>
    </row>
    <row r="136" spans="1:8" s="2" customFormat="1" x14ac:dyDescent="0.25">
      <c r="A136" s="28" t="s">
        <v>102</v>
      </c>
      <c r="B136" s="28" t="s">
        <v>103</v>
      </c>
      <c r="C136" s="28" t="s">
        <v>1659</v>
      </c>
      <c r="D136" s="29" t="s">
        <v>1595</v>
      </c>
      <c r="E136" s="30" t="s">
        <v>1660</v>
      </c>
      <c r="F136" s="28" t="s">
        <v>104</v>
      </c>
      <c r="G136" s="28" t="s">
        <v>1661</v>
      </c>
      <c r="H136" s="27" t="s">
        <v>1598</v>
      </c>
    </row>
    <row r="137" spans="1:8" s="3" customFormat="1" x14ac:dyDescent="0.25">
      <c r="A137" s="28" t="s">
        <v>102</v>
      </c>
      <c r="B137" s="28" t="s">
        <v>103</v>
      </c>
      <c r="C137" s="28" t="s">
        <v>1662</v>
      </c>
      <c r="D137" s="29" t="s">
        <v>1595</v>
      </c>
      <c r="E137" s="30" t="s">
        <v>1663</v>
      </c>
      <c r="F137" s="28" t="s">
        <v>8</v>
      </c>
      <c r="G137" s="28" t="s">
        <v>1664</v>
      </c>
      <c r="H137" s="27" t="s">
        <v>1598</v>
      </c>
    </row>
    <row r="138" spans="1:8" s="2" customFormat="1" x14ac:dyDescent="0.25">
      <c r="A138" s="28" t="s">
        <v>102</v>
      </c>
      <c r="B138" s="28" t="s">
        <v>103</v>
      </c>
      <c r="C138" s="28" t="s">
        <v>1665</v>
      </c>
      <c r="D138" s="29" t="s">
        <v>1595</v>
      </c>
      <c r="E138" s="30" t="s">
        <v>1666</v>
      </c>
      <c r="F138" s="28" t="s">
        <v>104</v>
      </c>
      <c r="G138" s="28" t="s">
        <v>1667</v>
      </c>
      <c r="H138" s="27" t="s">
        <v>1598</v>
      </c>
    </row>
    <row r="139" spans="1:8" s="3" customFormat="1" x14ac:dyDescent="0.25">
      <c r="A139" s="28" t="s">
        <v>102</v>
      </c>
      <c r="B139" s="28" t="s">
        <v>103</v>
      </c>
      <c r="C139" s="28" t="s">
        <v>1668</v>
      </c>
      <c r="D139" s="29" t="s">
        <v>1595</v>
      </c>
      <c r="E139" s="30" t="s">
        <v>1669</v>
      </c>
      <c r="F139" s="28" t="s">
        <v>8</v>
      </c>
      <c r="G139" s="28" t="s">
        <v>1670</v>
      </c>
      <c r="H139" s="27" t="s">
        <v>1598</v>
      </c>
    </row>
    <row r="140" spans="1:8" s="2" customFormat="1" x14ac:dyDescent="0.25">
      <c r="A140" s="28" t="s">
        <v>1671</v>
      </c>
      <c r="B140" s="28" t="s">
        <v>107</v>
      </c>
      <c r="C140" s="28" t="s">
        <v>1672</v>
      </c>
      <c r="D140" s="29" t="s">
        <v>1595</v>
      </c>
      <c r="E140" s="30" t="s">
        <v>1673</v>
      </c>
      <c r="F140" s="28" t="s">
        <v>1343</v>
      </c>
      <c r="G140" s="28" t="s">
        <v>1674</v>
      </c>
      <c r="H140" s="27" t="s">
        <v>1598</v>
      </c>
    </row>
    <row r="141" spans="1:8" s="3" customFormat="1" x14ac:dyDescent="0.25">
      <c r="A141" s="28" t="s">
        <v>102</v>
      </c>
      <c r="B141" s="28" t="s">
        <v>103</v>
      </c>
      <c r="C141" s="28" t="s">
        <v>1665</v>
      </c>
      <c r="D141" s="29" t="s">
        <v>1595</v>
      </c>
      <c r="E141" s="30" t="s">
        <v>1675</v>
      </c>
      <c r="F141" s="28" t="s">
        <v>104</v>
      </c>
      <c r="G141" s="28" t="s">
        <v>1676</v>
      </c>
      <c r="H141" s="27" t="s">
        <v>1598</v>
      </c>
    </row>
    <row r="142" spans="1:8" s="2" customFormat="1" x14ac:dyDescent="0.25">
      <c r="A142" s="28" t="s">
        <v>102</v>
      </c>
      <c r="B142" s="28" t="s">
        <v>103</v>
      </c>
      <c r="C142" s="28" t="s">
        <v>1668</v>
      </c>
      <c r="D142" s="29" t="s">
        <v>1595</v>
      </c>
      <c r="E142" s="30" t="s">
        <v>1677</v>
      </c>
      <c r="F142" s="28" t="s">
        <v>8</v>
      </c>
      <c r="G142" s="28" t="s">
        <v>1678</v>
      </c>
      <c r="H142" s="27" t="s">
        <v>1598</v>
      </c>
    </row>
    <row r="143" spans="1:8" s="3" customFormat="1" x14ac:dyDescent="0.25">
      <c r="A143" s="28" t="s">
        <v>574</v>
      </c>
      <c r="B143" s="28" t="s">
        <v>1414</v>
      </c>
      <c r="C143" s="28" t="s">
        <v>1679</v>
      </c>
      <c r="D143" s="29" t="s">
        <v>1595</v>
      </c>
      <c r="E143" s="30" t="s">
        <v>1680</v>
      </c>
      <c r="F143" s="28" t="s">
        <v>578</v>
      </c>
      <c r="G143" s="28" t="s">
        <v>1681</v>
      </c>
      <c r="H143" s="27" t="s">
        <v>1598</v>
      </c>
    </row>
    <row r="144" spans="1:8" s="2" customFormat="1" x14ac:dyDescent="0.25">
      <c r="A144" s="28" t="s">
        <v>1617</v>
      </c>
      <c r="B144" s="28" t="s">
        <v>1629</v>
      </c>
      <c r="C144" s="28" t="s">
        <v>1682</v>
      </c>
      <c r="D144" s="29" t="s">
        <v>1595</v>
      </c>
      <c r="E144" s="30" t="s">
        <v>1683</v>
      </c>
      <c r="F144" s="28" t="s">
        <v>1621</v>
      </c>
      <c r="G144" s="28" t="s">
        <v>1684</v>
      </c>
      <c r="H144" s="27" t="s">
        <v>1598</v>
      </c>
    </row>
    <row r="145" spans="1:8" s="3" customFormat="1" x14ac:dyDescent="0.25">
      <c r="A145" s="28" t="s">
        <v>1617</v>
      </c>
      <c r="B145" s="28" t="s">
        <v>1618</v>
      </c>
      <c r="C145" s="28" t="s">
        <v>1685</v>
      </c>
      <c r="D145" s="29" t="s">
        <v>1595</v>
      </c>
      <c r="E145" s="30" t="s">
        <v>1686</v>
      </c>
      <c r="F145" s="28" t="s">
        <v>1621</v>
      </c>
      <c r="G145" s="28" t="s">
        <v>1687</v>
      </c>
      <c r="H145" s="27" t="s">
        <v>1598</v>
      </c>
    </row>
    <row r="146" spans="1:8" s="2" customFormat="1" x14ac:dyDescent="0.25">
      <c r="A146" s="28" t="s">
        <v>11</v>
      </c>
      <c r="B146" s="28" t="s">
        <v>12</v>
      </c>
      <c r="C146" s="28" t="s">
        <v>1688</v>
      </c>
      <c r="D146" s="29" t="s">
        <v>1595</v>
      </c>
      <c r="E146" s="30" t="s">
        <v>1689</v>
      </c>
      <c r="F146" s="28" t="s">
        <v>8</v>
      </c>
      <c r="G146" s="28" t="s">
        <v>1690</v>
      </c>
      <c r="H146" s="27" t="s">
        <v>1598</v>
      </c>
    </row>
    <row r="147" spans="1:8" s="3" customFormat="1" x14ac:dyDescent="0.25">
      <c r="A147" s="28" t="s">
        <v>574</v>
      </c>
      <c r="B147" s="28" t="s">
        <v>575</v>
      </c>
      <c r="C147" s="28" t="s">
        <v>1691</v>
      </c>
      <c r="D147" s="29" t="s">
        <v>1595</v>
      </c>
      <c r="E147" s="30" t="s">
        <v>1692</v>
      </c>
      <c r="F147" s="28" t="s">
        <v>578</v>
      </c>
      <c r="G147" s="28" t="s">
        <v>1693</v>
      </c>
      <c r="H147" s="27" t="s">
        <v>1598</v>
      </c>
    </row>
    <row r="148" spans="1:8" s="2" customFormat="1" x14ac:dyDescent="0.25">
      <c r="A148" s="28" t="s">
        <v>102</v>
      </c>
      <c r="B148" s="28" t="s">
        <v>103</v>
      </c>
      <c r="C148" s="28" t="s">
        <v>1694</v>
      </c>
      <c r="D148" s="29" t="s">
        <v>1595</v>
      </c>
      <c r="E148" s="30" t="s">
        <v>1695</v>
      </c>
      <c r="F148" s="28" t="s">
        <v>104</v>
      </c>
      <c r="G148" s="28" t="s">
        <v>1696</v>
      </c>
      <c r="H148" s="27" t="s">
        <v>1598</v>
      </c>
    </row>
    <row r="149" spans="1:8" s="3" customFormat="1" x14ac:dyDescent="0.25">
      <c r="A149" s="28" t="s">
        <v>102</v>
      </c>
      <c r="B149" s="28" t="s">
        <v>103</v>
      </c>
      <c r="C149" s="28" t="s">
        <v>1697</v>
      </c>
      <c r="D149" s="29" t="s">
        <v>1595</v>
      </c>
      <c r="E149" s="30" t="s">
        <v>1698</v>
      </c>
      <c r="F149" s="28" t="s">
        <v>8</v>
      </c>
      <c r="G149" s="28" t="s">
        <v>1699</v>
      </c>
      <c r="H149" s="27" t="s">
        <v>1598</v>
      </c>
    </row>
    <row r="150" spans="1:8" s="2" customFormat="1" x14ac:dyDescent="0.25">
      <c r="A150" s="28" t="s">
        <v>1700</v>
      </c>
      <c r="B150" s="28" t="s">
        <v>107</v>
      </c>
      <c r="C150" s="28" t="s">
        <v>1701</v>
      </c>
      <c r="D150" s="29" t="s">
        <v>1702</v>
      </c>
      <c r="E150" s="30" t="s">
        <v>1703</v>
      </c>
      <c r="F150" s="28" t="s">
        <v>957</v>
      </c>
      <c r="G150" s="28" t="s">
        <v>1704</v>
      </c>
      <c r="H150" s="27" t="s">
        <v>1598</v>
      </c>
    </row>
    <row r="151" spans="1:8" s="3" customFormat="1" x14ac:dyDescent="0.25">
      <c r="A151" s="28" t="s">
        <v>1705</v>
      </c>
      <c r="B151" s="28" t="s">
        <v>105</v>
      </c>
      <c r="C151" s="28" t="s">
        <v>1706</v>
      </c>
      <c r="D151" s="29" t="s">
        <v>1595</v>
      </c>
      <c r="E151" s="30" t="s">
        <v>1707</v>
      </c>
      <c r="F151" s="28" t="s">
        <v>1708</v>
      </c>
      <c r="G151" s="28" t="s">
        <v>1709</v>
      </c>
      <c r="H151" s="27" t="s">
        <v>1598</v>
      </c>
    </row>
    <row r="152" spans="1:8" s="2" customFormat="1" x14ac:dyDescent="0.25">
      <c r="A152" s="28" t="s">
        <v>414</v>
      </c>
      <c r="B152" s="28" t="s">
        <v>107</v>
      </c>
      <c r="C152" s="28" t="s">
        <v>1710</v>
      </c>
      <c r="D152" s="29" t="s">
        <v>1702</v>
      </c>
      <c r="E152" s="30" t="s">
        <v>1711</v>
      </c>
      <c r="F152" s="28" t="s">
        <v>418</v>
      </c>
      <c r="G152" s="28" t="s">
        <v>1712</v>
      </c>
      <c r="H152" s="27" t="s">
        <v>1598</v>
      </c>
    </row>
    <row r="153" spans="1:8" s="3" customFormat="1" x14ac:dyDescent="0.25">
      <c r="A153" s="28" t="s">
        <v>1713</v>
      </c>
      <c r="B153" s="28" t="s">
        <v>105</v>
      </c>
      <c r="C153" s="28" t="s">
        <v>1714</v>
      </c>
      <c r="D153" s="29" t="s">
        <v>1595</v>
      </c>
      <c r="E153" s="30" t="s">
        <v>1715</v>
      </c>
      <c r="F153" s="28" t="s">
        <v>8</v>
      </c>
      <c r="G153" s="28" t="s">
        <v>1716</v>
      </c>
      <c r="H153" s="27" t="s">
        <v>1598</v>
      </c>
    </row>
    <row r="154" spans="1:8" s="2" customFormat="1" x14ac:dyDescent="0.25">
      <c r="A154" s="28" t="s">
        <v>11</v>
      </c>
      <c r="B154" s="28" t="s">
        <v>105</v>
      </c>
      <c r="C154" s="28" t="s">
        <v>1714</v>
      </c>
      <c r="D154" s="29" t="s">
        <v>1595</v>
      </c>
      <c r="E154" s="30" t="s">
        <v>1717</v>
      </c>
      <c r="F154" s="28" t="s">
        <v>8</v>
      </c>
      <c r="G154" s="28" t="s">
        <v>1718</v>
      </c>
      <c r="H154" s="27" t="s">
        <v>1598</v>
      </c>
    </row>
    <row r="155" spans="1:8" s="3" customFormat="1" x14ac:dyDescent="0.25">
      <c r="A155" s="28" t="s">
        <v>1719</v>
      </c>
      <c r="B155" s="28" t="s">
        <v>105</v>
      </c>
      <c r="C155" s="28" t="s">
        <v>1714</v>
      </c>
      <c r="D155" s="29" t="s">
        <v>1595</v>
      </c>
      <c r="E155" s="30" t="s">
        <v>1720</v>
      </c>
      <c r="F155" s="28" t="s">
        <v>8</v>
      </c>
      <c r="G155" s="28" t="s">
        <v>1721</v>
      </c>
      <c r="H155" s="27" t="s">
        <v>1598</v>
      </c>
    </row>
    <row r="156" spans="1:8" s="2" customFormat="1" x14ac:dyDescent="0.25">
      <c r="A156" s="28" t="s">
        <v>1722</v>
      </c>
      <c r="B156" s="28" t="s">
        <v>105</v>
      </c>
      <c r="C156" s="28" t="s">
        <v>1714</v>
      </c>
      <c r="D156" s="29" t="s">
        <v>1595</v>
      </c>
      <c r="E156" s="30" t="s">
        <v>1723</v>
      </c>
      <c r="F156" s="28" t="s">
        <v>8</v>
      </c>
      <c r="G156" s="28" t="s">
        <v>1724</v>
      </c>
      <c r="H156" s="27" t="s">
        <v>1598</v>
      </c>
    </row>
    <row r="157" spans="1:8" s="3" customFormat="1" x14ac:dyDescent="0.25">
      <c r="A157" s="28" t="s">
        <v>1725</v>
      </c>
      <c r="B157" s="28" t="s">
        <v>107</v>
      </c>
      <c r="C157" s="28" t="s">
        <v>1726</v>
      </c>
      <c r="D157" s="29" t="s">
        <v>1702</v>
      </c>
      <c r="E157" s="30" t="s">
        <v>1727</v>
      </c>
      <c r="F157" s="28" t="s">
        <v>1728</v>
      </c>
      <c r="G157" s="28" t="s">
        <v>1729</v>
      </c>
      <c r="H157" s="27" t="s">
        <v>1598</v>
      </c>
    </row>
    <row r="158" spans="1:8" s="2" customFormat="1" x14ac:dyDescent="0.25">
      <c r="A158" s="28" t="s">
        <v>574</v>
      </c>
      <c r="B158" s="28" t="s">
        <v>575</v>
      </c>
      <c r="C158" s="28" t="s">
        <v>1730</v>
      </c>
      <c r="D158" s="29" t="s">
        <v>1702</v>
      </c>
      <c r="E158" s="30" t="s">
        <v>1731</v>
      </c>
      <c r="F158" s="28" t="s">
        <v>578</v>
      </c>
      <c r="G158" s="28" t="s">
        <v>1732</v>
      </c>
      <c r="H158" s="27" t="s">
        <v>1598</v>
      </c>
    </row>
    <row r="159" spans="1:8" s="3" customFormat="1" x14ac:dyDescent="0.25">
      <c r="A159" s="28" t="s">
        <v>1733</v>
      </c>
      <c r="B159" s="28" t="s">
        <v>105</v>
      </c>
      <c r="C159" s="28" t="s">
        <v>1714</v>
      </c>
      <c r="D159" s="29" t="s">
        <v>1595</v>
      </c>
      <c r="E159" s="30" t="s">
        <v>1734</v>
      </c>
      <c r="F159" s="28" t="s">
        <v>8</v>
      </c>
      <c r="G159" s="28" t="s">
        <v>1735</v>
      </c>
      <c r="H159" s="27" t="s">
        <v>1598</v>
      </c>
    </row>
    <row r="160" spans="1:8" s="2" customFormat="1" x14ac:dyDescent="0.25">
      <c r="A160" s="28" t="s">
        <v>1736</v>
      </c>
      <c r="B160" s="28" t="s">
        <v>105</v>
      </c>
      <c r="C160" s="28" t="s">
        <v>1714</v>
      </c>
      <c r="D160" s="29" t="s">
        <v>1595</v>
      </c>
      <c r="E160" s="30" t="s">
        <v>1737</v>
      </c>
      <c r="F160" s="28" t="s">
        <v>8</v>
      </c>
      <c r="G160" s="28" t="s">
        <v>1738</v>
      </c>
      <c r="H160" s="27" t="s">
        <v>1598</v>
      </c>
    </row>
    <row r="161" spans="1:8" s="3" customFormat="1" x14ac:dyDescent="0.25">
      <c r="A161" s="28" t="s">
        <v>102</v>
      </c>
      <c r="B161" s="28" t="s">
        <v>105</v>
      </c>
      <c r="C161" s="28" t="s">
        <v>1714</v>
      </c>
      <c r="D161" s="29" t="s">
        <v>1595</v>
      </c>
      <c r="E161" s="30" t="s">
        <v>1739</v>
      </c>
      <c r="F161" s="28" t="s">
        <v>8</v>
      </c>
      <c r="G161" s="28" t="s">
        <v>1740</v>
      </c>
      <c r="H161" s="27" t="s">
        <v>1598</v>
      </c>
    </row>
    <row r="162" spans="1:8" s="2" customFormat="1" x14ac:dyDescent="0.25">
      <c r="A162" s="28" t="s">
        <v>1713</v>
      </c>
      <c r="B162" s="28" t="s">
        <v>105</v>
      </c>
      <c r="C162" s="28" t="s">
        <v>1741</v>
      </c>
      <c r="D162" s="29" t="s">
        <v>1702</v>
      </c>
      <c r="E162" s="30" t="s">
        <v>1742</v>
      </c>
      <c r="F162" s="28" t="s">
        <v>104</v>
      </c>
      <c r="G162" s="28" t="s">
        <v>1743</v>
      </c>
      <c r="H162" s="27" t="s">
        <v>1598</v>
      </c>
    </row>
    <row r="163" spans="1:8" s="3" customFormat="1" x14ac:dyDescent="0.25">
      <c r="A163" s="28" t="s">
        <v>1744</v>
      </c>
      <c r="B163" s="28" t="s">
        <v>105</v>
      </c>
      <c r="C163" s="28" t="s">
        <v>1714</v>
      </c>
      <c r="D163" s="29" t="s">
        <v>1595</v>
      </c>
      <c r="E163" s="30" t="s">
        <v>1745</v>
      </c>
      <c r="F163" s="28" t="s">
        <v>8</v>
      </c>
      <c r="G163" s="28" t="s">
        <v>1746</v>
      </c>
      <c r="H163" s="27" t="s">
        <v>1598</v>
      </c>
    </row>
    <row r="164" spans="1:8" s="2" customFormat="1" x14ac:dyDescent="0.25">
      <c r="A164" s="28" t="s">
        <v>1747</v>
      </c>
      <c r="B164" s="28" t="s">
        <v>105</v>
      </c>
      <c r="C164" s="28" t="s">
        <v>1714</v>
      </c>
      <c r="D164" s="29" t="s">
        <v>1595</v>
      </c>
      <c r="E164" s="30" t="s">
        <v>1748</v>
      </c>
      <c r="F164" s="28" t="s">
        <v>8</v>
      </c>
      <c r="G164" s="28" t="s">
        <v>1749</v>
      </c>
      <c r="H164" s="27" t="s">
        <v>1598</v>
      </c>
    </row>
    <row r="165" spans="1:8" s="3" customFormat="1" x14ac:dyDescent="0.25">
      <c r="A165" s="28" t="s">
        <v>1733</v>
      </c>
      <c r="B165" s="28" t="s">
        <v>105</v>
      </c>
      <c r="C165" s="28" t="s">
        <v>1741</v>
      </c>
      <c r="D165" s="29" t="s">
        <v>1702</v>
      </c>
      <c r="E165" s="30" t="s">
        <v>1750</v>
      </c>
      <c r="F165" s="28" t="s">
        <v>104</v>
      </c>
      <c r="G165" s="28" t="s">
        <v>1751</v>
      </c>
      <c r="H165" s="27" t="s">
        <v>1598</v>
      </c>
    </row>
    <row r="166" spans="1:8" s="2" customFormat="1" x14ac:dyDescent="0.25">
      <c r="A166" s="28" t="s">
        <v>1752</v>
      </c>
      <c r="B166" s="28" t="s">
        <v>107</v>
      </c>
      <c r="C166" s="28" t="s">
        <v>1753</v>
      </c>
      <c r="D166" s="29" t="s">
        <v>1702</v>
      </c>
      <c r="E166" s="30" t="s">
        <v>1754</v>
      </c>
      <c r="F166" s="28" t="s">
        <v>13</v>
      </c>
      <c r="G166" s="28" t="s">
        <v>1755</v>
      </c>
      <c r="H166" s="27" t="s">
        <v>1598</v>
      </c>
    </row>
    <row r="167" spans="1:8" s="3" customFormat="1" x14ac:dyDescent="0.25">
      <c r="A167" s="28" t="s">
        <v>1756</v>
      </c>
      <c r="B167" s="28" t="s">
        <v>105</v>
      </c>
      <c r="C167" s="28" t="s">
        <v>1753</v>
      </c>
      <c r="D167" s="29" t="s">
        <v>1702</v>
      </c>
      <c r="E167" s="30" t="s">
        <v>1757</v>
      </c>
      <c r="F167" s="28" t="s">
        <v>1758</v>
      </c>
      <c r="G167" s="28" t="s">
        <v>1759</v>
      </c>
      <c r="H167" s="27" t="s">
        <v>1598</v>
      </c>
    </row>
    <row r="168" spans="1:8" s="2" customFormat="1" x14ac:dyDescent="0.25">
      <c r="A168" s="28" t="s">
        <v>1370</v>
      </c>
      <c r="B168" s="28" t="s">
        <v>107</v>
      </c>
      <c r="C168" s="28" t="s">
        <v>1753</v>
      </c>
      <c r="D168" s="29" t="s">
        <v>1702</v>
      </c>
      <c r="E168" s="30" t="s">
        <v>1760</v>
      </c>
      <c r="F168" s="28" t="s">
        <v>1372</v>
      </c>
      <c r="G168" s="28" t="s">
        <v>1761</v>
      </c>
      <c r="H168" s="27" t="s">
        <v>1762</v>
      </c>
    </row>
    <row r="169" spans="1:8" s="3" customFormat="1" x14ac:dyDescent="0.25">
      <c r="A169" s="28" t="s">
        <v>1736</v>
      </c>
      <c r="B169" s="28" t="s">
        <v>105</v>
      </c>
      <c r="C169" s="28" t="s">
        <v>1741</v>
      </c>
      <c r="D169" s="29" t="s">
        <v>1702</v>
      </c>
      <c r="E169" s="30" t="s">
        <v>1763</v>
      </c>
      <c r="F169" s="28" t="s">
        <v>104</v>
      </c>
      <c r="G169" s="28" t="s">
        <v>1764</v>
      </c>
      <c r="H169" s="27" t="s">
        <v>1762</v>
      </c>
    </row>
    <row r="170" spans="1:8" s="2" customFormat="1" x14ac:dyDescent="0.25">
      <c r="A170" s="28" t="s">
        <v>1765</v>
      </c>
      <c r="B170" s="28" t="s">
        <v>105</v>
      </c>
      <c r="C170" s="28" t="s">
        <v>1741</v>
      </c>
      <c r="D170" s="29" t="s">
        <v>1702</v>
      </c>
      <c r="E170" s="30" t="s">
        <v>1766</v>
      </c>
      <c r="F170" s="28" t="s">
        <v>1767</v>
      </c>
      <c r="G170" s="28" t="s">
        <v>1768</v>
      </c>
      <c r="H170" s="27" t="s">
        <v>1762</v>
      </c>
    </row>
    <row r="171" spans="1:8" s="3" customFormat="1" x14ac:dyDescent="0.25">
      <c r="A171" s="28" t="s">
        <v>1769</v>
      </c>
      <c r="B171" s="28" t="s">
        <v>105</v>
      </c>
      <c r="C171" s="28" t="s">
        <v>1753</v>
      </c>
      <c r="D171" s="29" t="s">
        <v>1702</v>
      </c>
      <c r="E171" s="30" t="s">
        <v>1770</v>
      </c>
      <c r="F171" s="28" t="s">
        <v>1771</v>
      </c>
      <c r="G171" s="28" t="s">
        <v>1772</v>
      </c>
      <c r="H171" s="27" t="s">
        <v>1762</v>
      </c>
    </row>
    <row r="172" spans="1:8" s="2" customFormat="1" x14ac:dyDescent="0.25">
      <c r="A172" s="28" t="s">
        <v>1773</v>
      </c>
      <c r="B172" s="28" t="s">
        <v>107</v>
      </c>
      <c r="C172" s="28" t="s">
        <v>1741</v>
      </c>
      <c r="D172" s="29" t="s">
        <v>1702</v>
      </c>
      <c r="E172" s="30" t="s">
        <v>1774</v>
      </c>
      <c r="F172" s="28" t="s">
        <v>118</v>
      </c>
      <c r="G172" s="28" t="s">
        <v>1775</v>
      </c>
      <c r="H172" s="27" t="s">
        <v>1762</v>
      </c>
    </row>
    <row r="173" spans="1:8" s="3" customFormat="1" x14ac:dyDescent="0.25">
      <c r="A173" s="28" t="s">
        <v>125</v>
      </c>
      <c r="B173" s="28" t="s">
        <v>105</v>
      </c>
      <c r="C173" s="28" t="s">
        <v>1776</v>
      </c>
      <c r="D173" s="29" t="s">
        <v>1702</v>
      </c>
      <c r="E173" s="30" t="s">
        <v>1777</v>
      </c>
      <c r="F173" s="28" t="s">
        <v>126</v>
      </c>
      <c r="G173" s="28" t="s">
        <v>1778</v>
      </c>
      <c r="H173" s="27" t="s">
        <v>1762</v>
      </c>
    </row>
    <row r="174" spans="1:8" s="2" customFormat="1" x14ac:dyDescent="0.25">
      <c r="A174" s="28" t="s">
        <v>1779</v>
      </c>
      <c r="B174" s="28" t="s">
        <v>105</v>
      </c>
      <c r="C174" s="28" t="s">
        <v>1741</v>
      </c>
      <c r="D174" s="29" t="s">
        <v>1702</v>
      </c>
      <c r="E174" s="30" t="s">
        <v>1780</v>
      </c>
      <c r="F174" s="28" t="s">
        <v>112</v>
      </c>
      <c r="G174" s="28" t="s">
        <v>1781</v>
      </c>
      <c r="H174" s="27" t="s">
        <v>1762</v>
      </c>
    </row>
    <row r="175" spans="1:8" s="3" customFormat="1" x14ac:dyDescent="0.25">
      <c r="A175" s="28" t="s">
        <v>1782</v>
      </c>
      <c r="B175" s="28" t="s">
        <v>105</v>
      </c>
      <c r="C175" s="28" t="s">
        <v>1741</v>
      </c>
      <c r="D175" s="29" t="s">
        <v>1702</v>
      </c>
      <c r="E175" s="30" t="s">
        <v>1783</v>
      </c>
      <c r="F175" s="28" t="s">
        <v>1767</v>
      </c>
      <c r="G175" s="28" t="s">
        <v>1784</v>
      </c>
      <c r="H175" s="27" t="s">
        <v>1762</v>
      </c>
    </row>
    <row r="176" spans="1:8" s="2" customFormat="1" x14ac:dyDescent="0.25">
      <c r="A176" s="28" t="s">
        <v>1785</v>
      </c>
      <c r="B176" s="28" t="s">
        <v>107</v>
      </c>
      <c r="C176" s="28" t="s">
        <v>1786</v>
      </c>
      <c r="D176" s="29" t="s">
        <v>1702</v>
      </c>
      <c r="E176" s="30" t="s">
        <v>1787</v>
      </c>
      <c r="F176" s="28" t="s">
        <v>1788</v>
      </c>
      <c r="G176" s="28" t="s">
        <v>1789</v>
      </c>
      <c r="H176" s="27" t="s">
        <v>1762</v>
      </c>
    </row>
    <row r="177" spans="1:8" s="3" customFormat="1" x14ac:dyDescent="0.25">
      <c r="A177" s="28" t="s">
        <v>1331</v>
      </c>
      <c r="B177" s="28" t="s">
        <v>107</v>
      </c>
      <c r="C177" s="28" t="s">
        <v>1790</v>
      </c>
      <c r="D177" s="29" t="s">
        <v>1702</v>
      </c>
      <c r="E177" s="30" t="s">
        <v>1791</v>
      </c>
      <c r="F177" s="28" t="s">
        <v>1334</v>
      </c>
      <c r="G177" s="28" t="s">
        <v>1792</v>
      </c>
      <c r="H177" s="27" t="s">
        <v>1762</v>
      </c>
    </row>
    <row r="178" spans="1:8" s="2" customFormat="1" x14ac:dyDescent="0.25">
      <c r="A178" s="28" t="s">
        <v>1719</v>
      </c>
      <c r="B178" s="28" t="s">
        <v>105</v>
      </c>
      <c r="C178" s="28" t="s">
        <v>1741</v>
      </c>
      <c r="D178" s="29" t="s">
        <v>1702</v>
      </c>
      <c r="E178" s="30" t="s">
        <v>1793</v>
      </c>
      <c r="F178" s="28" t="s">
        <v>104</v>
      </c>
      <c r="G178" s="28" t="s">
        <v>1794</v>
      </c>
      <c r="H178" s="27" t="s">
        <v>1762</v>
      </c>
    </row>
    <row r="179" spans="1:8" s="3" customFormat="1" x14ac:dyDescent="0.25">
      <c r="A179" s="28" t="s">
        <v>643</v>
      </c>
      <c r="B179" s="28" t="s">
        <v>107</v>
      </c>
      <c r="C179" s="28" t="s">
        <v>1795</v>
      </c>
      <c r="D179" s="29" t="s">
        <v>1702</v>
      </c>
      <c r="E179" s="30" t="s">
        <v>1796</v>
      </c>
      <c r="F179" s="28" t="s">
        <v>108</v>
      </c>
      <c r="G179" s="28" t="s">
        <v>1797</v>
      </c>
      <c r="H179" s="27" t="s">
        <v>1762</v>
      </c>
    </row>
    <row r="180" spans="1:8" s="2" customFormat="1" x14ac:dyDescent="0.25">
      <c r="A180" s="28" t="s">
        <v>1747</v>
      </c>
      <c r="B180" s="28" t="s">
        <v>105</v>
      </c>
      <c r="C180" s="28" t="s">
        <v>1741</v>
      </c>
      <c r="D180" s="29" t="s">
        <v>1702</v>
      </c>
      <c r="E180" s="30" t="s">
        <v>1798</v>
      </c>
      <c r="F180" s="28" t="s">
        <v>104</v>
      </c>
      <c r="G180" s="28" t="s">
        <v>1799</v>
      </c>
      <c r="H180" s="27" t="s">
        <v>1762</v>
      </c>
    </row>
    <row r="181" spans="1:8" s="3" customFormat="1" x14ac:dyDescent="0.25">
      <c r="A181" s="28" t="s">
        <v>110</v>
      </c>
      <c r="B181" s="28" t="s">
        <v>105</v>
      </c>
      <c r="C181" s="28" t="s">
        <v>1741</v>
      </c>
      <c r="D181" s="29" t="s">
        <v>1702</v>
      </c>
      <c r="E181" s="30" t="s">
        <v>1800</v>
      </c>
      <c r="F181" s="28" t="s">
        <v>112</v>
      </c>
      <c r="G181" s="28" t="s">
        <v>1801</v>
      </c>
      <c r="H181" s="27" t="s">
        <v>1762</v>
      </c>
    </row>
    <row r="182" spans="1:8" s="2" customFormat="1" x14ac:dyDescent="0.25">
      <c r="A182" s="28" t="s">
        <v>125</v>
      </c>
      <c r="B182" s="28" t="s">
        <v>105</v>
      </c>
      <c r="C182" s="28" t="s">
        <v>1741</v>
      </c>
      <c r="D182" s="29" t="s">
        <v>1702</v>
      </c>
      <c r="E182" s="30" t="s">
        <v>1802</v>
      </c>
      <c r="F182" s="28" t="s">
        <v>127</v>
      </c>
      <c r="G182" s="28" t="s">
        <v>1803</v>
      </c>
      <c r="H182" s="27" t="s">
        <v>1762</v>
      </c>
    </row>
    <row r="183" spans="1:8" s="3" customFormat="1" x14ac:dyDescent="0.25">
      <c r="A183" s="28" t="s">
        <v>113</v>
      </c>
      <c r="B183" s="28" t="s">
        <v>105</v>
      </c>
      <c r="C183" s="28" t="s">
        <v>1753</v>
      </c>
      <c r="D183" s="29" t="s">
        <v>1702</v>
      </c>
      <c r="E183" s="30" t="s">
        <v>1804</v>
      </c>
      <c r="F183" s="28" t="s">
        <v>114</v>
      </c>
      <c r="G183" s="28" t="s">
        <v>1805</v>
      </c>
      <c r="H183" s="27" t="s">
        <v>1762</v>
      </c>
    </row>
    <row r="184" spans="1:8" s="2" customFormat="1" x14ac:dyDescent="0.25">
      <c r="A184" s="28" t="s">
        <v>1722</v>
      </c>
      <c r="B184" s="28" t="s">
        <v>105</v>
      </c>
      <c r="C184" s="28" t="s">
        <v>1741</v>
      </c>
      <c r="D184" s="29" t="s">
        <v>1702</v>
      </c>
      <c r="E184" s="30" t="s">
        <v>1806</v>
      </c>
      <c r="F184" s="28" t="s">
        <v>104</v>
      </c>
      <c r="G184" s="28" t="s">
        <v>1807</v>
      </c>
      <c r="H184" s="27" t="s">
        <v>1762</v>
      </c>
    </row>
    <row r="185" spans="1:8" s="3" customFormat="1" x14ac:dyDescent="0.25">
      <c r="A185" s="28" t="s">
        <v>1744</v>
      </c>
      <c r="B185" s="28" t="s">
        <v>105</v>
      </c>
      <c r="C185" s="28" t="s">
        <v>1741</v>
      </c>
      <c r="D185" s="29" t="s">
        <v>1702</v>
      </c>
      <c r="E185" s="30" t="s">
        <v>1808</v>
      </c>
      <c r="F185" s="28" t="s">
        <v>104</v>
      </c>
      <c r="G185" s="28" t="s">
        <v>1809</v>
      </c>
      <c r="H185" s="27" t="s">
        <v>1762</v>
      </c>
    </row>
    <row r="186" spans="1:8" s="2" customFormat="1" x14ac:dyDescent="0.25">
      <c r="A186" s="28" t="s">
        <v>102</v>
      </c>
      <c r="B186" s="28" t="s">
        <v>105</v>
      </c>
      <c r="C186" s="28" t="s">
        <v>1741</v>
      </c>
      <c r="D186" s="29" t="s">
        <v>1702</v>
      </c>
      <c r="E186" s="30" t="s">
        <v>1810</v>
      </c>
      <c r="F186" s="28" t="s">
        <v>104</v>
      </c>
      <c r="G186" s="28" t="s">
        <v>1811</v>
      </c>
      <c r="H186" s="27" t="s">
        <v>1762</v>
      </c>
    </row>
    <row r="187" spans="1:8" s="3" customFormat="1" x14ac:dyDescent="0.25">
      <c r="A187" s="28" t="s">
        <v>11</v>
      </c>
      <c r="B187" s="28" t="s">
        <v>105</v>
      </c>
      <c r="C187" s="28" t="s">
        <v>1741</v>
      </c>
      <c r="D187" s="29" t="s">
        <v>1702</v>
      </c>
      <c r="E187" s="30" t="s">
        <v>1812</v>
      </c>
      <c r="F187" s="28" t="s">
        <v>104</v>
      </c>
      <c r="G187" s="28" t="s">
        <v>1813</v>
      </c>
      <c r="H187" s="27" t="s">
        <v>1762</v>
      </c>
    </row>
    <row r="188" spans="1:8" s="2" customFormat="1" x14ac:dyDescent="0.25">
      <c r="A188" s="28" t="s">
        <v>1814</v>
      </c>
      <c r="B188" s="28" t="s">
        <v>105</v>
      </c>
      <c r="C188" s="28" t="s">
        <v>1741</v>
      </c>
      <c r="D188" s="29" t="s">
        <v>1702</v>
      </c>
      <c r="E188" s="30" t="s">
        <v>1815</v>
      </c>
      <c r="F188" s="28" t="s">
        <v>1771</v>
      </c>
      <c r="G188" s="28" t="s">
        <v>1816</v>
      </c>
      <c r="H188" s="27" t="s">
        <v>1762</v>
      </c>
    </row>
    <row r="189" spans="1:8" s="3" customFormat="1" x14ac:dyDescent="0.25">
      <c r="A189" s="28" t="s">
        <v>1705</v>
      </c>
      <c r="B189" s="28" t="s">
        <v>105</v>
      </c>
      <c r="C189" s="28" t="s">
        <v>1817</v>
      </c>
      <c r="D189" s="29" t="s">
        <v>1702</v>
      </c>
      <c r="E189" s="30" t="s">
        <v>1818</v>
      </c>
      <c r="F189" s="28" t="s">
        <v>1819</v>
      </c>
      <c r="G189" s="28" t="s">
        <v>1820</v>
      </c>
      <c r="H189" s="27" t="s">
        <v>1762</v>
      </c>
    </row>
    <row r="190" spans="1:8" s="2" customFormat="1" x14ac:dyDescent="0.25">
      <c r="A190" s="28" t="s">
        <v>1821</v>
      </c>
      <c r="B190" s="28" t="s">
        <v>107</v>
      </c>
      <c r="C190" s="28" t="s">
        <v>1822</v>
      </c>
      <c r="D190" s="29" t="s">
        <v>1702</v>
      </c>
      <c r="E190" s="30" t="s">
        <v>1823</v>
      </c>
      <c r="F190" s="28" t="s">
        <v>1824</v>
      </c>
      <c r="G190" s="28" t="s">
        <v>1825</v>
      </c>
      <c r="H190" s="27" t="s">
        <v>1762</v>
      </c>
    </row>
    <row r="191" spans="1:8" s="3" customFormat="1" x14ac:dyDescent="0.25">
      <c r="A191" s="28" t="s">
        <v>1826</v>
      </c>
      <c r="B191" s="28" t="s">
        <v>107</v>
      </c>
      <c r="C191" s="28" t="s">
        <v>1827</v>
      </c>
      <c r="D191" s="29" t="s">
        <v>1702</v>
      </c>
      <c r="E191" s="30" t="s">
        <v>1828</v>
      </c>
      <c r="F191" s="28" t="s">
        <v>1788</v>
      </c>
      <c r="G191" s="28" t="s">
        <v>1829</v>
      </c>
      <c r="H191" s="27" t="s">
        <v>1762</v>
      </c>
    </row>
    <row r="192" spans="1:8" s="2" customFormat="1" x14ac:dyDescent="0.25">
      <c r="A192" s="28" t="s">
        <v>1830</v>
      </c>
      <c r="B192" s="28" t="s">
        <v>107</v>
      </c>
      <c r="C192" s="28" t="s">
        <v>1831</v>
      </c>
      <c r="D192" s="29" t="s">
        <v>1702</v>
      </c>
      <c r="E192" s="30" t="s">
        <v>1832</v>
      </c>
      <c r="F192" s="28" t="s">
        <v>1771</v>
      </c>
      <c r="G192" s="28" t="s">
        <v>1833</v>
      </c>
      <c r="H192" s="27" t="s">
        <v>1762</v>
      </c>
    </row>
    <row r="193" spans="1:8" s="3" customFormat="1" x14ac:dyDescent="0.25">
      <c r="A193" s="28" t="s">
        <v>1834</v>
      </c>
      <c r="B193" s="28" t="s">
        <v>107</v>
      </c>
      <c r="C193" s="28" t="s">
        <v>1835</v>
      </c>
      <c r="D193" s="29" t="s">
        <v>1702</v>
      </c>
      <c r="E193" s="30" t="s">
        <v>1836</v>
      </c>
      <c r="F193" s="28" t="s">
        <v>1372</v>
      </c>
      <c r="G193" s="28" t="s">
        <v>1837</v>
      </c>
      <c r="H193" s="27" t="s">
        <v>1762</v>
      </c>
    </row>
    <row r="194" spans="1:8" s="2" customFormat="1" x14ac:dyDescent="0.25">
      <c r="A194" s="28" t="s">
        <v>1838</v>
      </c>
      <c r="B194" s="28" t="s">
        <v>107</v>
      </c>
      <c r="C194" s="28" t="s">
        <v>1839</v>
      </c>
      <c r="D194" s="29" t="s">
        <v>1702</v>
      </c>
      <c r="E194" s="30" t="s">
        <v>1760</v>
      </c>
      <c r="F194" s="28" t="s">
        <v>1840</v>
      </c>
      <c r="G194" s="28" t="s">
        <v>1841</v>
      </c>
      <c r="H194" s="27" t="s">
        <v>1762</v>
      </c>
    </row>
    <row r="195" spans="1:8" s="3" customFormat="1" x14ac:dyDescent="0.25">
      <c r="A195" s="28" t="s">
        <v>931</v>
      </c>
      <c r="B195" s="28" t="s">
        <v>107</v>
      </c>
      <c r="C195" s="28" t="s">
        <v>1822</v>
      </c>
      <c r="D195" s="29" t="s">
        <v>1702</v>
      </c>
      <c r="E195" s="30" t="s">
        <v>1842</v>
      </c>
      <c r="F195" s="28" t="s">
        <v>934</v>
      </c>
      <c r="G195" s="28" t="s">
        <v>1843</v>
      </c>
      <c r="H195" s="27" t="s">
        <v>1762</v>
      </c>
    </row>
    <row r="196" spans="1:8" s="2" customFormat="1" x14ac:dyDescent="0.25">
      <c r="A196" s="28" t="s">
        <v>106</v>
      </c>
      <c r="B196" s="28" t="s">
        <v>107</v>
      </c>
      <c r="C196" s="28" t="s">
        <v>1844</v>
      </c>
      <c r="D196" s="29" t="s">
        <v>1702</v>
      </c>
      <c r="E196" s="30" t="s">
        <v>1845</v>
      </c>
      <c r="F196" s="28" t="s">
        <v>108</v>
      </c>
      <c r="G196" s="28" t="s">
        <v>1846</v>
      </c>
      <c r="H196" s="27" t="s">
        <v>1762</v>
      </c>
    </row>
    <row r="197" spans="1:8" s="3" customFormat="1" x14ac:dyDescent="0.25">
      <c r="A197" s="28" t="s">
        <v>1847</v>
      </c>
      <c r="B197" s="28" t="s">
        <v>107</v>
      </c>
      <c r="C197" s="28" t="s">
        <v>1848</v>
      </c>
      <c r="D197" s="29" t="s">
        <v>1702</v>
      </c>
      <c r="E197" s="30" t="s">
        <v>1849</v>
      </c>
      <c r="F197" s="28" t="s">
        <v>1728</v>
      </c>
      <c r="G197" s="28" t="s">
        <v>1850</v>
      </c>
      <c r="H197" s="27" t="s">
        <v>1762</v>
      </c>
    </row>
    <row r="198" spans="1:8" s="2" customFormat="1" x14ac:dyDescent="0.25">
      <c r="A198" s="28" t="s">
        <v>1851</v>
      </c>
      <c r="B198" s="28" t="s">
        <v>105</v>
      </c>
      <c r="C198" s="28" t="s">
        <v>1753</v>
      </c>
      <c r="D198" s="29" t="s">
        <v>1702</v>
      </c>
      <c r="E198" s="30" t="s">
        <v>1852</v>
      </c>
      <c r="F198" s="28" t="s">
        <v>638</v>
      </c>
      <c r="G198" s="28" t="s">
        <v>1853</v>
      </c>
      <c r="H198" s="27" t="s">
        <v>1762</v>
      </c>
    </row>
    <row r="199" spans="1:8" s="3" customFormat="1" x14ac:dyDescent="0.25">
      <c r="A199" s="28" t="s">
        <v>14</v>
      </c>
      <c r="B199" s="28" t="s">
        <v>107</v>
      </c>
      <c r="C199" s="28" t="s">
        <v>1753</v>
      </c>
      <c r="D199" s="29" t="s">
        <v>1702</v>
      </c>
      <c r="E199" s="30" t="s">
        <v>1854</v>
      </c>
      <c r="F199" s="28" t="s">
        <v>13</v>
      </c>
      <c r="G199" s="28" t="s">
        <v>1855</v>
      </c>
      <c r="H199" s="27" t="s">
        <v>1762</v>
      </c>
    </row>
    <row r="200" spans="1:8" s="2" customFormat="1" x14ac:dyDescent="0.25">
      <c r="A200" s="28" t="s">
        <v>1856</v>
      </c>
      <c r="B200" s="28" t="s">
        <v>107</v>
      </c>
      <c r="C200" s="28" t="s">
        <v>1753</v>
      </c>
      <c r="D200" s="29" t="s">
        <v>1702</v>
      </c>
      <c r="E200" s="30" t="s">
        <v>1857</v>
      </c>
      <c r="F200" s="28" t="s">
        <v>13</v>
      </c>
      <c r="G200" s="28" t="s">
        <v>1858</v>
      </c>
      <c r="H200" s="27" t="s">
        <v>1762</v>
      </c>
    </row>
    <row r="201" spans="1:8" s="3" customFormat="1" x14ac:dyDescent="0.25">
      <c r="A201" s="28" t="s">
        <v>1298</v>
      </c>
      <c r="B201" s="28" t="s">
        <v>107</v>
      </c>
      <c r="C201" s="28" t="s">
        <v>1786</v>
      </c>
      <c r="D201" s="29" t="s">
        <v>1702</v>
      </c>
      <c r="E201" s="30" t="s">
        <v>1787</v>
      </c>
      <c r="F201" s="28" t="s">
        <v>1301</v>
      </c>
      <c r="G201" s="28" t="s">
        <v>1859</v>
      </c>
      <c r="H201" s="27" t="s">
        <v>1762</v>
      </c>
    </row>
    <row r="202" spans="1:8" s="2" customFormat="1" x14ac:dyDescent="0.25">
      <c r="A202" s="28" t="s">
        <v>1860</v>
      </c>
      <c r="B202" s="28" t="s">
        <v>105</v>
      </c>
      <c r="C202" s="28" t="s">
        <v>1753</v>
      </c>
      <c r="D202" s="29" t="s">
        <v>1702</v>
      </c>
      <c r="E202" s="30" t="s">
        <v>1861</v>
      </c>
      <c r="F202" s="28" t="s">
        <v>1862</v>
      </c>
      <c r="G202" s="28" t="s">
        <v>1863</v>
      </c>
      <c r="H202" s="27" t="s">
        <v>1762</v>
      </c>
    </row>
    <row r="203" spans="1:8" s="3" customFormat="1" x14ac:dyDescent="0.25">
      <c r="A203" s="28" t="s">
        <v>1350</v>
      </c>
      <c r="B203" s="28" t="s">
        <v>107</v>
      </c>
      <c r="C203" s="28" t="s">
        <v>1864</v>
      </c>
      <c r="D203" s="29" t="s">
        <v>1702</v>
      </c>
      <c r="E203" s="30" t="s">
        <v>1865</v>
      </c>
      <c r="F203" s="28" t="s">
        <v>1353</v>
      </c>
      <c r="G203" s="28" t="s">
        <v>1866</v>
      </c>
      <c r="H203" s="27" t="s">
        <v>1762</v>
      </c>
    </row>
    <row r="204" spans="1:8" s="2" customFormat="1" x14ac:dyDescent="0.25">
      <c r="A204" s="28" t="s">
        <v>1374</v>
      </c>
      <c r="B204" s="28" t="s">
        <v>105</v>
      </c>
      <c r="C204" s="28" t="s">
        <v>1753</v>
      </c>
      <c r="D204" s="29" t="s">
        <v>1702</v>
      </c>
      <c r="E204" s="30" t="s">
        <v>1867</v>
      </c>
      <c r="F204" s="28" t="s">
        <v>1376</v>
      </c>
      <c r="G204" s="28" t="s">
        <v>1868</v>
      </c>
      <c r="H204" s="27" t="s">
        <v>1762</v>
      </c>
    </row>
    <row r="205" spans="1:8" s="3" customFormat="1" x14ac:dyDescent="0.25">
      <c r="A205" s="28" t="s">
        <v>116</v>
      </c>
      <c r="B205" s="28" t="s">
        <v>107</v>
      </c>
      <c r="C205" s="28" t="s">
        <v>1753</v>
      </c>
      <c r="D205" s="29" t="s">
        <v>1702</v>
      </c>
      <c r="E205" s="30" t="s">
        <v>1869</v>
      </c>
      <c r="F205" s="28" t="s">
        <v>118</v>
      </c>
      <c r="G205" s="28" t="s">
        <v>1870</v>
      </c>
      <c r="H205" s="27" t="s">
        <v>1762</v>
      </c>
    </row>
    <row r="206" spans="1:8" s="2" customFormat="1" x14ac:dyDescent="0.25">
      <c r="A206" s="28" t="s">
        <v>1871</v>
      </c>
      <c r="B206" s="28" t="s">
        <v>107</v>
      </c>
      <c r="C206" s="28" t="s">
        <v>1753</v>
      </c>
      <c r="D206" s="29" t="s">
        <v>1702</v>
      </c>
      <c r="E206" s="30" t="s">
        <v>1872</v>
      </c>
      <c r="F206" s="28" t="s">
        <v>1873</v>
      </c>
      <c r="G206" s="28" t="s">
        <v>1874</v>
      </c>
      <c r="H206" s="27" t="s">
        <v>1762</v>
      </c>
    </row>
    <row r="207" spans="1:8" s="3" customFormat="1" x14ac:dyDescent="0.25">
      <c r="A207" s="28" t="s">
        <v>574</v>
      </c>
      <c r="B207" s="28" t="s">
        <v>107</v>
      </c>
      <c r="C207" s="28" t="s">
        <v>1753</v>
      </c>
      <c r="D207" s="29" t="s">
        <v>1702</v>
      </c>
      <c r="E207" s="30" t="s">
        <v>1875</v>
      </c>
      <c r="F207" s="28" t="s">
        <v>578</v>
      </c>
      <c r="G207" s="28" t="s">
        <v>1876</v>
      </c>
      <c r="H207" s="27" t="s">
        <v>1762</v>
      </c>
    </row>
    <row r="208" spans="1:8" s="2" customFormat="1" x14ac:dyDescent="0.25">
      <c r="A208" s="28" t="s">
        <v>1877</v>
      </c>
      <c r="B208" s="28" t="s">
        <v>107</v>
      </c>
      <c r="C208" s="28" t="s">
        <v>1790</v>
      </c>
      <c r="D208" s="29" t="s">
        <v>1702</v>
      </c>
      <c r="E208" s="30" t="s">
        <v>1878</v>
      </c>
      <c r="F208" s="28" t="s">
        <v>1879</v>
      </c>
      <c r="G208" s="28" t="s">
        <v>1880</v>
      </c>
      <c r="H208" s="27" t="s">
        <v>1762</v>
      </c>
    </row>
    <row r="209" spans="1:8" s="3" customFormat="1" x14ac:dyDescent="0.25">
      <c r="A209" s="28" t="s">
        <v>749</v>
      </c>
      <c r="B209" s="28" t="s">
        <v>107</v>
      </c>
      <c r="C209" s="28" t="s">
        <v>1786</v>
      </c>
      <c r="D209" s="29" t="s">
        <v>1702</v>
      </c>
      <c r="E209" s="30" t="s">
        <v>1881</v>
      </c>
      <c r="F209" s="28" t="s">
        <v>752</v>
      </c>
      <c r="G209" s="28" t="s">
        <v>1882</v>
      </c>
      <c r="H209" s="27" t="s">
        <v>1762</v>
      </c>
    </row>
    <row r="210" spans="1:8" s="2" customFormat="1" x14ac:dyDescent="0.25">
      <c r="A210" s="28" t="s">
        <v>1883</v>
      </c>
      <c r="B210" s="28" t="s">
        <v>107</v>
      </c>
      <c r="C210" s="28" t="s">
        <v>1884</v>
      </c>
      <c r="D210" s="29" t="s">
        <v>1702</v>
      </c>
      <c r="E210" s="30" t="s">
        <v>1885</v>
      </c>
      <c r="F210" s="28" t="s">
        <v>1886</v>
      </c>
      <c r="G210" s="28" t="s">
        <v>1887</v>
      </c>
      <c r="H210" s="27" t="s">
        <v>1762</v>
      </c>
    </row>
    <row r="211" spans="1:8" s="3" customFormat="1" x14ac:dyDescent="0.25">
      <c r="A211" s="28" t="s">
        <v>120</v>
      </c>
      <c r="B211" s="28" t="s">
        <v>107</v>
      </c>
      <c r="C211" s="28" t="s">
        <v>1753</v>
      </c>
      <c r="D211" s="29" t="s">
        <v>1702</v>
      </c>
      <c r="E211" s="30" t="s">
        <v>1888</v>
      </c>
      <c r="F211" s="28" t="s">
        <v>121</v>
      </c>
      <c r="G211" s="28" t="s">
        <v>1889</v>
      </c>
      <c r="H211" s="27" t="s">
        <v>1762</v>
      </c>
    </row>
    <row r="212" spans="1:8" s="2" customFormat="1" x14ac:dyDescent="0.25">
      <c r="A212" s="28" t="s">
        <v>591</v>
      </c>
      <c r="B212" s="28" t="s">
        <v>107</v>
      </c>
      <c r="C212" s="28" t="s">
        <v>1753</v>
      </c>
      <c r="D212" s="29" t="s">
        <v>1702</v>
      </c>
      <c r="E212" s="30" t="s">
        <v>1890</v>
      </c>
      <c r="F212" s="28" t="s">
        <v>594</v>
      </c>
      <c r="G212" s="28" t="s">
        <v>1891</v>
      </c>
      <c r="H212" s="27" t="s">
        <v>1762</v>
      </c>
    </row>
    <row r="213" spans="1:8" s="3" customFormat="1" x14ac:dyDescent="0.25">
      <c r="A213" s="28" t="s">
        <v>1340</v>
      </c>
      <c r="B213" s="28" t="s">
        <v>105</v>
      </c>
      <c r="C213" s="28" t="s">
        <v>1753</v>
      </c>
      <c r="D213" s="29" t="s">
        <v>1702</v>
      </c>
      <c r="E213" s="30" t="s">
        <v>1791</v>
      </c>
      <c r="F213" s="28" t="s">
        <v>1343</v>
      </c>
      <c r="G213" s="28" t="s">
        <v>1892</v>
      </c>
      <c r="H213" s="27" t="s">
        <v>1762</v>
      </c>
    </row>
    <row r="214" spans="1:8" s="2" customFormat="1" x14ac:dyDescent="0.25">
      <c r="A214" s="28" t="s">
        <v>1893</v>
      </c>
      <c r="B214" s="28" t="s">
        <v>107</v>
      </c>
      <c r="C214" s="28" t="s">
        <v>1894</v>
      </c>
      <c r="D214" s="29" t="s">
        <v>1702</v>
      </c>
      <c r="E214" s="30" t="s">
        <v>1895</v>
      </c>
      <c r="F214" s="28" t="s">
        <v>1896</v>
      </c>
      <c r="G214" s="28" t="s">
        <v>1897</v>
      </c>
      <c r="H214" s="27" t="s">
        <v>1762</v>
      </c>
    </row>
    <row r="215" spans="1:8" s="3" customFormat="1" x14ac:dyDescent="0.25">
      <c r="A215" s="28" t="s">
        <v>1898</v>
      </c>
      <c r="B215" s="28" t="s">
        <v>107</v>
      </c>
      <c r="C215" s="28" t="s">
        <v>1753</v>
      </c>
      <c r="D215" s="29" t="s">
        <v>1702</v>
      </c>
      <c r="E215" s="30" t="s">
        <v>1899</v>
      </c>
      <c r="F215" s="28" t="s">
        <v>1900</v>
      </c>
      <c r="G215" s="28" t="s">
        <v>1901</v>
      </c>
      <c r="H215" s="27" t="s">
        <v>1762</v>
      </c>
    </row>
    <row r="216" spans="1:8" s="2" customFormat="1" x14ac:dyDescent="0.25">
      <c r="A216" s="28" t="s">
        <v>1902</v>
      </c>
      <c r="B216" s="28" t="s">
        <v>107</v>
      </c>
      <c r="C216" s="28" t="s">
        <v>1753</v>
      </c>
      <c r="D216" s="29" t="s">
        <v>1702</v>
      </c>
      <c r="E216" s="30" t="s">
        <v>1872</v>
      </c>
      <c r="F216" s="28" t="s">
        <v>1903</v>
      </c>
      <c r="G216" s="28" t="s">
        <v>1904</v>
      </c>
      <c r="H216" s="27" t="s">
        <v>1762</v>
      </c>
    </row>
    <row r="217" spans="1:8" s="3" customFormat="1" x14ac:dyDescent="0.25">
      <c r="A217" s="28" t="s">
        <v>1381</v>
      </c>
      <c r="B217" s="28" t="s">
        <v>107</v>
      </c>
      <c r="C217" s="28" t="s">
        <v>1839</v>
      </c>
      <c r="D217" s="29" t="s">
        <v>1702</v>
      </c>
      <c r="E217" s="30" t="s">
        <v>1905</v>
      </c>
      <c r="F217" s="28" t="s">
        <v>1383</v>
      </c>
      <c r="G217" s="28" t="s">
        <v>1906</v>
      </c>
      <c r="H217" s="27" t="s">
        <v>1762</v>
      </c>
    </row>
    <row r="218" spans="1:8" s="2" customFormat="1" x14ac:dyDescent="0.25">
      <c r="A218" s="28" t="s">
        <v>1907</v>
      </c>
      <c r="B218" s="28" t="s">
        <v>105</v>
      </c>
      <c r="C218" s="28" t="s">
        <v>1753</v>
      </c>
      <c r="D218" s="29" t="s">
        <v>1702</v>
      </c>
      <c r="E218" s="30" t="s">
        <v>1760</v>
      </c>
      <c r="F218" s="28" t="s">
        <v>1908</v>
      </c>
      <c r="G218" s="28" t="s">
        <v>1909</v>
      </c>
      <c r="H218" s="27" t="s">
        <v>1762</v>
      </c>
    </row>
    <row r="219" spans="1:8" s="3" customFormat="1" x14ac:dyDescent="0.25">
      <c r="A219" s="28" t="s">
        <v>1336</v>
      </c>
      <c r="B219" s="28" t="s">
        <v>107</v>
      </c>
      <c r="C219" s="28" t="s">
        <v>1790</v>
      </c>
      <c r="D219" s="29" t="s">
        <v>1702</v>
      </c>
      <c r="E219" s="30" t="s">
        <v>1791</v>
      </c>
      <c r="F219" s="28" t="s">
        <v>1338</v>
      </c>
      <c r="G219" s="28" t="s">
        <v>1910</v>
      </c>
      <c r="H219" s="27" t="s">
        <v>1762</v>
      </c>
    </row>
    <row r="220" spans="1:8" s="2" customFormat="1" x14ac:dyDescent="0.25">
      <c r="A220" s="28" t="s">
        <v>122</v>
      </c>
      <c r="B220" s="28" t="s">
        <v>107</v>
      </c>
      <c r="C220" s="28" t="s">
        <v>1911</v>
      </c>
      <c r="D220" s="29" t="s">
        <v>1702</v>
      </c>
      <c r="E220" s="30" t="s">
        <v>1760</v>
      </c>
      <c r="F220" s="28" t="s">
        <v>123</v>
      </c>
      <c r="G220" s="28" t="s">
        <v>1912</v>
      </c>
      <c r="H220" s="27" t="s">
        <v>1762</v>
      </c>
    </row>
    <row r="221" spans="1:8" s="3" customFormat="1" x14ac:dyDescent="0.25">
      <c r="A221" s="28" t="s">
        <v>1400</v>
      </c>
      <c r="B221" s="28" t="s">
        <v>107</v>
      </c>
      <c r="C221" s="28" t="s">
        <v>1839</v>
      </c>
      <c r="D221" s="29" t="s">
        <v>1702</v>
      </c>
      <c r="E221" s="30" t="s">
        <v>1905</v>
      </c>
      <c r="F221" s="28" t="s">
        <v>1403</v>
      </c>
      <c r="G221" s="28" t="s">
        <v>1913</v>
      </c>
      <c r="H221" s="27" t="s">
        <v>1762</v>
      </c>
    </row>
    <row r="222" spans="1:8" s="2" customFormat="1" x14ac:dyDescent="0.25">
      <c r="A222" s="28" t="s">
        <v>1914</v>
      </c>
      <c r="B222" s="28" t="s">
        <v>105</v>
      </c>
      <c r="C222" s="28" t="s">
        <v>1753</v>
      </c>
      <c r="D222" s="29" t="s">
        <v>1702</v>
      </c>
      <c r="E222" s="30" t="s">
        <v>1915</v>
      </c>
      <c r="F222" s="28" t="s">
        <v>1916</v>
      </c>
      <c r="G222" s="28" t="s">
        <v>1917</v>
      </c>
      <c r="H222" s="27" t="s">
        <v>1762</v>
      </c>
    </row>
    <row r="223" spans="1:8" s="3" customFormat="1" x14ac:dyDescent="0.25">
      <c r="A223" s="28" t="s">
        <v>968</v>
      </c>
      <c r="B223" s="28" t="s">
        <v>107</v>
      </c>
      <c r="C223" s="28" t="s">
        <v>1790</v>
      </c>
      <c r="D223" s="29" t="s">
        <v>1702</v>
      </c>
      <c r="E223" s="30" t="s">
        <v>1918</v>
      </c>
      <c r="F223" s="28" t="s">
        <v>971</v>
      </c>
      <c r="G223" s="28" t="s">
        <v>1919</v>
      </c>
      <c r="H223" s="27" t="s">
        <v>1762</v>
      </c>
    </row>
    <row r="224" spans="1:8" s="2" customFormat="1" x14ac:dyDescent="0.25">
      <c r="A224" s="28" t="s">
        <v>1345</v>
      </c>
      <c r="B224" s="28" t="s">
        <v>107</v>
      </c>
      <c r="C224" s="28" t="s">
        <v>1920</v>
      </c>
      <c r="D224" s="29" t="s">
        <v>1702</v>
      </c>
      <c r="E224" s="30" t="s">
        <v>1921</v>
      </c>
      <c r="F224" s="28" t="s">
        <v>1348</v>
      </c>
      <c r="G224" s="28" t="s">
        <v>1922</v>
      </c>
      <c r="H224" s="27" t="s">
        <v>1762</v>
      </c>
    </row>
    <row r="225" spans="1:8" s="3" customFormat="1" x14ac:dyDescent="0.25">
      <c r="A225" s="28" t="s">
        <v>954</v>
      </c>
      <c r="B225" s="28" t="s">
        <v>107</v>
      </c>
      <c r="C225" s="28" t="s">
        <v>1790</v>
      </c>
      <c r="D225" s="29" t="s">
        <v>1702</v>
      </c>
      <c r="E225" s="30" t="s">
        <v>1869</v>
      </c>
      <c r="F225" s="28" t="s">
        <v>957</v>
      </c>
      <c r="G225" s="28" t="s">
        <v>1923</v>
      </c>
      <c r="H225" s="27" t="s">
        <v>1762</v>
      </c>
    </row>
    <row r="226" spans="1:8" s="2" customFormat="1" x14ac:dyDescent="0.25">
      <c r="A226" s="28" t="s">
        <v>634</v>
      </c>
      <c r="B226" s="28" t="s">
        <v>105</v>
      </c>
      <c r="C226" s="28" t="s">
        <v>1753</v>
      </c>
      <c r="D226" s="29" t="s">
        <v>1702</v>
      </c>
      <c r="E226" s="30" t="s">
        <v>1482</v>
      </c>
      <c r="F226" s="28" t="s">
        <v>638</v>
      </c>
      <c r="G226" s="28" t="s">
        <v>1924</v>
      </c>
      <c r="H226" s="27" t="s">
        <v>1762</v>
      </c>
    </row>
    <row r="227" spans="1:8" s="3" customFormat="1" x14ac:dyDescent="0.25">
      <c r="A227" s="28" t="s">
        <v>102</v>
      </c>
      <c r="B227" s="28" t="s">
        <v>105</v>
      </c>
      <c r="C227" s="28" t="s">
        <v>1925</v>
      </c>
      <c r="D227" s="29" t="s">
        <v>1702</v>
      </c>
      <c r="E227" s="30" t="s">
        <v>1926</v>
      </c>
      <c r="F227" s="28" t="s">
        <v>8</v>
      </c>
      <c r="G227" s="28" t="s">
        <v>1927</v>
      </c>
      <c r="H227" s="27" t="s">
        <v>1762</v>
      </c>
    </row>
    <row r="228" spans="1:8" s="2" customFormat="1" x14ac:dyDescent="0.25">
      <c r="A228" s="28" t="s">
        <v>1928</v>
      </c>
      <c r="B228" s="28" t="s">
        <v>107</v>
      </c>
      <c r="C228" s="28" t="s">
        <v>1929</v>
      </c>
      <c r="D228" s="29" t="s">
        <v>1702</v>
      </c>
      <c r="E228" s="30" t="s">
        <v>1930</v>
      </c>
      <c r="F228" s="28" t="s">
        <v>1338</v>
      </c>
      <c r="G228" s="28" t="s">
        <v>1931</v>
      </c>
      <c r="H228" s="27" t="s">
        <v>1762</v>
      </c>
    </row>
    <row r="229" spans="1:8" s="3" customFormat="1" x14ac:dyDescent="0.25">
      <c r="A229" s="28" t="s">
        <v>1932</v>
      </c>
      <c r="B229" s="28" t="s">
        <v>105</v>
      </c>
      <c r="C229" s="28" t="s">
        <v>1753</v>
      </c>
      <c r="D229" s="29" t="s">
        <v>1702</v>
      </c>
      <c r="E229" s="30" t="s">
        <v>1933</v>
      </c>
      <c r="F229" s="28" t="s">
        <v>1376</v>
      </c>
      <c r="G229" s="28" t="s">
        <v>1934</v>
      </c>
      <c r="H229" s="27" t="s">
        <v>1762</v>
      </c>
    </row>
    <row r="230" spans="1:8" s="2" customFormat="1" x14ac:dyDescent="0.25">
      <c r="A230" s="28" t="s">
        <v>1935</v>
      </c>
      <c r="B230" s="28" t="s">
        <v>107</v>
      </c>
      <c r="C230" s="28" t="s">
        <v>1936</v>
      </c>
      <c r="D230" s="29" t="s">
        <v>1702</v>
      </c>
      <c r="E230" s="30" t="s">
        <v>1937</v>
      </c>
      <c r="F230" s="28" t="s">
        <v>1879</v>
      </c>
      <c r="G230" s="28" t="s">
        <v>1938</v>
      </c>
      <c r="H230" s="27" t="s">
        <v>1762</v>
      </c>
    </row>
    <row r="231" spans="1:8" s="3" customFormat="1" x14ac:dyDescent="0.25">
      <c r="A231" s="28" t="s">
        <v>110</v>
      </c>
      <c r="B231" s="28" t="s">
        <v>111</v>
      </c>
      <c r="C231" s="28" t="s">
        <v>1939</v>
      </c>
      <c r="D231" s="29" t="s">
        <v>1702</v>
      </c>
      <c r="E231" s="30" t="s">
        <v>1940</v>
      </c>
      <c r="F231" s="28" t="s">
        <v>112</v>
      </c>
      <c r="G231" s="28" t="s">
        <v>1941</v>
      </c>
      <c r="H231" s="27" t="s">
        <v>1762</v>
      </c>
    </row>
    <row r="232" spans="1:8" s="2" customFormat="1" x14ac:dyDescent="0.25">
      <c r="A232" s="28" t="s">
        <v>1705</v>
      </c>
      <c r="B232" s="28" t="s">
        <v>105</v>
      </c>
      <c r="C232" s="28" t="s">
        <v>1942</v>
      </c>
      <c r="D232" s="29" t="s">
        <v>1702</v>
      </c>
      <c r="E232" s="30" t="s">
        <v>1943</v>
      </c>
      <c r="F232" s="28" t="s">
        <v>1708</v>
      </c>
      <c r="G232" s="28" t="s">
        <v>1944</v>
      </c>
      <c r="H232" s="27" t="s">
        <v>1762</v>
      </c>
    </row>
    <row r="233" spans="1:8" s="3" customFormat="1" x14ac:dyDescent="0.25">
      <c r="A233" s="28" t="s">
        <v>1713</v>
      </c>
      <c r="B233" s="28" t="s">
        <v>105</v>
      </c>
      <c r="C233" s="28" t="s">
        <v>1925</v>
      </c>
      <c r="D233" s="29" t="s">
        <v>1702</v>
      </c>
      <c r="E233" s="30" t="s">
        <v>1945</v>
      </c>
      <c r="F233" s="28" t="s">
        <v>8</v>
      </c>
      <c r="G233" s="28" t="s">
        <v>1946</v>
      </c>
      <c r="H233" s="27" t="s">
        <v>1762</v>
      </c>
    </row>
    <row r="234" spans="1:8" s="2" customFormat="1" x14ac:dyDescent="0.25">
      <c r="A234" s="28" t="s">
        <v>1747</v>
      </c>
      <c r="B234" s="28" t="s">
        <v>105</v>
      </c>
      <c r="C234" s="28" t="s">
        <v>1925</v>
      </c>
      <c r="D234" s="29" t="s">
        <v>1702</v>
      </c>
      <c r="E234" s="30" t="s">
        <v>1947</v>
      </c>
      <c r="F234" s="28" t="s">
        <v>8</v>
      </c>
      <c r="G234" s="28" t="s">
        <v>1948</v>
      </c>
      <c r="H234" s="27" t="s">
        <v>1762</v>
      </c>
    </row>
    <row r="235" spans="1:8" s="3" customFormat="1" x14ac:dyDescent="0.25">
      <c r="A235" s="28" t="s">
        <v>1765</v>
      </c>
      <c r="B235" s="28" t="s">
        <v>105</v>
      </c>
      <c r="C235" s="28" t="s">
        <v>1949</v>
      </c>
      <c r="D235" s="29" t="s">
        <v>1702</v>
      </c>
      <c r="E235" s="30" t="s">
        <v>1950</v>
      </c>
      <c r="F235" s="28" t="s">
        <v>1767</v>
      </c>
      <c r="G235" s="28" t="s">
        <v>1951</v>
      </c>
      <c r="H235" s="27" t="s">
        <v>1762</v>
      </c>
    </row>
    <row r="236" spans="1:8" s="2" customFormat="1" x14ac:dyDescent="0.25">
      <c r="A236" s="28" t="s">
        <v>120</v>
      </c>
      <c r="B236" s="28" t="s">
        <v>410</v>
      </c>
      <c r="C236" s="28" t="s">
        <v>1952</v>
      </c>
      <c r="D236" s="29" t="s">
        <v>1702</v>
      </c>
      <c r="E236" s="30" t="s">
        <v>1953</v>
      </c>
      <c r="F236" s="28" t="s">
        <v>121</v>
      </c>
      <c r="G236" s="28" t="s">
        <v>1954</v>
      </c>
      <c r="H236" s="27" t="s">
        <v>1762</v>
      </c>
    </row>
    <row r="237" spans="1:8" s="3" customFormat="1" x14ac:dyDescent="0.25">
      <c r="A237" s="28" t="s">
        <v>1722</v>
      </c>
      <c r="B237" s="28" t="s">
        <v>105</v>
      </c>
      <c r="C237" s="28" t="s">
        <v>1925</v>
      </c>
      <c r="D237" s="29" t="s">
        <v>1702</v>
      </c>
      <c r="E237" s="30" t="s">
        <v>1955</v>
      </c>
      <c r="F237" s="28" t="s">
        <v>8</v>
      </c>
      <c r="G237" s="28" t="s">
        <v>1956</v>
      </c>
      <c r="H237" s="27" t="s">
        <v>1762</v>
      </c>
    </row>
    <row r="238" spans="1:8" s="2" customFormat="1" x14ac:dyDescent="0.25">
      <c r="A238" s="28" t="s">
        <v>1736</v>
      </c>
      <c r="B238" s="28" t="s">
        <v>105</v>
      </c>
      <c r="C238" s="28" t="s">
        <v>1925</v>
      </c>
      <c r="D238" s="29" t="s">
        <v>1702</v>
      </c>
      <c r="E238" s="30" t="s">
        <v>1957</v>
      </c>
      <c r="F238" s="28" t="s">
        <v>8</v>
      </c>
      <c r="G238" s="28" t="s">
        <v>1958</v>
      </c>
      <c r="H238" s="27" t="s">
        <v>1762</v>
      </c>
    </row>
    <row r="239" spans="1:8" s="3" customFormat="1" x14ac:dyDescent="0.25">
      <c r="A239" s="28" t="s">
        <v>1744</v>
      </c>
      <c r="B239" s="28" t="s">
        <v>105</v>
      </c>
      <c r="C239" s="28" t="s">
        <v>1925</v>
      </c>
      <c r="D239" s="29" t="s">
        <v>1702</v>
      </c>
      <c r="E239" s="30" t="s">
        <v>1959</v>
      </c>
      <c r="F239" s="28" t="s">
        <v>8</v>
      </c>
      <c r="G239" s="28" t="s">
        <v>1960</v>
      </c>
      <c r="H239" s="27" t="s">
        <v>1762</v>
      </c>
    </row>
    <row r="240" spans="1:8" s="2" customFormat="1" x14ac:dyDescent="0.25">
      <c r="A240" s="28" t="s">
        <v>1719</v>
      </c>
      <c r="B240" s="28" t="s">
        <v>105</v>
      </c>
      <c r="C240" s="28" t="s">
        <v>1925</v>
      </c>
      <c r="D240" s="29" t="s">
        <v>1702</v>
      </c>
      <c r="E240" s="30" t="s">
        <v>1961</v>
      </c>
      <c r="F240" s="28" t="s">
        <v>8</v>
      </c>
      <c r="G240" s="28" t="s">
        <v>1962</v>
      </c>
      <c r="H240" s="27" t="s">
        <v>1762</v>
      </c>
    </row>
    <row r="241" spans="1:8" s="3" customFormat="1" x14ac:dyDescent="0.25">
      <c r="A241" s="28" t="s">
        <v>11</v>
      </c>
      <c r="B241" s="28" t="s">
        <v>105</v>
      </c>
      <c r="C241" s="28" t="s">
        <v>1925</v>
      </c>
      <c r="D241" s="29" t="s">
        <v>1702</v>
      </c>
      <c r="E241" s="30" t="s">
        <v>1963</v>
      </c>
      <c r="F241" s="28" t="s">
        <v>8</v>
      </c>
      <c r="G241" s="28" t="s">
        <v>1964</v>
      </c>
      <c r="H241" s="27" t="s">
        <v>1762</v>
      </c>
    </row>
    <row r="242" spans="1:8" s="2" customFormat="1" x14ac:dyDescent="0.25">
      <c r="A242" s="28" t="s">
        <v>1733</v>
      </c>
      <c r="B242" s="28" t="s">
        <v>105</v>
      </c>
      <c r="C242" s="28" t="s">
        <v>1925</v>
      </c>
      <c r="D242" s="29" t="s">
        <v>1702</v>
      </c>
      <c r="E242" s="30" t="s">
        <v>1965</v>
      </c>
      <c r="F242" s="28" t="s">
        <v>8</v>
      </c>
      <c r="G242" s="28" t="s">
        <v>1966</v>
      </c>
      <c r="H242" s="27" t="s">
        <v>1762</v>
      </c>
    </row>
    <row r="243" spans="1:8" s="3" customFormat="1" x14ac:dyDescent="0.25">
      <c r="A243" s="28" t="s">
        <v>1830</v>
      </c>
      <c r="B243" s="28" t="s">
        <v>107</v>
      </c>
      <c r="C243" s="28" t="s">
        <v>1967</v>
      </c>
      <c r="D243" s="29" t="s">
        <v>1702</v>
      </c>
      <c r="E243" s="30" t="s">
        <v>1968</v>
      </c>
      <c r="F243" s="28" t="s">
        <v>1771</v>
      </c>
      <c r="G243" s="28" t="s">
        <v>1969</v>
      </c>
      <c r="H243" s="27" t="s">
        <v>1762</v>
      </c>
    </row>
    <row r="244" spans="1:8" s="2" customFormat="1" x14ac:dyDescent="0.25">
      <c r="A244" s="28" t="s">
        <v>1713</v>
      </c>
      <c r="B244" s="28" t="s">
        <v>105</v>
      </c>
      <c r="C244" s="28" t="s">
        <v>1970</v>
      </c>
      <c r="D244" s="29" t="s">
        <v>1702</v>
      </c>
      <c r="E244" s="30" t="s">
        <v>1971</v>
      </c>
      <c r="F244" s="28" t="s">
        <v>104</v>
      </c>
      <c r="G244" s="28" t="s">
        <v>1972</v>
      </c>
      <c r="H244" s="27" t="s">
        <v>1762</v>
      </c>
    </row>
    <row r="245" spans="1:8" s="3" customFormat="1" x14ac:dyDescent="0.25">
      <c r="A245" s="28" t="s">
        <v>1773</v>
      </c>
      <c r="B245" s="28" t="s">
        <v>107</v>
      </c>
      <c r="C245" s="28" t="s">
        <v>1949</v>
      </c>
      <c r="D245" s="29" t="s">
        <v>1702</v>
      </c>
      <c r="E245" s="30" t="s">
        <v>1973</v>
      </c>
      <c r="F245" s="28" t="s">
        <v>118</v>
      </c>
      <c r="G245" s="28" t="s">
        <v>1974</v>
      </c>
      <c r="H245" s="27" t="s">
        <v>1762</v>
      </c>
    </row>
    <row r="246" spans="1:8" s="2" customFormat="1" x14ac:dyDescent="0.25">
      <c r="A246" s="28" t="s">
        <v>1705</v>
      </c>
      <c r="B246" s="28" t="s">
        <v>105</v>
      </c>
      <c r="C246" s="28" t="s">
        <v>1975</v>
      </c>
      <c r="D246" s="29" t="s">
        <v>1702</v>
      </c>
      <c r="E246" s="30" t="s">
        <v>1976</v>
      </c>
      <c r="F246" s="28" t="s">
        <v>1819</v>
      </c>
      <c r="G246" s="28" t="s">
        <v>1977</v>
      </c>
      <c r="H246" s="27" t="s">
        <v>1762</v>
      </c>
    </row>
    <row r="247" spans="1:8" s="3" customFormat="1" x14ac:dyDescent="0.25">
      <c r="A247" s="28" t="s">
        <v>1736</v>
      </c>
      <c r="B247" s="28" t="s">
        <v>105</v>
      </c>
      <c r="C247" s="28" t="s">
        <v>1949</v>
      </c>
      <c r="D247" s="29" t="s">
        <v>1702</v>
      </c>
      <c r="E247" s="30" t="s">
        <v>1978</v>
      </c>
      <c r="F247" s="28" t="s">
        <v>104</v>
      </c>
      <c r="G247" s="28" t="s">
        <v>1979</v>
      </c>
      <c r="H247" s="27" t="s">
        <v>1762</v>
      </c>
    </row>
    <row r="248" spans="1:8" s="2" customFormat="1" x14ac:dyDescent="0.25">
      <c r="A248" s="28" t="s">
        <v>1782</v>
      </c>
      <c r="B248" s="28" t="s">
        <v>105</v>
      </c>
      <c r="C248" s="28" t="s">
        <v>1949</v>
      </c>
      <c r="D248" s="29" t="s">
        <v>1702</v>
      </c>
      <c r="E248" s="30" t="s">
        <v>1980</v>
      </c>
      <c r="F248" s="28" t="s">
        <v>1767</v>
      </c>
      <c r="G248" s="28" t="s">
        <v>1981</v>
      </c>
      <c r="H248" s="27" t="s">
        <v>1762</v>
      </c>
    </row>
    <row r="249" spans="1:8" s="3" customFormat="1" x14ac:dyDescent="0.25">
      <c r="A249" s="28" t="s">
        <v>1814</v>
      </c>
      <c r="B249" s="28" t="s">
        <v>105</v>
      </c>
      <c r="C249" s="28" t="s">
        <v>1949</v>
      </c>
      <c r="D249" s="29" t="s">
        <v>1702</v>
      </c>
      <c r="E249" s="30" t="s">
        <v>1982</v>
      </c>
      <c r="F249" s="28" t="s">
        <v>1771</v>
      </c>
      <c r="G249" s="28" t="s">
        <v>1983</v>
      </c>
      <c r="H249" s="27" t="s">
        <v>1762</v>
      </c>
    </row>
    <row r="250" spans="1:8" s="2" customFormat="1" x14ac:dyDescent="0.25">
      <c r="A250" s="28" t="s">
        <v>1733</v>
      </c>
      <c r="B250" s="28" t="s">
        <v>105</v>
      </c>
      <c r="C250" s="28" t="s">
        <v>1949</v>
      </c>
      <c r="D250" s="29" t="s">
        <v>1702</v>
      </c>
      <c r="E250" s="30" t="s">
        <v>1984</v>
      </c>
      <c r="F250" s="28" t="s">
        <v>104</v>
      </c>
      <c r="G250" s="28" t="s">
        <v>1985</v>
      </c>
      <c r="H250" s="27" t="s">
        <v>1762</v>
      </c>
    </row>
    <row r="251" spans="1:8" s="3" customFormat="1" x14ac:dyDescent="0.25">
      <c r="A251" s="28" t="s">
        <v>11</v>
      </c>
      <c r="B251" s="28" t="s">
        <v>105</v>
      </c>
      <c r="C251" s="28" t="s">
        <v>1949</v>
      </c>
      <c r="D251" s="29" t="s">
        <v>1702</v>
      </c>
      <c r="E251" s="30" t="s">
        <v>1986</v>
      </c>
      <c r="F251" s="28" t="s">
        <v>104</v>
      </c>
      <c r="G251" s="28" t="s">
        <v>1987</v>
      </c>
      <c r="H251" s="27" t="s">
        <v>1762</v>
      </c>
    </row>
    <row r="252" spans="1:8" s="2" customFormat="1" x14ac:dyDescent="0.25">
      <c r="A252" s="28" t="s">
        <v>1747</v>
      </c>
      <c r="B252" s="28" t="s">
        <v>105</v>
      </c>
      <c r="C252" s="28" t="s">
        <v>1949</v>
      </c>
      <c r="D252" s="29" t="s">
        <v>1702</v>
      </c>
      <c r="E252" s="30" t="s">
        <v>1988</v>
      </c>
      <c r="F252" s="28" t="s">
        <v>104</v>
      </c>
      <c r="G252" s="28" t="s">
        <v>1989</v>
      </c>
      <c r="H252" s="27" t="s">
        <v>1762</v>
      </c>
    </row>
    <row r="253" spans="1:8" s="3" customFormat="1" x14ac:dyDescent="0.25">
      <c r="A253" s="28" t="s">
        <v>1719</v>
      </c>
      <c r="B253" s="28" t="s">
        <v>105</v>
      </c>
      <c r="C253" s="28" t="s">
        <v>1949</v>
      </c>
      <c r="D253" s="29" t="s">
        <v>1702</v>
      </c>
      <c r="E253" s="30" t="s">
        <v>1990</v>
      </c>
      <c r="F253" s="28" t="s">
        <v>104</v>
      </c>
      <c r="G253" s="28" t="s">
        <v>1991</v>
      </c>
      <c r="H253" s="27" t="s">
        <v>1762</v>
      </c>
    </row>
    <row r="254" spans="1:8" s="2" customFormat="1" x14ac:dyDescent="0.25">
      <c r="A254" s="28" t="s">
        <v>110</v>
      </c>
      <c r="B254" s="28" t="s">
        <v>115</v>
      </c>
      <c r="C254" s="28" t="s">
        <v>1992</v>
      </c>
      <c r="D254" s="29" t="s">
        <v>1702</v>
      </c>
      <c r="E254" s="30" t="s">
        <v>1993</v>
      </c>
      <c r="F254" s="28" t="s">
        <v>112</v>
      </c>
      <c r="G254" s="28" t="s">
        <v>1994</v>
      </c>
      <c r="H254" s="27" t="s">
        <v>1762</v>
      </c>
    </row>
    <row r="255" spans="1:8" s="3" customFormat="1" x14ac:dyDescent="0.25">
      <c r="A255" s="28" t="s">
        <v>1744</v>
      </c>
      <c r="B255" s="28" t="s">
        <v>105</v>
      </c>
      <c r="C255" s="28" t="s">
        <v>1970</v>
      </c>
      <c r="D255" s="29" t="s">
        <v>1702</v>
      </c>
      <c r="E255" s="30" t="s">
        <v>1995</v>
      </c>
      <c r="F255" s="28" t="s">
        <v>104</v>
      </c>
      <c r="G255" s="28" t="s">
        <v>1996</v>
      </c>
      <c r="H255" s="27" t="s">
        <v>1762</v>
      </c>
    </row>
    <row r="256" spans="1:8" s="2" customFormat="1" x14ac:dyDescent="0.25">
      <c r="A256" s="28" t="s">
        <v>1722</v>
      </c>
      <c r="B256" s="28" t="s">
        <v>105</v>
      </c>
      <c r="C256" s="28" t="s">
        <v>1970</v>
      </c>
      <c r="D256" s="29" t="s">
        <v>1702</v>
      </c>
      <c r="E256" s="30" t="s">
        <v>1997</v>
      </c>
      <c r="F256" s="28" t="s">
        <v>104</v>
      </c>
      <c r="G256" s="28" t="s">
        <v>1998</v>
      </c>
      <c r="H256" s="27" t="s">
        <v>1762</v>
      </c>
    </row>
    <row r="257" spans="1:8" s="3" customFormat="1" x14ac:dyDescent="0.25">
      <c r="A257" s="28" t="s">
        <v>1999</v>
      </c>
      <c r="B257" s="28" t="s">
        <v>105</v>
      </c>
      <c r="C257" s="28" t="s">
        <v>1970</v>
      </c>
      <c r="D257" s="29" t="s">
        <v>1702</v>
      </c>
      <c r="E257" s="30" t="s">
        <v>2000</v>
      </c>
      <c r="F257" s="28" t="s">
        <v>112</v>
      </c>
      <c r="G257" s="28" t="s">
        <v>2001</v>
      </c>
      <c r="H257" s="27" t="s">
        <v>1762</v>
      </c>
    </row>
    <row r="258" spans="1:8" s="2" customFormat="1" x14ac:dyDescent="0.25">
      <c r="A258" s="28" t="s">
        <v>1700</v>
      </c>
      <c r="B258" s="28" t="s">
        <v>107</v>
      </c>
      <c r="C258" s="28" t="s">
        <v>2002</v>
      </c>
      <c r="D258" s="29" t="s">
        <v>1702</v>
      </c>
      <c r="E258" s="30" t="s">
        <v>2003</v>
      </c>
      <c r="F258" s="28" t="s">
        <v>957</v>
      </c>
      <c r="G258" s="28" t="s">
        <v>2004</v>
      </c>
      <c r="H258" s="27" t="s">
        <v>1762</v>
      </c>
    </row>
    <row r="259" spans="1:8" s="3" customFormat="1" x14ac:dyDescent="0.25">
      <c r="A259" s="28" t="s">
        <v>643</v>
      </c>
      <c r="B259" s="28" t="s">
        <v>107</v>
      </c>
      <c r="C259" s="28" t="s">
        <v>2005</v>
      </c>
      <c r="D259" s="29" t="s">
        <v>1702</v>
      </c>
      <c r="E259" s="30" t="s">
        <v>2006</v>
      </c>
      <c r="F259" s="28" t="s">
        <v>108</v>
      </c>
      <c r="G259" s="28" t="s">
        <v>2007</v>
      </c>
      <c r="H259" s="27" t="s">
        <v>1762</v>
      </c>
    </row>
    <row r="260" spans="1:8" s="2" customFormat="1" x14ac:dyDescent="0.25">
      <c r="A260" s="28" t="s">
        <v>1826</v>
      </c>
      <c r="B260" s="28" t="s">
        <v>107</v>
      </c>
      <c r="C260" s="28" t="s">
        <v>2008</v>
      </c>
      <c r="D260" s="29" t="s">
        <v>1702</v>
      </c>
      <c r="E260" s="30" t="s">
        <v>2009</v>
      </c>
      <c r="F260" s="28" t="s">
        <v>1788</v>
      </c>
      <c r="G260" s="28" t="s">
        <v>2010</v>
      </c>
      <c r="H260" s="27" t="s">
        <v>1762</v>
      </c>
    </row>
    <row r="261" spans="1:8" s="3" customFormat="1" x14ac:dyDescent="0.25">
      <c r="A261" s="28" t="s">
        <v>14</v>
      </c>
      <c r="B261" s="28" t="s">
        <v>107</v>
      </c>
      <c r="C261" s="28" t="s">
        <v>1970</v>
      </c>
      <c r="D261" s="29" t="s">
        <v>1702</v>
      </c>
      <c r="E261" s="30" t="s">
        <v>2011</v>
      </c>
      <c r="F261" s="28" t="s">
        <v>13</v>
      </c>
      <c r="G261" s="28" t="s">
        <v>2012</v>
      </c>
      <c r="H261" s="27" t="s">
        <v>1762</v>
      </c>
    </row>
    <row r="262" spans="1:8" s="2" customFormat="1" x14ac:dyDescent="0.25">
      <c r="A262" s="28" t="s">
        <v>1752</v>
      </c>
      <c r="B262" s="28" t="s">
        <v>107</v>
      </c>
      <c r="C262" s="28" t="s">
        <v>1970</v>
      </c>
      <c r="D262" s="29" t="s">
        <v>1702</v>
      </c>
      <c r="E262" s="30" t="s">
        <v>2011</v>
      </c>
      <c r="F262" s="28" t="s">
        <v>13</v>
      </c>
      <c r="G262" s="28" t="s">
        <v>2013</v>
      </c>
      <c r="H262" s="27" t="s">
        <v>1762</v>
      </c>
    </row>
    <row r="263" spans="1:8" s="3" customFormat="1" x14ac:dyDescent="0.25">
      <c r="A263" s="28" t="s">
        <v>2014</v>
      </c>
      <c r="B263" s="28" t="s">
        <v>105</v>
      </c>
      <c r="C263" s="28" t="s">
        <v>1970</v>
      </c>
      <c r="D263" s="29" t="s">
        <v>1702</v>
      </c>
      <c r="E263" s="30" t="s">
        <v>2015</v>
      </c>
      <c r="F263" s="28" t="s">
        <v>2016</v>
      </c>
      <c r="G263" s="28" t="s">
        <v>2017</v>
      </c>
      <c r="H263" s="27" t="s">
        <v>1762</v>
      </c>
    </row>
    <row r="264" spans="1:8" s="2" customFormat="1" x14ac:dyDescent="0.25">
      <c r="A264" s="28" t="s">
        <v>11</v>
      </c>
      <c r="B264" s="28" t="s">
        <v>12</v>
      </c>
      <c r="C264" s="28" t="s">
        <v>2018</v>
      </c>
      <c r="D264" s="29" t="s">
        <v>1702</v>
      </c>
      <c r="E264" s="30" t="s">
        <v>2019</v>
      </c>
      <c r="F264" s="28" t="s">
        <v>104</v>
      </c>
      <c r="G264" s="28" t="s">
        <v>2020</v>
      </c>
      <c r="H264" s="27" t="s">
        <v>1762</v>
      </c>
    </row>
    <row r="265" spans="1:8" s="3" customFormat="1" x14ac:dyDescent="0.25">
      <c r="A265" s="28" t="s">
        <v>1856</v>
      </c>
      <c r="B265" s="28" t="s">
        <v>107</v>
      </c>
      <c r="C265" s="28" t="s">
        <v>1970</v>
      </c>
      <c r="D265" s="29" t="s">
        <v>1702</v>
      </c>
      <c r="E265" s="30" t="s">
        <v>2021</v>
      </c>
      <c r="F265" s="28" t="s">
        <v>13</v>
      </c>
      <c r="G265" s="28" t="s">
        <v>2022</v>
      </c>
      <c r="H265" s="27" t="s">
        <v>1762</v>
      </c>
    </row>
    <row r="266" spans="1:8" s="2" customFormat="1" x14ac:dyDescent="0.25">
      <c r="A266" s="28" t="s">
        <v>1725</v>
      </c>
      <c r="B266" s="28" t="s">
        <v>107</v>
      </c>
      <c r="C266" s="28" t="s">
        <v>2023</v>
      </c>
      <c r="D266" s="29" t="s">
        <v>1702</v>
      </c>
      <c r="E266" s="30" t="s">
        <v>2024</v>
      </c>
      <c r="F266" s="28" t="s">
        <v>1728</v>
      </c>
      <c r="G266" s="28" t="s">
        <v>2025</v>
      </c>
      <c r="H266" s="27" t="s">
        <v>1762</v>
      </c>
    </row>
    <row r="267" spans="1:8" s="3" customFormat="1" x14ac:dyDescent="0.25">
      <c r="A267" s="28" t="s">
        <v>1769</v>
      </c>
      <c r="B267" s="28" t="s">
        <v>105</v>
      </c>
      <c r="C267" s="28" t="s">
        <v>1970</v>
      </c>
      <c r="D267" s="29" t="s">
        <v>1702</v>
      </c>
      <c r="E267" s="30" t="s">
        <v>2026</v>
      </c>
      <c r="F267" s="28" t="s">
        <v>1771</v>
      </c>
      <c r="G267" s="28" t="s">
        <v>2027</v>
      </c>
      <c r="H267" s="27" t="s">
        <v>1762</v>
      </c>
    </row>
    <row r="268" spans="1:8" s="2" customFormat="1" x14ac:dyDescent="0.25">
      <c r="A268" s="28" t="s">
        <v>1834</v>
      </c>
      <c r="B268" s="28" t="s">
        <v>107</v>
      </c>
      <c r="C268" s="28" t="s">
        <v>2028</v>
      </c>
      <c r="D268" s="29" t="s">
        <v>1702</v>
      </c>
      <c r="E268" s="30" t="s">
        <v>2029</v>
      </c>
      <c r="F268" s="28" t="s">
        <v>1372</v>
      </c>
      <c r="G268" s="28" t="s">
        <v>2030</v>
      </c>
      <c r="H268" s="27" t="s">
        <v>1762</v>
      </c>
    </row>
    <row r="269" spans="1:8" s="3" customFormat="1" x14ac:dyDescent="0.25">
      <c r="A269" s="28" t="s">
        <v>1860</v>
      </c>
      <c r="B269" s="28" t="s">
        <v>105</v>
      </c>
      <c r="C269" s="28" t="s">
        <v>1970</v>
      </c>
      <c r="D269" s="29" t="s">
        <v>1702</v>
      </c>
      <c r="E269" s="30" t="s">
        <v>2031</v>
      </c>
      <c r="F269" s="28" t="s">
        <v>1862</v>
      </c>
      <c r="G269" s="28" t="s">
        <v>2032</v>
      </c>
      <c r="H269" s="27" t="s">
        <v>1762</v>
      </c>
    </row>
    <row r="270" spans="1:8" s="2" customFormat="1" x14ac:dyDescent="0.25">
      <c r="A270" s="28" t="s">
        <v>749</v>
      </c>
      <c r="B270" s="28" t="s">
        <v>107</v>
      </c>
      <c r="C270" s="28" t="s">
        <v>2033</v>
      </c>
      <c r="D270" s="29" t="s">
        <v>1702</v>
      </c>
      <c r="E270" s="30" t="s">
        <v>2034</v>
      </c>
      <c r="F270" s="28" t="s">
        <v>752</v>
      </c>
      <c r="G270" s="28" t="s">
        <v>2035</v>
      </c>
      <c r="H270" s="27" t="s">
        <v>1762</v>
      </c>
    </row>
    <row r="271" spans="1:8" s="3" customFormat="1" x14ac:dyDescent="0.25">
      <c r="A271" s="28" t="s">
        <v>574</v>
      </c>
      <c r="B271" s="28" t="s">
        <v>107</v>
      </c>
      <c r="C271" s="28" t="s">
        <v>1970</v>
      </c>
      <c r="D271" s="29" t="s">
        <v>1702</v>
      </c>
      <c r="E271" s="30" t="s">
        <v>2036</v>
      </c>
      <c r="F271" s="28" t="s">
        <v>578</v>
      </c>
      <c r="G271" s="28" t="s">
        <v>2037</v>
      </c>
      <c r="H271" s="27" t="s">
        <v>1762</v>
      </c>
    </row>
    <row r="272" spans="1:8" s="2" customFormat="1" x14ac:dyDescent="0.25">
      <c r="A272" s="28" t="s">
        <v>1785</v>
      </c>
      <c r="B272" s="28" t="s">
        <v>107</v>
      </c>
      <c r="C272" s="28" t="s">
        <v>2033</v>
      </c>
      <c r="D272" s="29" t="s">
        <v>1702</v>
      </c>
      <c r="E272" s="30" t="s">
        <v>2038</v>
      </c>
      <c r="F272" s="28" t="s">
        <v>1788</v>
      </c>
      <c r="G272" s="28" t="s">
        <v>2039</v>
      </c>
      <c r="H272" s="27" t="s">
        <v>1762</v>
      </c>
    </row>
    <row r="273" spans="1:8" s="3" customFormat="1" x14ac:dyDescent="0.25">
      <c r="A273" s="28" t="s">
        <v>1298</v>
      </c>
      <c r="B273" s="28" t="s">
        <v>107</v>
      </c>
      <c r="C273" s="28" t="s">
        <v>2033</v>
      </c>
      <c r="D273" s="29" t="s">
        <v>1702</v>
      </c>
      <c r="E273" s="30" t="s">
        <v>2040</v>
      </c>
      <c r="F273" s="28" t="s">
        <v>1301</v>
      </c>
      <c r="G273" s="28" t="s">
        <v>2041</v>
      </c>
      <c r="H273" s="27" t="s">
        <v>1762</v>
      </c>
    </row>
    <row r="274" spans="1:8" s="2" customFormat="1" x14ac:dyDescent="0.25">
      <c r="A274" s="28" t="s">
        <v>106</v>
      </c>
      <c r="B274" s="28" t="s">
        <v>107</v>
      </c>
      <c r="C274" s="28" t="s">
        <v>2042</v>
      </c>
      <c r="D274" s="29" t="s">
        <v>1702</v>
      </c>
      <c r="E274" s="30" t="s">
        <v>2043</v>
      </c>
      <c r="F274" s="28" t="s">
        <v>108</v>
      </c>
      <c r="G274" s="28" t="s">
        <v>2044</v>
      </c>
      <c r="H274" s="27" t="s">
        <v>1762</v>
      </c>
    </row>
    <row r="275" spans="1:8" s="3" customFormat="1" x14ac:dyDescent="0.25">
      <c r="A275" s="28" t="s">
        <v>931</v>
      </c>
      <c r="B275" s="28" t="s">
        <v>107</v>
      </c>
      <c r="C275" s="28" t="s">
        <v>2045</v>
      </c>
      <c r="D275" s="29" t="s">
        <v>1702</v>
      </c>
      <c r="E275" s="30" t="s">
        <v>2046</v>
      </c>
      <c r="F275" s="28" t="s">
        <v>934</v>
      </c>
      <c r="G275" s="28" t="s">
        <v>2047</v>
      </c>
      <c r="H275" s="27" t="s">
        <v>1762</v>
      </c>
    </row>
    <row r="276" spans="1:8" s="2" customFormat="1" x14ac:dyDescent="0.25">
      <c r="A276" s="28" t="s">
        <v>591</v>
      </c>
      <c r="B276" s="28" t="s">
        <v>107</v>
      </c>
      <c r="C276" s="28" t="s">
        <v>1970</v>
      </c>
      <c r="D276" s="29" t="s">
        <v>1702</v>
      </c>
      <c r="E276" s="30" t="s">
        <v>2048</v>
      </c>
      <c r="F276" s="28" t="s">
        <v>594</v>
      </c>
      <c r="G276" s="28" t="s">
        <v>2049</v>
      </c>
      <c r="H276" s="27" t="s">
        <v>1762</v>
      </c>
    </row>
    <row r="277" spans="1:8" s="3" customFormat="1" x14ac:dyDescent="0.25">
      <c r="A277" s="28" t="s">
        <v>113</v>
      </c>
      <c r="B277" s="28" t="s">
        <v>105</v>
      </c>
      <c r="C277" s="28" t="s">
        <v>1970</v>
      </c>
      <c r="D277" s="29" t="s">
        <v>1702</v>
      </c>
      <c r="E277" s="30" t="s">
        <v>2050</v>
      </c>
      <c r="F277" s="28" t="s">
        <v>114</v>
      </c>
      <c r="G277" s="28" t="s">
        <v>2051</v>
      </c>
      <c r="H277" s="27" t="s">
        <v>1762</v>
      </c>
    </row>
    <row r="278" spans="1:8" s="2" customFormat="1" x14ac:dyDescent="0.25">
      <c r="A278" s="28" t="s">
        <v>1821</v>
      </c>
      <c r="B278" s="28" t="s">
        <v>107</v>
      </c>
      <c r="C278" s="28" t="s">
        <v>2045</v>
      </c>
      <c r="D278" s="29" t="s">
        <v>1702</v>
      </c>
      <c r="E278" s="30" t="s">
        <v>2052</v>
      </c>
      <c r="F278" s="28" t="s">
        <v>1824</v>
      </c>
      <c r="G278" s="28" t="s">
        <v>2053</v>
      </c>
      <c r="H278" s="27" t="s">
        <v>1762</v>
      </c>
    </row>
    <row r="279" spans="1:8" s="3" customFormat="1" x14ac:dyDescent="0.25">
      <c r="A279" s="28" t="s">
        <v>1902</v>
      </c>
      <c r="B279" s="28" t="s">
        <v>107</v>
      </c>
      <c r="C279" s="28" t="s">
        <v>1970</v>
      </c>
      <c r="D279" s="29" t="s">
        <v>1702</v>
      </c>
      <c r="E279" s="30" t="s">
        <v>2054</v>
      </c>
      <c r="F279" s="28" t="s">
        <v>1903</v>
      </c>
      <c r="G279" s="28" t="s">
        <v>2055</v>
      </c>
      <c r="H279" s="27" t="s">
        <v>1762</v>
      </c>
    </row>
    <row r="280" spans="1:8" s="2" customFormat="1" x14ac:dyDescent="0.25">
      <c r="A280" t="s">
        <v>1756</v>
      </c>
      <c r="B280" t="s">
        <v>105</v>
      </c>
      <c r="C280" t="s">
        <v>1970</v>
      </c>
      <c r="D280" s="5" t="s">
        <v>1702</v>
      </c>
      <c r="E280" s="25" t="s">
        <v>2056</v>
      </c>
      <c r="F280" t="s">
        <v>1758</v>
      </c>
      <c r="G280" t="s">
        <v>2057</v>
      </c>
      <c r="H280" s="24" t="s">
        <v>1762</v>
      </c>
    </row>
    <row r="281" spans="1:8" s="3" customFormat="1" x14ac:dyDescent="0.25">
      <c r="A281" t="s">
        <v>120</v>
      </c>
      <c r="B281" t="s">
        <v>107</v>
      </c>
      <c r="C281" t="s">
        <v>1970</v>
      </c>
      <c r="D281" s="5" t="s">
        <v>1702</v>
      </c>
      <c r="E281" s="25" t="s">
        <v>2058</v>
      </c>
      <c r="F281" t="s">
        <v>121</v>
      </c>
      <c r="G281" t="s">
        <v>2059</v>
      </c>
      <c r="H281" s="24" t="s">
        <v>1762</v>
      </c>
    </row>
    <row r="282" spans="1:8" s="2" customFormat="1" x14ac:dyDescent="0.25">
      <c r="A282" t="s">
        <v>1871</v>
      </c>
      <c r="B282" t="s">
        <v>107</v>
      </c>
      <c r="C282" t="s">
        <v>1970</v>
      </c>
      <c r="D282" s="5" t="s">
        <v>1702</v>
      </c>
      <c r="E282" s="25" t="s">
        <v>2060</v>
      </c>
      <c r="F282" t="s">
        <v>1873</v>
      </c>
      <c r="G282" t="s">
        <v>2061</v>
      </c>
      <c r="H282" s="24" t="s">
        <v>1762</v>
      </c>
    </row>
    <row r="283" spans="1:8" s="3" customFormat="1" x14ac:dyDescent="0.25">
      <c r="A283" t="s">
        <v>1898</v>
      </c>
      <c r="B283" t="s">
        <v>107</v>
      </c>
      <c r="C283" t="s">
        <v>1970</v>
      </c>
      <c r="D283" s="5" t="s">
        <v>1702</v>
      </c>
      <c r="E283" s="25" t="s">
        <v>2062</v>
      </c>
      <c r="F283" t="s">
        <v>1900</v>
      </c>
      <c r="G283" t="s">
        <v>2063</v>
      </c>
      <c r="H283" s="24" t="s">
        <v>1762</v>
      </c>
    </row>
    <row r="284" spans="1:8" s="2" customFormat="1" x14ac:dyDescent="0.25">
      <c r="A284" t="s">
        <v>1847</v>
      </c>
      <c r="B284" t="s">
        <v>107</v>
      </c>
      <c r="C284" t="s">
        <v>2064</v>
      </c>
      <c r="D284" s="5" t="s">
        <v>1702</v>
      </c>
      <c r="E284" s="25" t="s">
        <v>2065</v>
      </c>
      <c r="F284" t="s">
        <v>1728</v>
      </c>
      <c r="G284" t="s">
        <v>2066</v>
      </c>
      <c r="H284" s="24" t="s">
        <v>1762</v>
      </c>
    </row>
    <row r="285" spans="1:8" s="3" customFormat="1" x14ac:dyDescent="0.25">
      <c r="A285" t="s">
        <v>1883</v>
      </c>
      <c r="B285" t="s">
        <v>107</v>
      </c>
      <c r="C285" t="s">
        <v>2067</v>
      </c>
      <c r="D285" s="5" t="s">
        <v>1702</v>
      </c>
      <c r="E285" s="25" t="s">
        <v>2068</v>
      </c>
      <c r="F285" t="s">
        <v>1886</v>
      </c>
      <c r="G285" t="s">
        <v>2069</v>
      </c>
      <c r="H285" s="24" t="s">
        <v>1762</v>
      </c>
    </row>
    <row r="286" spans="1:8" s="2" customFormat="1" x14ac:dyDescent="0.25">
      <c r="A286" t="s">
        <v>1893</v>
      </c>
      <c r="B286" t="s">
        <v>107</v>
      </c>
      <c r="C286" t="s">
        <v>2070</v>
      </c>
      <c r="D286" s="5" t="s">
        <v>1702</v>
      </c>
      <c r="E286" s="25" t="s">
        <v>2071</v>
      </c>
      <c r="F286" t="s">
        <v>1896</v>
      </c>
      <c r="G286" t="s">
        <v>2072</v>
      </c>
      <c r="H286" s="24" t="s">
        <v>1762</v>
      </c>
    </row>
    <row r="287" spans="1:8" s="3" customFormat="1" x14ac:dyDescent="0.25">
      <c r="A287" t="s">
        <v>414</v>
      </c>
      <c r="B287" t="s">
        <v>107</v>
      </c>
      <c r="C287" t="s">
        <v>2073</v>
      </c>
      <c r="D287" s="5" t="s">
        <v>1702</v>
      </c>
      <c r="E287" s="25" t="s">
        <v>2074</v>
      </c>
      <c r="F287" t="s">
        <v>418</v>
      </c>
      <c r="G287" t="s">
        <v>2075</v>
      </c>
      <c r="H287" s="24" t="s">
        <v>1762</v>
      </c>
    </row>
    <row r="288" spans="1:8" s="2" customFormat="1" x14ac:dyDescent="0.25">
      <c r="A288" t="s">
        <v>1914</v>
      </c>
      <c r="B288" t="s">
        <v>105</v>
      </c>
      <c r="C288" t="s">
        <v>1970</v>
      </c>
      <c r="D288" s="5" t="s">
        <v>1702</v>
      </c>
      <c r="E288" s="25" t="s">
        <v>2076</v>
      </c>
      <c r="F288" t="s">
        <v>1916</v>
      </c>
      <c r="G288" t="s">
        <v>2077</v>
      </c>
      <c r="H288" s="24" t="s">
        <v>1762</v>
      </c>
    </row>
    <row r="289" spans="1:8" s="3" customFormat="1" x14ac:dyDescent="0.25">
      <c r="A289" t="s">
        <v>1350</v>
      </c>
      <c r="B289" t="s">
        <v>107</v>
      </c>
      <c r="C289" t="s">
        <v>2078</v>
      </c>
      <c r="D289" s="5" t="s">
        <v>1702</v>
      </c>
      <c r="E289" s="25" t="s">
        <v>2079</v>
      </c>
      <c r="F289" t="s">
        <v>1353</v>
      </c>
      <c r="G289" t="s">
        <v>2080</v>
      </c>
      <c r="H289" s="24" t="s">
        <v>1762</v>
      </c>
    </row>
    <row r="290" spans="1:8" s="2" customFormat="1" x14ac:dyDescent="0.25">
      <c r="A290" t="s">
        <v>1851</v>
      </c>
      <c r="B290" t="s">
        <v>105</v>
      </c>
      <c r="C290" t="s">
        <v>1970</v>
      </c>
      <c r="D290" s="5" t="s">
        <v>1702</v>
      </c>
      <c r="E290" s="25" t="s">
        <v>2081</v>
      </c>
      <c r="F290" t="s">
        <v>638</v>
      </c>
      <c r="G290" t="s">
        <v>2082</v>
      </c>
      <c r="H290" s="24" t="s">
        <v>1762</v>
      </c>
    </row>
    <row r="291" spans="1:8" s="3" customFormat="1" x14ac:dyDescent="0.25">
      <c r="A291" t="s">
        <v>1336</v>
      </c>
      <c r="B291" t="s">
        <v>107</v>
      </c>
      <c r="C291" t="s">
        <v>2083</v>
      </c>
      <c r="D291" s="5" t="s">
        <v>1702</v>
      </c>
      <c r="E291" s="25" t="s">
        <v>2084</v>
      </c>
      <c r="F291" t="s">
        <v>1338</v>
      </c>
      <c r="G291" t="s">
        <v>2085</v>
      </c>
      <c r="H291" s="24" t="s">
        <v>1762</v>
      </c>
    </row>
    <row r="292" spans="1:8" s="2" customFormat="1" x14ac:dyDescent="0.25">
      <c r="A292" t="s">
        <v>1340</v>
      </c>
      <c r="B292" t="s">
        <v>105</v>
      </c>
      <c r="C292" t="s">
        <v>1970</v>
      </c>
      <c r="D292" s="5" t="s">
        <v>1702</v>
      </c>
      <c r="E292" s="25" t="s">
        <v>2086</v>
      </c>
      <c r="F292" t="s">
        <v>1343</v>
      </c>
      <c r="G292" t="s">
        <v>2087</v>
      </c>
      <c r="H292" s="24" t="s">
        <v>1762</v>
      </c>
    </row>
    <row r="293" spans="1:8" s="3" customFormat="1" x14ac:dyDescent="0.25">
      <c r="A293" t="s">
        <v>1400</v>
      </c>
      <c r="B293" t="s">
        <v>107</v>
      </c>
      <c r="C293" t="s">
        <v>2088</v>
      </c>
      <c r="D293" s="5" t="s">
        <v>1702</v>
      </c>
      <c r="E293" s="25" t="s">
        <v>2089</v>
      </c>
      <c r="F293" t="s">
        <v>1403</v>
      </c>
      <c r="G293" t="s">
        <v>2090</v>
      </c>
      <c r="H293" s="24" t="s">
        <v>1762</v>
      </c>
    </row>
    <row r="294" spans="1:8" s="2" customFormat="1" x14ac:dyDescent="0.25">
      <c r="A294" t="s">
        <v>1331</v>
      </c>
      <c r="B294" t="s">
        <v>107</v>
      </c>
      <c r="C294" t="s">
        <v>2083</v>
      </c>
      <c r="D294" s="5" t="s">
        <v>1702</v>
      </c>
      <c r="E294" s="25" t="s">
        <v>2091</v>
      </c>
      <c r="F294" t="s">
        <v>1334</v>
      </c>
      <c r="G294" t="s">
        <v>2092</v>
      </c>
      <c r="H294" s="24" t="s">
        <v>1762</v>
      </c>
    </row>
    <row r="295" spans="1:8" s="3" customFormat="1" x14ac:dyDescent="0.25">
      <c r="A295" t="s">
        <v>1877</v>
      </c>
      <c r="B295" t="s">
        <v>107</v>
      </c>
      <c r="C295" t="s">
        <v>2083</v>
      </c>
      <c r="D295" s="5" t="s">
        <v>1702</v>
      </c>
      <c r="E295" s="25" t="s">
        <v>2093</v>
      </c>
      <c r="F295" t="s">
        <v>1879</v>
      </c>
      <c r="G295" t="s">
        <v>2094</v>
      </c>
      <c r="H295" s="24" t="s">
        <v>1762</v>
      </c>
    </row>
    <row r="296" spans="1:8" s="2" customFormat="1" x14ac:dyDescent="0.25">
      <c r="A296" t="s">
        <v>634</v>
      </c>
      <c r="B296" t="s">
        <v>105</v>
      </c>
      <c r="C296" t="s">
        <v>1970</v>
      </c>
      <c r="D296" s="5" t="s">
        <v>1702</v>
      </c>
      <c r="E296" s="25" t="s">
        <v>2095</v>
      </c>
      <c r="F296" t="s">
        <v>638</v>
      </c>
      <c r="G296" t="s">
        <v>2096</v>
      </c>
      <c r="H296" s="24" t="s">
        <v>1762</v>
      </c>
    </row>
    <row r="297" spans="1:8" s="3" customFormat="1" x14ac:dyDescent="0.25">
      <c r="A297" t="s">
        <v>954</v>
      </c>
      <c r="B297" t="s">
        <v>107</v>
      </c>
      <c r="C297" t="s">
        <v>2083</v>
      </c>
      <c r="D297" s="5" t="s">
        <v>1702</v>
      </c>
      <c r="E297" s="25" t="s">
        <v>2097</v>
      </c>
      <c r="F297" t="s">
        <v>957</v>
      </c>
      <c r="G297" t="s">
        <v>2098</v>
      </c>
      <c r="H297" s="24" t="s">
        <v>1762</v>
      </c>
    </row>
    <row r="298" spans="1:8" s="2" customFormat="1" x14ac:dyDescent="0.25">
      <c r="A298" t="s">
        <v>1374</v>
      </c>
      <c r="B298" t="s">
        <v>105</v>
      </c>
      <c r="C298" t="s">
        <v>1970</v>
      </c>
      <c r="D298" s="5" t="s">
        <v>1702</v>
      </c>
      <c r="E298" s="25" t="s">
        <v>2099</v>
      </c>
      <c r="F298" t="s">
        <v>1376</v>
      </c>
      <c r="G298" t="s">
        <v>2100</v>
      </c>
      <c r="H298" s="24" t="s">
        <v>1762</v>
      </c>
    </row>
    <row r="299" spans="1:8" s="3" customFormat="1" x14ac:dyDescent="0.25">
      <c r="A299" t="s">
        <v>1381</v>
      </c>
      <c r="B299" t="s">
        <v>107</v>
      </c>
      <c r="C299" t="s">
        <v>2088</v>
      </c>
      <c r="D299" s="5" t="s">
        <v>1702</v>
      </c>
      <c r="E299" s="25" t="s">
        <v>2099</v>
      </c>
      <c r="F299" t="s">
        <v>1383</v>
      </c>
      <c r="G299" t="s">
        <v>2101</v>
      </c>
      <c r="H299" s="24" t="s">
        <v>1762</v>
      </c>
    </row>
    <row r="300" spans="1:8" s="2" customFormat="1" x14ac:dyDescent="0.25">
      <c r="A300" t="s">
        <v>1838</v>
      </c>
      <c r="B300" t="s">
        <v>107</v>
      </c>
      <c r="C300" t="s">
        <v>2088</v>
      </c>
      <c r="D300" s="5" t="s">
        <v>1702</v>
      </c>
      <c r="E300" s="25" t="s">
        <v>2102</v>
      </c>
      <c r="F300" t="s">
        <v>1840</v>
      </c>
      <c r="G300" t="s">
        <v>2103</v>
      </c>
      <c r="H300" s="24" t="s">
        <v>1762</v>
      </c>
    </row>
    <row r="301" spans="1:8" s="3" customFormat="1" x14ac:dyDescent="0.25">
      <c r="A301" t="s">
        <v>122</v>
      </c>
      <c r="B301" t="s">
        <v>107</v>
      </c>
      <c r="C301" t="s">
        <v>2104</v>
      </c>
      <c r="D301" s="5" t="s">
        <v>1702</v>
      </c>
      <c r="E301" s="25" t="s">
        <v>2105</v>
      </c>
      <c r="F301" t="s">
        <v>123</v>
      </c>
      <c r="G301" t="s">
        <v>2106</v>
      </c>
      <c r="H301" s="24" t="s">
        <v>1762</v>
      </c>
    </row>
    <row r="302" spans="1:8" s="2" customFormat="1" x14ac:dyDescent="0.25">
      <c r="A302" t="s">
        <v>968</v>
      </c>
      <c r="B302" t="s">
        <v>107</v>
      </c>
      <c r="C302" t="s">
        <v>2083</v>
      </c>
      <c r="D302" s="5" t="s">
        <v>1702</v>
      </c>
      <c r="E302" s="25" t="s">
        <v>2107</v>
      </c>
      <c r="F302" t="s">
        <v>971</v>
      </c>
      <c r="G302" t="s">
        <v>2108</v>
      </c>
      <c r="H302" s="24" t="s">
        <v>1762</v>
      </c>
    </row>
    <row r="303" spans="1:8" s="3" customFormat="1" x14ac:dyDescent="0.25">
      <c r="A303" t="s">
        <v>1907</v>
      </c>
      <c r="B303" t="s">
        <v>105</v>
      </c>
      <c r="C303" t="s">
        <v>1970</v>
      </c>
      <c r="D303" s="5" t="s">
        <v>1702</v>
      </c>
      <c r="E303" s="25" t="s">
        <v>2105</v>
      </c>
      <c r="F303" t="s">
        <v>1908</v>
      </c>
      <c r="G303" t="s">
        <v>2109</v>
      </c>
      <c r="H303" s="24" t="s">
        <v>1762</v>
      </c>
    </row>
    <row r="304" spans="1:8" s="2" customFormat="1" x14ac:dyDescent="0.25">
      <c r="A304" t="s">
        <v>1345</v>
      </c>
      <c r="B304" t="s">
        <v>107</v>
      </c>
      <c r="C304" t="s">
        <v>2110</v>
      </c>
      <c r="D304" s="5" t="s">
        <v>1702</v>
      </c>
      <c r="E304" s="25" t="s">
        <v>2111</v>
      </c>
      <c r="F304" t="s">
        <v>1348</v>
      </c>
      <c r="G304" t="s">
        <v>2112</v>
      </c>
      <c r="H304" s="24" t="s">
        <v>1762</v>
      </c>
    </row>
    <row r="305" spans="1:8" s="3" customFormat="1" x14ac:dyDescent="0.25">
      <c r="A305" t="s">
        <v>1370</v>
      </c>
      <c r="B305" t="s">
        <v>107</v>
      </c>
      <c r="C305" t="s">
        <v>1970</v>
      </c>
      <c r="D305" s="5" t="s">
        <v>1702</v>
      </c>
      <c r="E305" s="25" t="s">
        <v>2113</v>
      </c>
      <c r="F305" t="s">
        <v>1372</v>
      </c>
      <c r="G305" t="s">
        <v>2114</v>
      </c>
      <c r="H305" s="24" t="s">
        <v>1762</v>
      </c>
    </row>
    <row r="306" spans="1:8" s="2" customFormat="1" x14ac:dyDescent="0.25">
      <c r="A306" t="s">
        <v>116</v>
      </c>
      <c r="B306" t="s">
        <v>107</v>
      </c>
      <c r="C306" t="s">
        <v>1970</v>
      </c>
      <c r="D306" s="5" t="s">
        <v>1702</v>
      </c>
      <c r="E306" s="25" t="s">
        <v>2115</v>
      </c>
      <c r="F306" t="s">
        <v>118</v>
      </c>
      <c r="G306" t="s">
        <v>2116</v>
      </c>
      <c r="H306" s="24" t="s">
        <v>1762</v>
      </c>
    </row>
    <row r="307" spans="1:8" s="3" customFormat="1" x14ac:dyDescent="0.25">
      <c r="A307" t="s">
        <v>1336</v>
      </c>
      <c r="B307" t="s">
        <v>410</v>
      </c>
      <c r="C307" t="s">
        <v>2117</v>
      </c>
      <c r="D307" s="5" t="s">
        <v>1702</v>
      </c>
      <c r="E307" s="25" t="s">
        <v>2118</v>
      </c>
      <c r="F307" t="s">
        <v>1338</v>
      </c>
      <c r="G307" t="s">
        <v>2119</v>
      </c>
      <c r="H307" s="24" t="s">
        <v>1762</v>
      </c>
    </row>
    <row r="308" spans="1:8" s="2" customFormat="1" x14ac:dyDescent="0.25">
      <c r="A308" t="s">
        <v>102</v>
      </c>
      <c r="B308" t="s">
        <v>103</v>
      </c>
      <c r="C308" t="s">
        <v>2120</v>
      </c>
      <c r="D308" s="5" t="s">
        <v>1702</v>
      </c>
      <c r="E308" s="25" t="s">
        <v>2121</v>
      </c>
      <c r="F308" t="s">
        <v>104</v>
      </c>
      <c r="G308" t="s">
        <v>2122</v>
      </c>
      <c r="H308" s="24" t="s">
        <v>1762</v>
      </c>
    </row>
    <row r="309" spans="1:8" s="3" customFormat="1" x14ac:dyDescent="0.25">
      <c r="A309" t="s">
        <v>102</v>
      </c>
      <c r="B309" t="s">
        <v>103</v>
      </c>
      <c r="C309" t="s">
        <v>2123</v>
      </c>
      <c r="D309" s="5" t="s">
        <v>1702</v>
      </c>
      <c r="E309" s="25" t="s">
        <v>2124</v>
      </c>
      <c r="F309" t="s">
        <v>8</v>
      </c>
      <c r="G309" t="s">
        <v>2125</v>
      </c>
      <c r="H309" s="24" t="s">
        <v>1762</v>
      </c>
    </row>
    <row r="310" spans="1:8" s="2" customFormat="1" x14ac:dyDescent="0.25">
      <c r="A310" t="s">
        <v>116</v>
      </c>
      <c r="B310" t="s">
        <v>117</v>
      </c>
      <c r="C310" t="s">
        <v>2126</v>
      </c>
      <c r="D310" s="5" t="s">
        <v>1702</v>
      </c>
      <c r="E310" s="25" t="s">
        <v>2127</v>
      </c>
      <c r="F310" t="s">
        <v>118</v>
      </c>
      <c r="G310" t="s">
        <v>2128</v>
      </c>
      <c r="H310" s="24" t="s">
        <v>1762</v>
      </c>
    </row>
    <row r="311" spans="1:8" s="3" customFormat="1" x14ac:dyDescent="0.25">
      <c r="A311" t="s">
        <v>116</v>
      </c>
      <c r="B311" t="s">
        <v>117</v>
      </c>
      <c r="C311" t="s">
        <v>2129</v>
      </c>
      <c r="D311" s="5" t="s">
        <v>1702</v>
      </c>
      <c r="E311" s="25" t="s">
        <v>2130</v>
      </c>
      <c r="F311" t="s">
        <v>118</v>
      </c>
      <c r="G311" t="s">
        <v>2131</v>
      </c>
      <c r="H311" s="24" t="s">
        <v>1762</v>
      </c>
    </row>
    <row r="312" spans="1:8" s="2" customFormat="1" x14ac:dyDescent="0.25">
      <c r="A312" t="s">
        <v>102</v>
      </c>
      <c r="B312" t="s">
        <v>103</v>
      </c>
      <c r="C312" t="s">
        <v>2132</v>
      </c>
      <c r="D312" s="5" t="s">
        <v>1702</v>
      </c>
      <c r="E312" s="25" t="s">
        <v>2133</v>
      </c>
      <c r="F312" t="s">
        <v>104</v>
      </c>
      <c r="G312" t="s">
        <v>2134</v>
      </c>
      <c r="H312" s="24" t="s">
        <v>1762</v>
      </c>
    </row>
    <row r="313" spans="1:8" s="3" customFormat="1" x14ac:dyDescent="0.25">
      <c r="A313" t="s">
        <v>102</v>
      </c>
      <c r="B313" t="s">
        <v>103</v>
      </c>
      <c r="C313" t="s">
        <v>2135</v>
      </c>
      <c r="D313" s="5" t="s">
        <v>1702</v>
      </c>
      <c r="E313" s="25" t="s">
        <v>2136</v>
      </c>
      <c r="F313" t="s">
        <v>8</v>
      </c>
      <c r="G313" t="s">
        <v>2137</v>
      </c>
      <c r="H313" s="24" t="s">
        <v>1762</v>
      </c>
    </row>
    <row r="314" spans="1:8" s="2" customFormat="1" x14ac:dyDescent="0.25">
      <c r="A314" t="s">
        <v>122</v>
      </c>
      <c r="B314" t="s">
        <v>107</v>
      </c>
      <c r="C314" t="s">
        <v>2138</v>
      </c>
      <c r="D314" s="5" t="s">
        <v>1702</v>
      </c>
      <c r="E314" s="25" t="s">
        <v>2139</v>
      </c>
      <c r="F314" t="s">
        <v>123</v>
      </c>
      <c r="G314" t="s">
        <v>2140</v>
      </c>
      <c r="H314" s="24" t="s">
        <v>1762</v>
      </c>
    </row>
    <row r="315" spans="1:8" s="3" customFormat="1" x14ac:dyDescent="0.25">
      <c r="A315" t="s">
        <v>122</v>
      </c>
      <c r="B315" t="s">
        <v>107</v>
      </c>
      <c r="C315" t="s">
        <v>2138</v>
      </c>
      <c r="D315" s="5" t="s">
        <v>1702</v>
      </c>
      <c r="E315" s="25" t="s">
        <v>2141</v>
      </c>
      <c r="F315" t="s">
        <v>123</v>
      </c>
      <c r="G315" t="s">
        <v>2142</v>
      </c>
      <c r="H315" s="24" t="s">
        <v>1762</v>
      </c>
    </row>
    <row r="316" spans="1:8" s="2" customFormat="1" x14ac:dyDescent="0.25">
      <c r="A316" t="s">
        <v>102</v>
      </c>
      <c r="B316" t="s">
        <v>103</v>
      </c>
      <c r="C316" t="s">
        <v>2143</v>
      </c>
      <c r="D316" s="5" t="s">
        <v>1702</v>
      </c>
      <c r="E316" s="25" t="s">
        <v>2144</v>
      </c>
      <c r="F316" t="s">
        <v>104</v>
      </c>
      <c r="G316" t="s">
        <v>2145</v>
      </c>
      <c r="H316" s="24" t="s">
        <v>1762</v>
      </c>
    </row>
    <row r="317" spans="1:8" s="3" customFormat="1" x14ac:dyDescent="0.25">
      <c r="A317" t="s">
        <v>102</v>
      </c>
      <c r="B317" t="s">
        <v>103</v>
      </c>
      <c r="C317" t="s">
        <v>2146</v>
      </c>
      <c r="D317" s="5" t="s">
        <v>1702</v>
      </c>
      <c r="E317" s="25" t="s">
        <v>2147</v>
      </c>
      <c r="F317" t="s">
        <v>8</v>
      </c>
      <c r="G317" t="s">
        <v>2148</v>
      </c>
      <c r="H317" s="24" t="s">
        <v>1762</v>
      </c>
    </row>
    <row r="318" spans="1:8" s="2" customFormat="1" x14ac:dyDescent="0.25">
      <c r="A318" t="s">
        <v>591</v>
      </c>
      <c r="B318" t="s">
        <v>2149</v>
      </c>
      <c r="C318" t="s">
        <v>2150</v>
      </c>
      <c r="D318" s="5" t="s">
        <v>1702</v>
      </c>
      <c r="E318" s="25" t="s">
        <v>2151</v>
      </c>
      <c r="F318" t="s">
        <v>594</v>
      </c>
      <c r="G318" t="s">
        <v>2152</v>
      </c>
      <c r="H318" s="24" t="s">
        <v>1762</v>
      </c>
    </row>
    <row r="319" spans="1:8" s="3" customFormat="1" x14ac:dyDescent="0.25">
      <c r="A319" t="s">
        <v>102</v>
      </c>
      <c r="B319" t="s">
        <v>103</v>
      </c>
      <c r="C319" t="s">
        <v>2153</v>
      </c>
      <c r="D319" s="5" t="s">
        <v>1702</v>
      </c>
      <c r="E319" s="25" t="s">
        <v>2154</v>
      </c>
      <c r="F319" t="s">
        <v>104</v>
      </c>
      <c r="G319" t="s">
        <v>2155</v>
      </c>
      <c r="H319" s="24" t="s">
        <v>1762</v>
      </c>
    </row>
    <row r="320" spans="1:8" s="2" customFormat="1" x14ac:dyDescent="0.25">
      <c r="A320" t="s">
        <v>102</v>
      </c>
      <c r="B320" t="s">
        <v>103</v>
      </c>
      <c r="C320" t="s">
        <v>2156</v>
      </c>
      <c r="D320" s="5" t="s">
        <v>1702</v>
      </c>
      <c r="E320" s="25" t="s">
        <v>2157</v>
      </c>
      <c r="F320" t="s">
        <v>8</v>
      </c>
      <c r="G320" t="s">
        <v>2158</v>
      </c>
      <c r="H320" s="24" t="s">
        <v>1762</v>
      </c>
    </row>
    <row r="321" spans="1:8" s="3" customFormat="1" x14ac:dyDescent="0.25">
      <c r="A321" t="s">
        <v>591</v>
      </c>
      <c r="B321" t="s">
        <v>107</v>
      </c>
      <c r="C321" t="s">
        <v>2159</v>
      </c>
      <c r="D321" s="5" t="s">
        <v>1702</v>
      </c>
      <c r="E321" s="25" t="s">
        <v>2160</v>
      </c>
      <c r="F321" t="s">
        <v>594</v>
      </c>
      <c r="G321" t="s">
        <v>2161</v>
      </c>
      <c r="H321" s="24" t="s">
        <v>1762</v>
      </c>
    </row>
    <row r="322" spans="1:8" s="2" customFormat="1" x14ac:dyDescent="0.25">
      <c r="A322" t="s">
        <v>102</v>
      </c>
      <c r="B322" t="s">
        <v>103</v>
      </c>
      <c r="C322" t="s">
        <v>2162</v>
      </c>
      <c r="D322" s="5" t="s">
        <v>1702</v>
      </c>
      <c r="E322" s="25" t="s">
        <v>2163</v>
      </c>
      <c r="F322" t="s">
        <v>104</v>
      </c>
      <c r="G322" t="s">
        <v>2164</v>
      </c>
      <c r="H322" s="24" t="s">
        <v>1762</v>
      </c>
    </row>
    <row r="323" spans="1:8" s="3" customFormat="1" x14ac:dyDescent="0.25">
      <c r="A323" t="s">
        <v>102</v>
      </c>
      <c r="B323" t="s">
        <v>103</v>
      </c>
      <c r="C323" t="s">
        <v>2165</v>
      </c>
      <c r="D323" s="5" t="s">
        <v>1702</v>
      </c>
      <c r="E323" s="25" t="s">
        <v>2166</v>
      </c>
      <c r="F323" t="s">
        <v>8</v>
      </c>
      <c r="G323" t="s">
        <v>2167</v>
      </c>
      <c r="H323" s="24" t="s">
        <v>1762</v>
      </c>
    </row>
    <row r="324" spans="1:8" s="2" customFormat="1" x14ac:dyDescent="0.25">
      <c r="A324" t="s">
        <v>102</v>
      </c>
      <c r="B324" t="s">
        <v>103</v>
      </c>
      <c r="C324" t="s">
        <v>2168</v>
      </c>
      <c r="D324" s="5" t="s">
        <v>1702</v>
      </c>
      <c r="E324" s="25" t="s">
        <v>2169</v>
      </c>
      <c r="F324" t="s">
        <v>104</v>
      </c>
      <c r="G324" t="s">
        <v>2170</v>
      </c>
      <c r="H324" s="24" t="s">
        <v>1762</v>
      </c>
    </row>
    <row r="325" spans="1:8" s="3" customFormat="1" x14ac:dyDescent="0.25">
      <c r="A325" t="s">
        <v>102</v>
      </c>
      <c r="B325" t="s">
        <v>103</v>
      </c>
      <c r="C325" t="s">
        <v>2171</v>
      </c>
      <c r="D325" s="5" t="s">
        <v>1702</v>
      </c>
      <c r="E325" s="25" t="s">
        <v>2172</v>
      </c>
      <c r="F325" t="s">
        <v>8</v>
      </c>
      <c r="G325" t="s">
        <v>2173</v>
      </c>
      <c r="H325" s="24" t="s">
        <v>1762</v>
      </c>
    </row>
    <row r="326" spans="1:8" s="2" customFormat="1" x14ac:dyDescent="0.25">
      <c r="A326" t="s">
        <v>1719</v>
      </c>
      <c r="B326" t="s">
        <v>2174</v>
      </c>
      <c r="C326" t="s">
        <v>2175</v>
      </c>
      <c r="D326" s="5" t="s">
        <v>1702</v>
      </c>
      <c r="E326" s="25" t="s">
        <v>2176</v>
      </c>
      <c r="F326" t="s">
        <v>8</v>
      </c>
      <c r="G326" t="s">
        <v>2177</v>
      </c>
      <c r="H326" s="24" t="s">
        <v>1762</v>
      </c>
    </row>
    <row r="327" spans="1:8" s="3" customFormat="1" x14ac:dyDescent="0.25">
      <c r="A327" t="s">
        <v>1719</v>
      </c>
      <c r="B327" t="s">
        <v>2178</v>
      </c>
      <c r="C327" t="s">
        <v>2179</v>
      </c>
      <c r="D327" s="5" t="s">
        <v>1702</v>
      </c>
      <c r="E327" s="25" t="s">
        <v>2180</v>
      </c>
      <c r="F327" t="s">
        <v>8</v>
      </c>
      <c r="G327" t="s">
        <v>2181</v>
      </c>
      <c r="H327" s="24" t="s">
        <v>1762</v>
      </c>
    </row>
    <row r="328" spans="1:8" s="2" customFormat="1" x14ac:dyDescent="0.25">
      <c r="A328" t="s">
        <v>1719</v>
      </c>
      <c r="B328" t="s">
        <v>2178</v>
      </c>
      <c r="C328" t="s">
        <v>2182</v>
      </c>
      <c r="D328" s="5" t="s">
        <v>1702</v>
      </c>
      <c r="E328" s="25" t="s">
        <v>2183</v>
      </c>
      <c r="F328" t="s">
        <v>104</v>
      </c>
      <c r="G328" t="s">
        <v>2184</v>
      </c>
      <c r="H328" s="24" t="s">
        <v>1762</v>
      </c>
    </row>
    <row r="329" spans="1:8" s="3" customFormat="1" x14ac:dyDescent="0.25">
      <c r="A329" t="s">
        <v>1719</v>
      </c>
      <c r="B329" t="s">
        <v>2174</v>
      </c>
      <c r="C329" t="s">
        <v>2185</v>
      </c>
      <c r="D329" s="5" t="s">
        <v>1702</v>
      </c>
      <c r="E329" s="25" t="s">
        <v>2186</v>
      </c>
      <c r="F329" t="s">
        <v>104</v>
      </c>
      <c r="G329" t="s">
        <v>2187</v>
      </c>
      <c r="H329" s="24" t="s">
        <v>1762</v>
      </c>
    </row>
    <row r="330" spans="1:8" s="2" customFormat="1" x14ac:dyDescent="0.25">
      <c r="A330" t="s">
        <v>102</v>
      </c>
      <c r="B330" t="s">
        <v>2188</v>
      </c>
      <c r="C330" t="s">
        <v>2189</v>
      </c>
      <c r="D330" s="5" t="s">
        <v>1702</v>
      </c>
      <c r="E330" s="25" t="s">
        <v>2190</v>
      </c>
      <c r="F330" t="s">
        <v>8</v>
      </c>
      <c r="G330" t="s">
        <v>2191</v>
      </c>
      <c r="H330" s="24" t="s">
        <v>1762</v>
      </c>
    </row>
    <row r="331" spans="1:8" s="3" customFormat="1" x14ac:dyDescent="0.25">
      <c r="A331" t="s">
        <v>1719</v>
      </c>
      <c r="B331" t="s">
        <v>2178</v>
      </c>
      <c r="C331" t="s">
        <v>2179</v>
      </c>
      <c r="D331" s="5" t="s">
        <v>1702</v>
      </c>
      <c r="E331" s="25" t="s">
        <v>2190</v>
      </c>
      <c r="F331" t="s">
        <v>8</v>
      </c>
      <c r="G331" t="s">
        <v>2192</v>
      </c>
      <c r="H331" s="24" t="s">
        <v>1762</v>
      </c>
    </row>
    <row r="332" spans="1:8" s="2" customFormat="1" x14ac:dyDescent="0.25">
      <c r="A332" t="s">
        <v>1719</v>
      </c>
      <c r="B332" t="s">
        <v>2174</v>
      </c>
      <c r="C332" t="s">
        <v>2175</v>
      </c>
      <c r="D332" s="5" t="s">
        <v>1702</v>
      </c>
      <c r="E332" s="25" t="s">
        <v>2193</v>
      </c>
      <c r="F332" t="s">
        <v>8</v>
      </c>
      <c r="G332" t="s">
        <v>2194</v>
      </c>
      <c r="H332" s="24" t="s">
        <v>1762</v>
      </c>
    </row>
    <row r="333" spans="1:8" s="3" customFormat="1" x14ac:dyDescent="0.25">
      <c r="A333" t="s">
        <v>102</v>
      </c>
      <c r="B333" t="s">
        <v>2195</v>
      </c>
      <c r="C333" t="s">
        <v>2196</v>
      </c>
      <c r="D333" s="5" t="s">
        <v>1702</v>
      </c>
      <c r="E333" s="25" t="s">
        <v>2197</v>
      </c>
      <c r="F333" t="s">
        <v>8</v>
      </c>
      <c r="G333" t="s">
        <v>2198</v>
      </c>
      <c r="H333" s="24" t="s">
        <v>1762</v>
      </c>
    </row>
    <row r="334" spans="1:8" s="2" customFormat="1" x14ac:dyDescent="0.25">
      <c r="A334" t="s">
        <v>1719</v>
      </c>
      <c r="B334" t="s">
        <v>2178</v>
      </c>
      <c r="C334" t="s">
        <v>2182</v>
      </c>
      <c r="D334" s="5" t="s">
        <v>1702</v>
      </c>
      <c r="E334" s="25" t="s">
        <v>2199</v>
      </c>
      <c r="F334" t="s">
        <v>104</v>
      </c>
      <c r="G334" t="s">
        <v>2200</v>
      </c>
      <c r="H334" s="24" t="s">
        <v>1762</v>
      </c>
    </row>
    <row r="335" spans="1:8" s="3" customFormat="1" x14ac:dyDescent="0.25">
      <c r="A335" t="s">
        <v>102</v>
      </c>
      <c r="B335" t="s">
        <v>2195</v>
      </c>
      <c r="C335" t="s">
        <v>2201</v>
      </c>
      <c r="D335" s="5" t="s">
        <v>1702</v>
      </c>
      <c r="E335" s="25" t="s">
        <v>2202</v>
      </c>
      <c r="F335" t="s">
        <v>104</v>
      </c>
      <c r="G335" t="s">
        <v>2203</v>
      </c>
      <c r="H335" s="24" t="s">
        <v>1762</v>
      </c>
    </row>
    <row r="336" spans="1:8" s="2" customFormat="1" x14ac:dyDescent="0.25">
      <c r="A336" t="s">
        <v>1719</v>
      </c>
      <c r="B336" t="s">
        <v>2174</v>
      </c>
      <c r="C336" t="s">
        <v>2185</v>
      </c>
      <c r="D336" s="5" t="s">
        <v>1702</v>
      </c>
      <c r="E336" s="25" t="s">
        <v>2204</v>
      </c>
      <c r="F336" t="s">
        <v>104</v>
      </c>
      <c r="G336" t="s">
        <v>2205</v>
      </c>
      <c r="H336" s="24" t="s">
        <v>1762</v>
      </c>
    </row>
    <row r="337" spans="1:8" s="3" customFormat="1" x14ac:dyDescent="0.25">
      <c r="A337" t="s">
        <v>102</v>
      </c>
      <c r="B337" t="s">
        <v>103</v>
      </c>
      <c r="C337" t="s">
        <v>2168</v>
      </c>
      <c r="D337" s="5" t="s">
        <v>1702</v>
      </c>
      <c r="E337" s="25" t="s">
        <v>2206</v>
      </c>
      <c r="F337" t="s">
        <v>104</v>
      </c>
      <c r="G337" t="s">
        <v>2207</v>
      </c>
      <c r="H337" s="24" t="s">
        <v>1762</v>
      </c>
    </row>
    <row r="338" spans="1:8" s="2" customFormat="1" x14ac:dyDescent="0.25">
      <c r="A338" t="s">
        <v>102</v>
      </c>
      <c r="B338" t="s">
        <v>2188</v>
      </c>
      <c r="C338" t="s">
        <v>2208</v>
      </c>
      <c r="D338" s="5" t="s">
        <v>1702</v>
      </c>
      <c r="E338" s="25" t="s">
        <v>2209</v>
      </c>
      <c r="F338" t="s">
        <v>104</v>
      </c>
      <c r="G338" t="s">
        <v>2210</v>
      </c>
      <c r="H338" s="24" t="s">
        <v>1762</v>
      </c>
    </row>
    <row r="339" spans="1:8" s="3" customFormat="1" x14ac:dyDescent="0.25">
      <c r="A339" t="s">
        <v>102</v>
      </c>
      <c r="B339" t="s">
        <v>103</v>
      </c>
      <c r="C339" t="s">
        <v>2171</v>
      </c>
      <c r="D339" s="5" t="s">
        <v>1702</v>
      </c>
      <c r="E339" s="25" t="s">
        <v>2211</v>
      </c>
      <c r="F339" t="s">
        <v>8</v>
      </c>
      <c r="G339" t="s">
        <v>2212</v>
      </c>
      <c r="H339" s="24" t="s">
        <v>1762</v>
      </c>
    </row>
    <row r="340" spans="1:8" s="2" customFormat="1" x14ac:dyDescent="0.25">
      <c r="A340" t="s">
        <v>102</v>
      </c>
      <c r="B340" t="s">
        <v>103</v>
      </c>
      <c r="C340" t="s">
        <v>2213</v>
      </c>
      <c r="D340" s="5" t="s">
        <v>1702</v>
      </c>
      <c r="E340" s="25" t="s">
        <v>2214</v>
      </c>
      <c r="F340" t="s">
        <v>104</v>
      </c>
      <c r="G340" t="s">
        <v>2215</v>
      </c>
      <c r="H340" s="24" t="s">
        <v>1762</v>
      </c>
    </row>
    <row r="341" spans="1:8" s="3" customFormat="1" x14ac:dyDescent="0.25">
      <c r="A341" t="s">
        <v>102</v>
      </c>
      <c r="B341" t="s">
        <v>103</v>
      </c>
      <c r="C341" t="s">
        <v>2216</v>
      </c>
      <c r="D341" s="5" t="s">
        <v>1702</v>
      </c>
      <c r="E341" s="25" t="s">
        <v>2217</v>
      </c>
      <c r="F341" t="s">
        <v>8</v>
      </c>
      <c r="G341" t="s">
        <v>2218</v>
      </c>
      <c r="H341" s="24" t="s">
        <v>1762</v>
      </c>
    </row>
    <row r="342" spans="1:8" s="2" customFormat="1" x14ac:dyDescent="0.25">
      <c r="A342" t="s">
        <v>574</v>
      </c>
      <c r="B342" t="s">
        <v>2219</v>
      </c>
      <c r="C342" t="s">
        <v>2220</v>
      </c>
      <c r="D342" s="5" t="s">
        <v>1702</v>
      </c>
      <c r="E342" s="25" t="s">
        <v>2221</v>
      </c>
      <c r="F342" t="s">
        <v>578</v>
      </c>
      <c r="G342" t="s">
        <v>2222</v>
      </c>
      <c r="H342" s="24" t="s">
        <v>1762</v>
      </c>
    </row>
    <row r="343" spans="1:8" s="3" customFormat="1" x14ac:dyDescent="0.25">
      <c r="A343" t="s">
        <v>122</v>
      </c>
      <c r="B343" t="s">
        <v>107</v>
      </c>
      <c r="C343" t="s">
        <v>2223</v>
      </c>
      <c r="D343" s="5" t="s">
        <v>1702</v>
      </c>
      <c r="E343" s="25" t="s">
        <v>2224</v>
      </c>
      <c r="F343" t="s">
        <v>123</v>
      </c>
      <c r="G343" t="s">
        <v>2225</v>
      </c>
      <c r="H343" s="24" t="s">
        <v>1762</v>
      </c>
    </row>
    <row r="344" spans="1:8" s="2" customFormat="1" x14ac:dyDescent="0.25">
      <c r="A344" t="s">
        <v>1671</v>
      </c>
      <c r="B344" t="s">
        <v>107</v>
      </c>
      <c r="C344" t="s">
        <v>2226</v>
      </c>
      <c r="D344" s="5" t="s">
        <v>1702</v>
      </c>
      <c r="E344" s="25" t="s">
        <v>2227</v>
      </c>
      <c r="F344" t="s">
        <v>1343</v>
      </c>
      <c r="G344" t="s">
        <v>2228</v>
      </c>
      <c r="H344" s="24" t="s">
        <v>1762</v>
      </c>
    </row>
    <row r="345" spans="1:8" s="3" customFormat="1" x14ac:dyDescent="0.25">
      <c r="A345" t="s">
        <v>11</v>
      </c>
      <c r="B345" t="s">
        <v>12</v>
      </c>
      <c r="C345" t="s">
        <v>2229</v>
      </c>
      <c r="D345" s="5" t="s">
        <v>1702</v>
      </c>
      <c r="E345" s="25" t="s">
        <v>1356</v>
      </c>
      <c r="F345" t="s">
        <v>8</v>
      </c>
      <c r="G345" t="s">
        <v>2230</v>
      </c>
      <c r="H345" s="24" t="s">
        <v>1762</v>
      </c>
    </row>
    <row r="346" spans="1:8" s="2" customFormat="1" x14ac:dyDescent="0.25">
      <c r="A346" t="s">
        <v>14</v>
      </c>
      <c r="B346" t="s">
        <v>15</v>
      </c>
      <c r="C346" t="s">
        <v>2231</v>
      </c>
      <c r="D346" s="5" t="s">
        <v>1702</v>
      </c>
      <c r="E346" s="25" t="s">
        <v>2232</v>
      </c>
      <c r="F346" t="s">
        <v>13</v>
      </c>
      <c r="G346" t="s">
        <v>2233</v>
      </c>
      <c r="H346" s="24" t="s">
        <v>1762</v>
      </c>
    </row>
    <row r="347" spans="1:8" s="3" customFormat="1" x14ac:dyDescent="0.25">
      <c r="A347" t="s">
        <v>102</v>
      </c>
      <c r="B347" t="s">
        <v>103</v>
      </c>
      <c r="C347" t="s">
        <v>2234</v>
      </c>
      <c r="D347" s="5" t="s">
        <v>1702</v>
      </c>
      <c r="E347" s="25" t="s">
        <v>2235</v>
      </c>
      <c r="F347" t="s">
        <v>104</v>
      </c>
      <c r="G347" t="s">
        <v>2236</v>
      </c>
      <c r="H347" s="24" t="s">
        <v>1762</v>
      </c>
    </row>
    <row r="348" spans="1:8" s="2" customFormat="1" x14ac:dyDescent="0.25">
      <c r="A348" t="s">
        <v>102</v>
      </c>
      <c r="B348" t="s">
        <v>103</v>
      </c>
      <c r="C348" t="s">
        <v>2237</v>
      </c>
      <c r="D348" s="5" t="s">
        <v>1702</v>
      </c>
      <c r="E348" s="25" t="s">
        <v>2238</v>
      </c>
      <c r="F348" t="s">
        <v>8</v>
      </c>
      <c r="G348" t="s">
        <v>2239</v>
      </c>
      <c r="H348" s="24" t="s">
        <v>1762</v>
      </c>
    </row>
    <row r="349" spans="1:8" s="3" customFormat="1" x14ac:dyDescent="0.25">
      <c r="A349" t="s">
        <v>110</v>
      </c>
      <c r="B349" t="s">
        <v>111</v>
      </c>
      <c r="C349" t="s">
        <v>2240</v>
      </c>
      <c r="D349" s="5" t="s">
        <v>2241</v>
      </c>
      <c r="E349" s="25" t="s">
        <v>2242</v>
      </c>
      <c r="F349" t="s">
        <v>112</v>
      </c>
      <c r="G349" t="s">
        <v>2243</v>
      </c>
      <c r="H349" s="24" t="s">
        <v>2244</v>
      </c>
    </row>
    <row r="350" spans="1:8" s="2" customFormat="1" x14ac:dyDescent="0.25">
      <c r="A350" t="s">
        <v>110</v>
      </c>
      <c r="B350" t="s">
        <v>115</v>
      </c>
      <c r="C350" t="s">
        <v>2245</v>
      </c>
      <c r="D350" s="5" t="s">
        <v>2241</v>
      </c>
      <c r="E350" s="25" t="s">
        <v>2246</v>
      </c>
      <c r="F350" t="s">
        <v>112</v>
      </c>
      <c r="G350" t="s">
        <v>2247</v>
      </c>
      <c r="H350" s="24" t="s">
        <v>2244</v>
      </c>
    </row>
    <row r="351" spans="1:8" s="3" customFormat="1" x14ac:dyDescent="0.25">
      <c r="A351" t="s">
        <v>11</v>
      </c>
      <c r="B351" t="s">
        <v>12</v>
      </c>
      <c r="C351" t="s">
        <v>2248</v>
      </c>
      <c r="D351" s="5" t="s">
        <v>2241</v>
      </c>
      <c r="E351" s="25" t="s">
        <v>2249</v>
      </c>
      <c r="F351" t="s">
        <v>104</v>
      </c>
      <c r="G351" t="s">
        <v>2250</v>
      </c>
      <c r="H351" s="24" t="s">
        <v>2244</v>
      </c>
    </row>
    <row r="352" spans="1:8" s="2" customFormat="1" x14ac:dyDescent="0.25">
      <c r="A352" t="s">
        <v>102</v>
      </c>
      <c r="B352" t="s">
        <v>103</v>
      </c>
      <c r="C352" t="s">
        <v>2251</v>
      </c>
      <c r="D352" s="5" t="s">
        <v>2241</v>
      </c>
      <c r="E352" s="25" t="s">
        <v>2252</v>
      </c>
      <c r="F352" t="s">
        <v>104</v>
      </c>
      <c r="G352" t="s">
        <v>2253</v>
      </c>
      <c r="H352" s="24" t="s">
        <v>2244</v>
      </c>
    </row>
    <row r="353" spans="1:8" s="3" customFormat="1" x14ac:dyDescent="0.25">
      <c r="A353" t="s">
        <v>102</v>
      </c>
      <c r="B353" t="s">
        <v>103</v>
      </c>
      <c r="C353" t="s">
        <v>2254</v>
      </c>
      <c r="D353" s="5" t="s">
        <v>2241</v>
      </c>
      <c r="E353" s="25" t="s">
        <v>2255</v>
      </c>
      <c r="F353" t="s">
        <v>8</v>
      </c>
      <c r="G353" t="s">
        <v>2256</v>
      </c>
      <c r="H353" s="24" t="s">
        <v>2244</v>
      </c>
    </row>
    <row r="354" spans="1:8" s="2" customFormat="1" x14ac:dyDescent="0.25">
      <c r="A354" t="s">
        <v>1336</v>
      </c>
      <c r="B354" t="s">
        <v>410</v>
      </c>
      <c r="C354" t="s">
        <v>2257</v>
      </c>
      <c r="D354" s="5" t="s">
        <v>2241</v>
      </c>
      <c r="E354" s="25" t="s">
        <v>2258</v>
      </c>
      <c r="F354" t="s">
        <v>1338</v>
      </c>
      <c r="G354" t="s">
        <v>2259</v>
      </c>
      <c r="H354" s="24" t="s">
        <v>2244</v>
      </c>
    </row>
    <row r="355" spans="1:8" s="3" customFormat="1" x14ac:dyDescent="0.25">
      <c r="A355" t="s">
        <v>120</v>
      </c>
      <c r="B355" t="s">
        <v>410</v>
      </c>
      <c r="C355" t="s">
        <v>2260</v>
      </c>
      <c r="D355" s="5" t="s">
        <v>2241</v>
      </c>
      <c r="E355" s="25" t="s">
        <v>2261</v>
      </c>
      <c r="F355" t="s">
        <v>121</v>
      </c>
      <c r="G355" t="s">
        <v>2262</v>
      </c>
      <c r="H355" s="24" t="s">
        <v>2244</v>
      </c>
    </row>
    <row r="356" spans="1:8" s="2" customFormat="1" x14ac:dyDescent="0.25">
      <c r="A356" t="s">
        <v>122</v>
      </c>
      <c r="B356" t="s">
        <v>107</v>
      </c>
      <c r="C356" t="s">
        <v>2263</v>
      </c>
      <c r="D356" s="5" t="s">
        <v>2241</v>
      </c>
      <c r="E356" s="25" t="s">
        <v>2264</v>
      </c>
      <c r="F356" t="s">
        <v>123</v>
      </c>
      <c r="G356" t="s">
        <v>2265</v>
      </c>
      <c r="H356" s="24" t="s">
        <v>2244</v>
      </c>
    </row>
    <row r="357" spans="1:8" s="3" customFormat="1" x14ac:dyDescent="0.25">
      <c r="A357" t="s">
        <v>102</v>
      </c>
      <c r="B357" t="s">
        <v>103</v>
      </c>
      <c r="C357" t="s">
        <v>2266</v>
      </c>
      <c r="D357" s="5" t="s">
        <v>2241</v>
      </c>
      <c r="E357" s="25" t="s">
        <v>2267</v>
      </c>
      <c r="F357" t="s">
        <v>104</v>
      </c>
      <c r="G357" t="s">
        <v>2268</v>
      </c>
      <c r="H357" s="24" t="s">
        <v>2244</v>
      </c>
    </row>
    <row r="358" spans="1:8" s="2" customFormat="1" x14ac:dyDescent="0.25">
      <c r="A358" t="s">
        <v>102</v>
      </c>
      <c r="B358" t="s">
        <v>103</v>
      </c>
      <c r="C358" t="s">
        <v>2269</v>
      </c>
      <c r="D358" s="5" t="s">
        <v>2241</v>
      </c>
      <c r="E358" s="25" t="s">
        <v>2270</v>
      </c>
      <c r="F358" t="s">
        <v>8</v>
      </c>
      <c r="G358" t="s">
        <v>2271</v>
      </c>
      <c r="H358" s="24" t="s">
        <v>2244</v>
      </c>
    </row>
    <row r="359" spans="1:8" s="3" customFormat="1" x14ac:dyDescent="0.25">
      <c r="A359" t="s">
        <v>643</v>
      </c>
      <c r="B359" t="s">
        <v>107</v>
      </c>
      <c r="C359" t="s">
        <v>2272</v>
      </c>
      <c r="D359" s="5" t="s">
        <v>2241</v>
      </c>
      <c r="E359" s="25" t="s">
        <v>2273</v>
      </c>
      <c r="F359" t="s">
        <v>108</v>
      </c>
      <c r="G359" t="s">
        <v>2274</v>
      </c>
      <c r="H359" s="24" t="s">
        <v>2244</v>
      </c>
    </row>
    <row r="360" spans="1:8" s="2" customFormat="1" x14ac:dyDescent="0.25">
      <c r="A360" t="s">
        <v>106</v>
      </c>
      <c r="B360" t="s">
        <v>107</v>
      </c>
      <c r="C360" t="s">
        <v>2275</v>
      </c>
      <c r="D360" s="5" t="s">
        <v>2241</v>
      </c>
      <c r="E360" s="25" t="s">
        <v>2276</v>
      </c>
      <c r="F360" t="s">
        <v>108</v>
      </c>
      <c r="G360" t="s">
        <v>2277</v>
      </c>
      <c r="H360" s="24" t="s">
        <v>2244</v>
      </c>
    </row>
    <row r="361" spans="1:8" s="3" customFormat="1" x14ac:dyDescent="0.25">
      <c r="A361" t="s">
        <v>102</v>
      </c>
      <c r="B361" t="s">
        <v>103</v>
      </c>
      <c r="C361" t="s">
        <v>2278</v>
      </c>
      <c r="D361" s="5" t="s">
        <v>2241</v>
      </c>
      <c r="E361" s="25" t="s">
        <v>2279</v>
      </c>
      <c r="F361" t="s">
        <v>104</v>
      </c>
      <c r="G361" t="s">
        <v>2280</v>
      </c>
      <c r="H361" s="24" t="s">
        <v>2244</v>
      </c>
    </row>
    <row r="362" spans="1:8" s="2" customFormat="1" x14ac:dyDescent="0.25">
      <c r="A362" t="s">
        <v>102</v>
      </c>
      <c r="B362" t="s">
        <v>103</v>
      </c>
      <c r="C362" t="s">
        <v>2281</v>
      </c>
      <c r="D362" s="5" t="s">
        <v>2241</v>
      </c>
      <c r="E362" s="25" t="s">
        <v>2282</v>
      </c>
      <c r="F362" t="s">
        <v>8</v>
      </c>
      <c r="G362" t="s">
        <v>2283</v>
      </c>
      <c r="H362" s="24" t="s">
        <v>2244</v>
      </c>
    </row>
    <row r="363" spans="1:8" s="3" customFormat="1" x14ac:dyDescent="0.25">
      <c r="A363" t="s">
        <v>116</v>
      </c>
      <c r="B363" t="s">
        <v>117</v>
      </c>
      <c r="C363" t="s">
        <v>2284</v>
      </c>
      <c r="D363" s="5" t="s">
        <v>2241</v>
      </c>
      <c r="E363" s="25" t="s">
        <v>2285</v>
      </c>
      <c r="F363" t="s">
        <v>118</v>
      </c>
      <c r="G363" t="s">
        <v>2286</v>
      </c>
      <c r="H363" s="24" t="s">
        <v>2244</v>
      </c>
    </row>
    <row r="364" spans="1:8" s="2" customFormat="1" x14ac:dyDescent="0.25">
      <c r="A364" t="s">
        <v>102</v>
      </c>
      <c r="B364" t="s">
        <v>103</v>
      </c>
      <c r="C364" t="s">
        <v>2287</v>
      </c>
      <c r="D364" s="5" t="s">
        <v>2241</v>
      </c>
      <c r="E364" s="25" t="s">
        <v>2288</v>
      </c>
      <c r="F364" t="s">
        <v>104</v>
      </c>
      <c r="G364" t="s">
        <v>2289</v>
      </c>
      <c r="H364" s="24" t="s">
        <v>2244</v>
      </c>
    </row>
    <row r="365" spans="1:8" s="3" customFormat="1" x14ac:dyDescent="0.25">
      <c r="A365" t="s">
        <v>102</v>
      </c>
      <c r="B365" t="s">
        <v>103</v>
      </c>
      <c r="C365" t="s">
        <v>2290</v>
      </c>
      <c r="D365" s="5" t="s">
        <v>2241</v>
      </c>
      <c r="E365" s="25" t="s">
        <v>2291</v>
      </c>
      <c r="F365" t="s">
        <v>8</v>
      </c>
      <c r="G365" t="s">
        <v>2292</v>
      </c>
      <c r="H365" s="24" t="s">
        <v>2244</v>
      </c>
    </row>
    <row r="366" spans="1:8" s="2" customFormat="1" x14ac:dyDescent="0.25">
      <c r="A366" t="s">
        <v>130</v>
      </c>
      <c r="B366" t="s">
        <v>131</v>
      </c>
      <c r="C366" t="s">
        <v>2293</v>
      </c>
      <c r="D366" s="5" t="s">
        <v>2241</v>
      </c>
      <c r="E366" s="25" t="s">
        <v>2294</v>
      </c>
      <c r="F366" t="s">
        <v>119</v>
      </c>
      <c r="G366" t="s">
        <v>2295</v>
      </c>
      <c r="H366" s="24" t="s">
        <v>2244</v>
      </c>
    </row>
    <row r="367" spans="1:8" s="3" customFormat="1" x14ac:dyDescent="0.25">
      <c r="A367" t="s">
        <v>102</v>
      </c>
      <c r="B367" t="s">
        <v>103</v>
      </c>
      <c r="C367" t="s">
        <v>2296</v>
      </c>
      <c r="D367" s="5" t="s">
        <v>2241</v>
      </c>
      <c r="E367" s="25" t="s">
        <v>2297</v>
      </c>
      <c r="F367" t="s">
        <v>104</v>
      </c>
      <c r="G367" t="s">
        <v>2298</v>
      </c>
      <c r="H367" s="24" t="s">
        <v>2244</v>
      </c>
    </row>
    <row r="368" spans="1:8" s="2" customFormat="1" x14ac:dyDescent="0.25">
      <c r="A368" t="s">
        <v>102</v>
      </c>
      <c r="B368" t="s">
        <v>103</v>
      </c>
      <c r="C368" t="s">
        <v>2299</v>
      </c>
      <c r="D368" s="5" t="s">
        <v>2241</v>
      </c>
      <c r="E368" s="25" t="s">
        <v>2300</v>
      </c>
      <c r="F368" t="s">
        <v>8</v>
      </c>
      <c r="G368" t="s">
        <v>2301</v>
      </c>
      <c r="H368" s="24" t="s">
        <v>2244</v>
      </c>
    </row>
    <row r="369" spans="1:8" s="3" customFormat="1" x14ac:dyDescent="0.25">
      <c r="A369" t="s">
        <v>102</v>
      </c>
      <c r="B369" t="s">
        <v>103</v>
      </c>
      <c r="C369" t="s">
        <v>2302</v>
      </c>
      <c r="D369" s="5" t="s">
        <v>2241</v>
      </c>
      <c r="E369" s="25" t="s">
        <v>2303</v>
      </c>
      <c r="F369" t="s">
        <v>104</v>
      </c>
      <c r="G369" t="s">
        <v>2304</v>
      </c>
      <c r="H369" s="24" t="s">
        <v>2244</v>
      </c>
    </row>
    <row r="370" spans="1:8" s="2" customFormat="1" x14ac:dyDescent="0.25">
      <c r="A370" t="s">
        <v>102</v>
      </c>
      <c r="B370" t="s">
        <v>103</v>
      </c>
      <c r="C370" t="s">
        <v>2305</v>
      </c>
      <c r="D370" s="5" t="s">
        <v>2241</v>
      </c>
      <c r="E370" s="25" t="s">
        <v>2306</v>
      </c>
      <c r="F370" t="s">
        <v>8</v>
      </c>
      <c r="G370" t="s">
        <v>2307</v>
      </c>
      <c r="H370" s="24" t="s">
        <v>2244</v>
      </c>
    </row>
    <row r="371" spans="1:8" s="3" customFormat="1" x14ac:dyDescent="0.25">
      <c r="A371" t="s">
        <v>120</v>
      </c>
      <c r="B371" t="s">
        <v>128</v>
      </c>
      <c r="C371" t="s">
        <v>2308</v>
      </c>
      <c r="D371" s="5" t="s">
        <v>2241</v>
      </c>
      <c r="E371" s="25" t="s">
        <v>2309</v>
      </c>
      <c r="F371" t="s">
        <v>121</v>
      </c>
      <c r="G371" t="s">
        <v>2310</v>
      </c>
      <c r="H371" s="24" t="s">
        <v>2244</v>
      </c>
    </row>
    <row r="372" spans="1:8" s="2" customFormat="1" x14ac:dyDescent="0.25">
      <c r="A372" t="s">
        <v>120</v>
      </c>
      <c r="B372" t="s">
        <v>128</v>
      </c>
      <c r="C372" t="s">
        <v>2308</v>
      </c>
      <c r="D372" s="5" t="s">
        <v>2241</v>
      </c>
      <c r="E372" s="25" t="s">
        <v>2311</v>
      </c>
      <c r="F372" t="s">
        <v>121</v>
      </c>
      <c r="G372" t="s">
        <v>2312</v>
      </c>
      <c r="H372" s="24" t="s">
        <v>2244</v>
      </c>
    </row>
    <row r="373" spans="1:8" s="3" customFormat="1" x14ac:dyDescent="0.25">
      <c r="A373" t="s">
        <v>102</v>
      </c>
      <c r="B373" t="s">
        <v>103</v>
      </c>
      <c r="C373" t="s">
        <v>2313</v>
      </c>
      <c r="D373" s="5" t="s">
        <v>2241</v>
      </c>
      <c r="E373" s="25" t="s">
        <v>2314</v>
      </c>
      <c r="F373" t="s">
        <v>104</v>
      </c>
      <c r="G373" t="s">
        <v>2315</v>
      </c>
      <c r="H373" s="24" t="s">
        <v>2244</v>
      </c>
    </row>
    <row r="374" spans="1:8" s="2" customFormat="1" x14ac:dyDescent="0.25">
      <c r="A374" t="s">
        <v>102</v>
      </c>
      <c r="B374" t="s">
        <v>103</v>
      </c>
      <c r="C374" t="s">
        <v>2316</v>
      </c>
      <c r="D374" s="5" t="s">
        <v>2241</v>
      </c>
      <c r="E374" s="25" t="s">
        <v>2317</v>
      </c>
      <c r="F374" t="s">
        <v>8</v>
      </c>
      <c r="G374" t="s">
        <v>2318</v>
      </c>
      <c r="H374" s="24" t="s">
        <v>2244</v>
      </c>
    </row>
    <row r="375" spans="1:8" s="3" customFormat="1" x14ac:dyDescent="0.25">
      <c r="A375" t="s">
        <v>643</v>
      </c>
      <c r="B375" t="s">
        <v>107</v>
      </c>
      <c r="C375" t="s">
        <v>2319</v>
      </c>
      <c r="D375" s="5" t="s">
        <v>2241</v>
      </c>
      <c r="E375" s="25" t="s">
        <v>2320</v>
      </c>
      <c r="F375" t="s">
        <v>108</v>
      </c>
      <c r="G375" t="s">
        <v>2321</v>
      </c>
      <c r="H375" s="24" t="s">
        <v>2244</v>
      </c>
    </row>
    <row r="376" spans="1:8" s="2" customFormat="1" x14ac:dyDescent="0.25">
      <c r="A376" t="s">
        <v>120</v>
      </c>
      <c r="B376" t="s">
        <v>128</v>
      </c>
      <c r="C376" t="s">
        <v>2322</v>
      </c>
      <c r="D376" s="5" t="s">
        <v>2241</v>
      </c>
      <c r="E376" s="25" t="s">
        <v>2323</v>
      </c>
      <c r="F376" t="s">
        <v>121</v>
      </c>
      <c r="G376" t="s">
        <v>2324</v>
      </c>
      <c r="H376" s="24" t="s">
        <v>2244</v>
      </c>
    </row>
    <row r="377" spans="1:8" s="3" customFormat="1" x14ac:dyDescent="0.25">
      <c r="A377" t="s">
        <v>106</v>
      </c>
      <c r="B377" t="s">
        <v>107</v>
      </c>
      <c r="C377" t="s">
        <v>2325</v>
      </c>
      <c r="D377" s="5" t="s">
        <v>2241</v>
      </c>
      <c r="E377" s="25" t="s">
        <v>2326</v>
      </c>
      <c r="F377" t="s">
        <v>108</v>
      </c>
      <c r="G377" t="s">
        <v>2327</v>
      </c>
      <c r="H377" s="24" t="s">
        <v>2244</v>
      </c>
    </row>
    <row r="378" spans="1:8" s="2" customFormat="1" x14ac:dyDescent="0.25">
      <c r="A378" t="s">
        <v>120</v>
      </c>
      <c r="B378" t="s">
        <v>128</v>
      </c>
      <c r="C378" t="s">
        <v>2322</v>
      </c>
      <c r="D378" s="5" t="s">
        <v>2241</v>
      </c>
      <c r="E378" s="25" t="s">
        <v>2328</v>
      </c>
      <c r="F378" t="s">
        <v>121</v>
      </c>
      <c r="G378" t="s">
        <v>2329</v>
      </c>
      <c r="H378" s="24" t="s">
        <v>2244</v>
      </c>
    </row>
    <row r="379" spans="1:8" s="3" customFormat="1" x14ac:dyDescent="0.25">
      <c r="A379" t="s">
        <v>102</v>
      </c>
      <c r="B379" t="s">
        <v>103</v>
      </c>
      <c r="C379" t="s">
        <v>2313</v>
      </c>
      <c r="D379" s="5" t="s">
        <v>2241</v>
      </c>
      <c r="E379" s="25" t="s">
        <v>2330</v>
      </c>
      <c r="F379" t="s">
        <v>104</v>
      </c>
      <c r="G379" t="s">
        <v>2331</v>
      </c>
      <c r="H379" s="24" t="s">
        <v>2244</v>
      </c>
    </row>
    <row r="380" spans="1:8" s="2" customFormat="1" x14ac:dyDescent="0.25">
      <c r="A380" t="s">
        <v>102</v>
      </c>
      <c r="B380" t="s">
        <v>103</v>
      </c>
      <c r="C380" t="s">
        <v>2316</v>
      </c>
      <c r="D380" s="5" t="s">
        <v>2241</v>
      </c>
      <c r="E380" s="25" t="s">
        <v>2332</v>
      </c>
      <c r="F380" t="s">
        <v>8</v>
      </c>
      <c r="G380" t="s">
        <v>2333</v>
      </c>
      <c r="H380" s="24" t="s">
        <v>2244</v>
      </c>
    </row>
    <row r="381" spans="1:8" s="3" customFormat="1" x14ac:dyDescent="0.25">
      <c r="A381" t="s">
        <v>130</v>
      </c>
      <c r="B381" t="s">
        <v>131</v>
      </c>
      <c r="C381" t="s">
        <v>2334</v>
      </c>
      <c r="D381" s="5" t="s">
        <v>2241</v>
      </c>
      <c r="E381" s="25" t="s">
        <v>2214</v>
      </c>
      <c r="F381" t="s">
        <v>119</v>
      </c>
      <c r="G381" t="s">
        <v>2335</v>
      </c>
      <c r="H381" s="24" t="s">
        <v>2244</v>
      </c>
    </row>
    <row r="382" spans="1:8" s="2" customFormat="1" x14ac:dyDescent="0.25">
      <c r="A382" t="s">
        <v>120</v>
      </c>
      <c r="B382" t="s">
        <v>128</v>
      </c>
      <c r="C382" t="s">
        <v>2336</v>
      </c>
      <c r="D382" s="5" t="s">
        <v>2241</v>
      </c>
      <c r="E382" s="25" t="s">
        <v>2337</v>
      </c>
      <c r="F382" t="s">
        <v>121</v>
      </c>
      <c r="G382" t="s">
        <v>2338</v>
      </c>
      <c r="H382" s="24" t="s">
        <v>2244</v>
      </c>
    </row>
    <row r="383" spans="1:8" s="3" customFormat="1" x14ac:dyDescent="0.25">
      <c r="A383" t="s">
        <v>120</v>
      </c>
      <c r="B383" t="s">
        <v>128</v>
      </c>
      <c r="C383" t="s">
        <v>2336</v>
      </c>
      <c r="D383" s="5" t="s">
        <v>2241</v>
      </c>
      <c r="E383" s="25" t="s">
        <v>2339</v>
      </c>
      <c r="F383" t="s">
        <v>121</v>
      </c>
      <c r="G383" t="s">
        <v>2340</v>
      </c>
      <c r="H383" s="24" t="s">
        <v>2244</v>
      </c>
    </row>
    <row r="384" spans="1:8" s="2" customFormat="1" x14ac:dyDescent="0.25">
      <c r="A384" t="s">
        <v>120</v>
      </c>
      <c r="B384" t="s">
        <v>128</v>
      </c>
      <c r="C384" t="s">
        <v>2341</v>
      </c>
      <c r="D384" s="5" t="s">
        <v>2241</v>
      </c>
      <c r="E384" s="25" t="s">
        <v>2342</v>
      </c>
      <c r="F384" t="s">
        <v>121</v>
      </c>
      <c r="G384" t="s">
        <v>2343</v>
      </c>
      <c r="H384" s="24" t="s">
        <v>2244</v>
      </c>
    </row>
    <row r="385" spans="1:8" s="3" customFormat="1" x14ac:dyDescent="0.25">
      <c r="A385" t="s">
        <v>122</v>
      </c>
      <c r="B385" t="s">
        <v>107</v>
      </c>
      <c r="C385" t="s">
        <v>2344</v>
      </c>
      <c r="D385" s="5" t="s">
        <v>2241</v>
      </c>
      <c r="E385" s="25" t="s">
        <v>2345</v>
      </c>
      <c r="F385" t="s">
        <v>123</v>
      </c>
      <c r="G385" t="s">
        <v>2346</v>
      </c>
      <c r="H385" s="24" t="s">
        <v>2244</v>
      </c>
    </row>
    <row r="386" spans="1:8" s="2" customFormat="1" x14ac:dyDescent="0.25">
      <c r="A386" t="s">
        <v>749</v>
      </c>
      <c r="B386" t="s">
        <v>410</v>
      </c>
      <c r="C386" t="s">
        <v>2347</v>
      </c>
      <c r="D386" s="5" t="s">
        <v>2241</v>
      </c>
      <c r="E386" s="25" t="s">
        <v>2348</v>
      </c>
      <c r="F386" t="s">
        <v>752</v>
      </c>
      <c r="G386" t="s">
        <v>2349</v>
      </c>
      <c r="H386" s="24" t="s">
        <v>2244</v>
      </c>
    </row>
    <row r="387" spans="1:8" s="3" customFormat="1" x14ac:dyDescent="0.25">
      <c r="A387" t="s">
        <v>102</v>
      </c>
      <c r="B387" t="s">
        <v>103</v>
      </c>
      <c r="C387" t="s">
        <v>2350</v>
      </c>
      <c r="D387" s="5" t="s">
        <v>2241</v>
      </c>
      <c r="E387" s="25" t="s">
        <v>2351</v>
      </c>
      <c r="F387" t="s">
        <v>104</v>
      </c>
      <c r="G387" t="s">
        <v>2352</v>
      </c>
      <c r="H387" s="24" t="s">
        <v>2244</v>
      </c>
    </row>
    <row r="388" spans="1:8" s="2" customFormat="1" x14ac:dyDescent="0.25">
      <c r="A388" t="s">
        <v>102</v>
      </c>
      <c r="B388" t="s">
        <v>103</v>
      </c>
      <c r="C388" t="s">
        <v>2353</v>
      </c>
      <c r="D388" s="5" t="s">
        <v>2241</v>
      </c>
      <c r="E388" s="25" t="s">
        <v>2354</v>
      </c>
      <c r="F388" t="s">
        <v>8</v>
      </c>
      <c r="G388" t="s">
        <v>2355</v>
      </c>
      <c r="H388" s="24" t="s">
        <v>2244</v>
      </c>
    </row>
    <row r="389" spans="1:8" s="3" customFormat="1" x14ac:dyDescent="0.25">
      <c r="A389" t="s">
        <v>11</v>
      </c>
      <c r="B389" t="s">
        <v>12</v>
      </c>
      <c r="C389" t="s">
        <v>2356</v>
      </c>
      <c r="D389" s="5" t="s">
        <v>2241</v>
      </c>
      <c r="E389" s="25" t="s">
        <v>1356</v>
      </c>
      <c r="F389" t="s">
        <v>8</v>
      </c>
      <c r="G389" t="s">
        <v>2357</v>
      </c>
      <c r="H389" s="24" t="s">
        <v>2244</v>
      </c>
    </row>
    <row r="390" spans="1:8" s="2" customFormat="1" x14ac:dyDescent="0.25">
      <c r="A390" t="s">
        <v>110</v>
      </c>
      <c r="B390" t="s">
        <v>111</v>
      </c>
      <c r="C390" t="s">
        <v>2358</v>
      </c>
      <c r="D390" s="5" t="s">
        <v>407</v>
      </c>
      <c r="E390" s="25" t="s">
        <v>2359</v>
      </c>
      <c r="F390" t="s">
        <v>112</v>
      </c>
      <c r="G390" t="s">
        <v>2360</v>
      </c>
      <c r="H390" s="24" t="s">
        <v>2361</v>
      </c>
    </row>
    <row r="391" spans="1:8" s="3" customFormat="1" x14ac:dyDescent="0.25">
      <c r="A391" t="s">
        <v>110</v>
      </c>
      <c r="B391" t="s">
        <v>115</v>
      </c>
      <c r="C391" t="s">
        <v>2362</v>
      </c>
      <c r="D391" s="5" t="s">
        <v>407</v>
      </c>
      <c r="E391" s="25" t="s">
        <v>2363</v>
      </c>
      <c r="F391" t="s">
        <v>112</v>
      </c>
      <c r="G391" t="s">
        <v>2364</v>
      </c>
      <c r="H391" s="24" t="s">
        <v>2361</v>
      </c>
    </row>
    <row r="392" spans="1:8" s="2" customFormat="1" x14ac:dyDescent="0.25">
      <c r="A392" t="s">
        <v>11</v>
      </c>
      <c r="B392" t="s">
        <v>12</v>
      </c>
      <c r="C392" t="s">
        <v>2365</v>
      </c>
      <c r="D392" s="5" t="s">
        <v>407</v>
      </c>
      <c r="E392" s="25" t="s">
        <v>2366</v>
      </c>
      <c r="F392" t="s">
        <v>104</v>
      </c>
      <c r="G392" t="s">
        <v>2367</v>
      </c>
      <c r="H392" s="24" t="s">
        <v>2361</v>
      </c>
    </row>
    <row r="393" spans="1:8" s="3" customFormat="1" x14ac:dyDescent="0.25">
      <c r="A393" t="s">
        <v>102</v>
      </c>
      <c r="B393" t="s">
        <v>103</v>
      </c>
      <c r="C393" t="s">
        <v>2368</v>
      </c>
      <c r="D393" s="5" t="s">
        <v>407</v>
      </c>
      <c r="E393" s="25" t="s">
        <v>2369</v>
      </c>
      <c r="F393" t="s">
        <v>104</v>
      </c>
      <c r="G393" t="s">
        <v>2370</v>
      </c>
      <c r="H393" s="24" t="s">
        <v>2361</v>
      </c>
    </row>
    <row r="394" spans="1:8" s="2" customFormat="1" x14ac:dyDescent="0.25">
      <c r="A394" t="s">
        <v>102</v>
      </c>
      <c r="B394" t="s">
        <v>103</v>
      </c>
      <c r="C394" t="s">
        <v>2371</v>
      </c>
      <c r="D394" s="5" t="s">
        <v>407</v>
      </c>
      <c r="E394" s="25" t="s">
        <v>2372</v>
      </c>
      <c r="F394" t="s">
        <v>8</v>
      </c>
      <c r="G394" t="s">
        <v>2373</v>
      </c>
      <c r="H394" s="24" t="s">
        <v>2361</v>
      </c>
    </row>
    <row r="395" spans="1:8" s="3" customFormat="1" x14ac:dyDescent="0.25">
      <c r="A395" t="s">
        <v>120</v>
      </c>
      <c r="B395" t="s">
        <v>410</v>
      </c>
      <c r="C395" t="s">
        <v>2374</v>
      </c>
      <c r="D395" s="5" t="s">
        <v>407</v>
      </c>
      <c r="E395" s="25" t="s">
        <v>2375</v>
      </c>
      <c r="F395" t="s">
        <v>121</v>
      </c>
      <c r="G395" t="s">
        <v>2376</v>
      </c>
      <c r="H395" s="24" t="s">
        <v>2361</v>
      </c>
    </row>
    <row r="396" spans="1:8" s="2" customFormat="1" x14ac:dyDescent="0.25">
      <c r="A396" t="s">
        <v>102</v>
      </c>
      <c r="B396" t="s">
        <v>103</v>
      </c>
      <c r="C396" t="s">
        <v>2377</v>
      </c>
      <c r="D396" s="5" t="s">
        <v>407</v>
      </c>
      <c r="E396" s="25" t="s">
        <v>2378</v>
      </c>
      <c r="F396" t="s">
        <v>104</v>
      </c>
      <c r="G396" t="s">
        <v>2379</v>
      </c>
      <c r="H396" s="24" t="s">
        <v>2361</v>
      </c>
    </row>
    <row r="397" spans="1:8" s="3" customFormat="1" x14ac:dyDescent="0.25">
      <c r="A397" t="s">
        <v>102</v>
      </c>
      <c r="B397" t="s">
        <v>103</v>
      </c>
      <c r="C397" t="s">
        <v>2380</v>
      </c>
      <c r="D397" s="5" t="s">
        <v>407</v>
      </c>
      <c r="E397" s="25" t="s">
        <v>2381</v>
      </c>
      <c r="F397" t="s">
        <v>8</v>
      </c>
      <c r="G397" t="s">
        <v>2382</v>
      </c>
      <c r="H397" s="24" t="s">
        <v>2361</v>
      </c>
    </row>
    <row r="398" spans="1:8" s="2" customFormat="1" x14ac:dyDescent="0.25">
      <c r="A398" t="s">
        <v>102</v>
      </c>
      <c r="B398" t="s">
        <v>103</v>
      </c>
      <c r="C398" t="s">
        <v>2383</v>
      </c>
      <c r="D398" s="5" t="s">
        <v>407</v>
      </c>
      <c r="E398" s="25" t="s">
        <v>2384</v>
      </c>
      <c r="F398" t="s">
        <v>104</v>
      </c>
      <c r="G398" t="s">
        <v>2385</v>
      </c>
      <c r="H398" s="24" t="s">
        <v>2361</v>
      </c>
    </row>
    <row r="399" spans="1:8" s="3" customFormat="1" x14ac:dyDescent="0.25">
      <c r="A399" t="s">
        <v>102</v>
      </c>
      <c r="B399" t="s">
        <v>103</v>
      </c>
      <c r="C399" t="s">
        <v>2386</v>
      </c>
      <c r="D399" s="5" t="s">
        <v>407</v>
      </c>
      <c r="E399" s="25" t="s">
        <v>2387</v>
      </c>
      <c r="F399" t="s">
        <v>8</v>
      </c>
      <c r="G399" t="s">
        <v>2388</v>
      </c>
      <c r="H399" s="24" t="s">
        <v>2361</v>
      </c>
    </row>
    <row r="400" spans="1:8" s="2" customFormat="1" x14ac:dyDescent="0.25">
      <c r="A400" t="s">
        <v>102</v>
      </c>
      <c r="B400" t="s">
        <v>103</v>
      </c>
      <c r="C400" t="s">
        <v>2389</v>
      </c>
      <c r="D400" s="5" t="s">
        <v>407</v>
      </c>
      <c r="E400" s="25" t="s">
        <v>2390</v>
      </c>
      <c r="F400" t="s">
        <v>104</v>
      </c>
      <c r="G400" t="s">
        <v>2391</v>
      </c>
      <c r="H400" s="24" t="s">
        <v>2361</v>
      </c>
    </row>
    <row r="401" spans="1:8" s="3" customFormat="1" x14ac:dyDescent="0.25">
      <c r="A401" t="s">
        <v>102</v>
      </c>
      <c r="B401" t="s">
        <v>103</v>
      </c>
      <c r="C401" t="s">
        <v>2392</v>
      </c>
      <c r="D401" s="5" t="s">
        <v>407</v>
      </c>
      <c r="E401" s="25" t="s">
        <v>2393</v>
      </c>
      <c r="F401" t="s">
        <v>8</v>
      </c>
      <c r="G401" t="s">
        <v>2394</v>
      </c>
      <c r="H401" s="24" t="s">
        <v>2361</v>
      </c>
    </row>
    <row r="402" spans="1:8" s="2" customFormat="1" x14ac:dyDescent="0.25">
      <c r="A402" t="s">
        <v>125</v>
      </c>
      <c r="B402" t="s">
        <v>105</v>
      </c>
      <c r="C402" t="s">
        <v>2395</v>
      </c>
      <c r="D402" s="5" t="s">
        <v>407</v>
      </c>
      <c r="E402" s="25" t="s">
        <v>2396</v>
      </c>
      <c r="F402" t="s">
        <v>126</v>
      </c>
      <c r="G402" t="s">
        <v>2397</v>
      </c>
      <c r="H402" s="24" t="s">
        <v>2361</v>
      </c>
    </row>
    <row r="403" spans="1:8" s="3" customFormat="1" x14ac:dyDescent="0.25">
      <c r="A403" t="s">
        <v>125</v>
      </c>
      <c r="B403" t="s">
        <v>105</v>
      </c>
      <c r="C403" t="s">
        <v>2398</v>
      </c>
      <c r="D403" s="5" t="s">
        <v>407</v>
      </c>
      <c r="E403" s="25" t="s">
        <v>2399</v>
      </c>
      <c r="F403" t="s">
        <v>127</v>
      </c>
      <c r="G403" t="s">
        <v>2400</v>
      </c>
      <c r="H403" s="24" t="s">
        <v>2361</v>
      </c>
    </row>
    <row r="404" spans="1:8" s="2" customFormat="1" x14ac:dyDescent="0.25">
      <c r="A404" t="s">
        <v>116</v>
      </c>
      <c r="B404" t="s">
        <v>117</v>
      </c>
      <c r="C404" t="s">
        <v>2401</v>
      </c>
      <c r="D404" s="5" t="s">
        <v>407</v>
      </c>
      <c r="E404" s="25" t="s">
        <v>2402</v>
      </c>
      <c r="F404" t="s">
        <v>118</v>
      </c>
      <c r="G404" t="s">
        <v>2403</v>
      </c>
      <c r="H404" s="24" t="s">
        <v>2361</v>
      </c>
    </row>
    <row r="405" spans="1:8" s="3" customFormat="1" x14ac:dyDescent="0.25">
      <c r="A405" t="s">
        <v>102</v>
      </c>
      <c r="B405" t="s">
        <v>103</v>
      </c>
      <c r="C405" t="s">
        <v>2404</v>
      </c>
      <c r="D405" s="5" t="s">
        <v>407</v>
      </c>
      <c r="E405" s="25" t="s">
        <v>2405</v>
      </c>
      <c r="F405" t="s">
        <v>104</v>
      </c>
      <c r="G405" t="s">
        <v>2406</v>
      </c>
      <c r="H405" s="24" t="s">
        <v>2361</v>
      </c>
    </row>
    <row r="406" spans="1:8" s="2" customFormat="1" x14ac:dyDescent="0.25">
      <c r="A406" t="s">
        <v>102</v>
      </c>
      <c r="B406" t="s">
        <v>103</v>
      </c>
      <c r="C406" t="s">
        <v>2407</v>
      </c>
      <c r="D406" s="5" t="s">
        <v>407</v>
      </c>
      <c r="E406" s="25" t="s">
        <v>2408</v>
      </c>
      <c r="F406" t="s">
        <v>8</v>
      </c>
      <c r="G406" t="s">
        <v>2409</v>
      </c>
      <c r="H406" s="24" t="s">
        <v>2361</v>
      </c>
    </row>
    <row r="407" spans="1:8" s="3" customFormat="1" x14ac:dyDescent="0.25">
      <c r="A407" t="s">
        <v>116</v>
      </c>
      <c r="B407" t="s">
        <v>117</v>
      </c>
      <c r="C407" t="s">
        <v>2410</v>
      </c>
      <c r="D407" s="5" t="s">
        <v>407</v>
      </c>
      <c r="E407" s="25" t="s">
        <v>2411</v>
      </c>
      <c r="F407" t="s">
        <v>118</v>
      </c>
      <c r="G407" t="s">
        <v>2412</v>
      </c>
      <c r="H407" s="24" t="s">
        <v>2361</v>
      </c>
    </row>
    <row r="408" spans="1:8" s="2" customFormat="1" x14ac:dyDescent="0.25">
      <c r="A408" t="s">
        <v>102</v>
      </c>
      <c r="B408" t="s">
        <v>103</v>
      </c>
      <c r="C408" t="s">
        <v>2413</v>
      </c>
      <c r="D408" s="5" t="s">
        <v>407</v>
      </c>
      <c r="E408" s="25" t="s">
        <v>2414</v>
      </c>
      <c r="F408" t="s">
        <v>104</v>
      </c>
      <c r="G408" t="s">
        <v>2415</v>
      </c>
      <c r="H408" s="24" t="s">
        <v>2361</v>
      </c>
    </row>
    <row r="409" spans="1:8" s="3" customFormat="1" x14ac:dyDescent="0.25">
      <c r="A409" t="s">
        <v>102</v>
      </c>
      <c r="B409" t="s">
        <v>103</v>
      </c>
      <c r="C409" t="s">
        <v>2416</v>
      </c>
      <c r="D409" s="5" t="s">
        <v>407</v>
      </c>
      <c r="E409" s="25" t="s">
        <v>2417</v>
      </c>
      <c r="F409" t="s">
        <v>8</v>
      </c>
      <c r="G409" t="s">
        <v>2418</v>
      </c>
      <c r="H409" s="24" t="s">
        <v>2361</v>
      </c>
    </row>
    <row r="410" spans="1:8" s="2" customFormat="1" x14ac:dyDescent="0.25">
      <c r="A410" t="s">
        <v>125</v>
      </c>
      <c r="B410" t="s">
        <v>2419</v>
      </c>
      <c r="C410" t="s">
        <v>2420</v>
      </c>
      <c r="D410" s="5" t="s">
        <v>407</v>
      </c>
      <c r="E410" s="25" t="s">
        <v>2421</v>
      </c>
      <c r="F410" t="s">
        <v>126</v>
      </c>
      <c r="G410" t="s">
        <v>2422</v>
      </c>
      <c r="H410" s="24" t="s">
        <v>2361</v>
      </c>
    </row>
    <row r="411" spans="1:8" s="3" customFormat="1" x14ac:dyDescent="0.25">
      <c r="A411" t="s">
        <v>125</v>
      </c>
      <c r="B411" t="s">
        <v>2423</v>
      </c>
      <c r="C411" t="s">
        <v>2424</v>
      </c>
      <c r="D411" s="5" t="s">
        <v>407</v>
      </c>
      <c r="E411" s="25" t="s">
        <v>2425</v>
      </c>
      <c r="F411" t="s">
        <v>126</v>
      </c>
      <c r="G411" t="s">
        <v>2426</v>
      </c>
      <c r="H411" s="24" t="s">
        <v>2361</v>
      </c>
    </row>
    <row r="412" spans="1:8" s="2" customFormat="1" x14ac:dyDescent="0.25">
      <c r="A412" t="s">
        <v>125</v>
      </c>
      <c r="B412" t="s">
        <v>2427</v>
      </c>
      <c r="C412" t="s">
        <v>2428</v>
      </c>
      <c r="D412" s="5" t="s">
        <v>407</v>
      </c>
      <c r="E412" s="25" t="s">
        <v>2429</v>
      </c>
      <c r="F412" t="s">
        <v>126</v>
      </c>
      <c r="G412" t="s">
        <v>2430</v>
      </c>
      <c r="H412" s="24" t="s">
        <v>2361</v>
      </c>
    </row>
    <row r="413" spans="1:8" s="3" customFormat="1" x14ac:dyDescent="0.25">
      <c r="A413" t="s">
        <v>125</v>
      </c>
      <c r="B413" t="s">
        <v>2419</v>
      </c>
      <c r="C413" t="s">
        <v>2431</v>
      </c>
      <c r="D413" s="5" t="s">
        <v>407</v>
      </c>
      <c r="E413" s="25" t="s">
        <v>2432</v>
      </c>
      <c r="F413" t="s">
        <v>127</v>
      </c>
      <c r="G413" t="s">
        <v>2433</v>
      </c>
      <c r="H413" s="24" t="s">
        <v>2361</v>
      </c>
    </row>
    <row r="414" spans="1:8" s="2" customFormat="1" x14ac:dyDescent="0.25">
      <c r="A414" t="s">
        <v>125</v>
      </c>
      <c r="B414" t="s">
        <v>2423</v>
      </c>
      <c r="C414" t="s">
        <v>2434</v>
      </c>
      <c r="D414" s="5" t="s">
        <v>407</v>
      </c>
      <c r="E414" s="25" t="s">
        <v>2435</v>
      </c>
      <c r="F414" t="s">
        <v>127</v>
      </c>
      <c r="G414" t="s">
        <v>2436</v>
      </c>
      <c r="H414" s="24" t="s">
        <v>2361</v>
      </c>
    </row>
    <row r="415" spans="1:8" s="3" customFormat="1" x14ac:dyDescent="0.25">
      <c r="A415" t="s">
        <v>125</v>
      </c>
      <c r="B415" t="s">
        <v>2427</v>
      </c>
      <c r="C415" t="s">
        <v>2437</v>
      </c>
      <c r="D415" s="5" t="s">
        <v>407</v>
      </c>
      <c r="E415" s="25" t="s">
        <v>2432</v>
      </c>
      <c r="F415" t="s">
        <v>127</v>
      </c>
      <c r="G415" t="s">
        <v>2438</v>
      </c>
      <c r="H415" s="24" t="s">
        <v>2361</v>
      </c>
    </row>
    <row r="416" spans="1:8" s="2" customFormat="1" x14ac:dyDescent="0.25">
      <c r="A416" t="s">
        <v>125</v>
      </c>
      <c r="B416" t="s">
        <v>2439</v>
      </c>
      <c r="C416" t="s">
        <v>2440</v>
      </c>
      <c r="D416" s="5" t="s">
        <v>407</v>
      </c>
      <c r="E416" s="25" t="s">
        <v>2441</v>
      </c>
      <c r="F416" t="s">
        <v>126</v>
      </c>
      <c r="G416" t="s">
        <v>2442</v>
      </c>
      <c r="H416" s="24" t="s">
        <v>2361</v>
      </c>
    </row>
    <row r="417" spans="1:8" s="3" customFormat="1" x14ac:dyDescent="0.25">
      <c r="A417" t="s">
        <v>125</v>
      </c>
      <c r="B417" t="s">
        <v>2443</v>
      </c>
      <c r="C417" t="s">
        <v>2444</v>
      </c>
      <c r="D417" s="5" t="s">
        <v>407</v>
      </c>
      <c r="E417" s="25" t="s">
        <v>2445</v>
      </c>
      <c r="F417" t="s">
        <v>126</v>
      </c>
      <c r="G417" t="s">
        <v>2446</v>
      </c>
      <c r="H417" s="24" t="s">
        <v>2361</v>
      </c>
    </row>
    <row r="418" spans="1:8" s="2" customFormat="1" x14ac:dyDescent="0.25">
      <c r="A418" t="s">
        <v>125</v>
      </c>
      <c r="B418" t="s">
        <v>2447</v>
      </c>
      <c r="C418" t="s">
        <v>2448</v>
      </c>
      <c r="D418" s="5" t="s">
        <v>407</v>
      </c>
      <c r="E418" s="25" t="s">
        <v>2445</v>
      </c>
      <c r="F418" t="s">
        <v>126</v>
      </c>
      <c r="G418" t="s">
        <v>2449</v>
      </c>
      <c r="H418" s="24" t="s">
        <v>2361</v>
      </c>
    </row>
    <row r="419" spans="1:8" s="3" customFormat="1" x14ac:dyDescent="0.25">
      <c r="A419" t="s">
        <v>125</v>
      </c>
      <c r="B419" t="s">
        <v>2450</v>
      </c>
      <c r="C419" t="s">
        <v>2451</v>
      </c>
      <c r="D419" s="5" t="s">
        <v>407</v>
      </c>
      <c r="E419" s="25" t="s">
        <v>2452</v>
      </c>
      <c r="F419" t="s">
        <v>126</v>
      </c>
      <c r="G419" t="s">
        <v>2453</v>
      </c>
      <c r="H419" s="24" t="s">
        <v>2361</v>
      </c>
    </row>
    <row r="420" spans="1:8" s="2" customFormat="1" x14ac:dyDescent="0.25">
      <c r="A420" t="s">
        <v>125</v>
      </c>
      <c r="B420" t="s">
        <v>2439</v>
      </c>
      <c r="C420" t="s">
        <v>2454</v>
      </c>
      <c r="D420" s="5" t="s">
        <v>407</v>
      </c>
      <c r="E420" s="25" t="s">
        <v>2455</v>
      </c>
      <c r="F420" t="s">
        <v>127</v>
      </c>
      <c r="G420" t="s">
        <v>2456</v>
      </c>
      <c r="H420" s="24" t="s">
        <v>2361</v>
      </c>
    </row>
    <row r="421" spans="1:8" s="3" customFormat="1" x14ac:dyDescent="0.25">
      <c r="A421" t="s">
        <v>125</v>
      </c>
      <c r="B421" t="s">
        <v>2450</v>
      </c>
      <c r="C421" t="s">
        <v>2457</v>
      </c>
      <c r="D421" s="5" t="s">
        <v>407</v>
      </c>
      <c r="E421" s="25" t="s">
        <v>2458</v>
      </c>
      <c r="F421" t="s">
        <v>127</v>
      </c>
      <c r="G421" t="s">
        <v>2459</v>
      </c>
      <c r="H421" s="24" t="s">
        <v>2361</v>
      </c>
    </row>
    <row r="422" spans="1:8" s="2" customFormat="1" x14ac:dyDescent="0.25">
      <c r="A422" t="s">
        <v>125</v>
      </c>
      <c r="B422" t="s">
        <v>2447</v>
      </c>
      <c r="C422" t="s">
        <v>2460</v>
      </c>
      <c r="D422" s="5" t="s">
        <v>407</v>
      </c>
      <c r="E422" s="25" t="s">
        <v>2461</v>
      </c>
      <c r="F422" t="s">
        <v>127</v>
      </c>
      <c r="G422" t="s">
        <v>2462</v>
      </c>
      <c r="H422" s="24" t="s">
        <v>2361</v>
      </c>
    </row>
    <row r="423" spans="1:8" s="3" customFormat="1" x14ac:dyDescent="0.25">
      <c r="A423" t="s">
        <v>125</v>
      </c>
      <c r="B423" t="s">
        <v>2443</v>
      </c>
      <c r="C423" t="s">
        <v>2463</v>
      </c>
      <c r="D423" s="5" t="s">
        <v>407</v>
      </c>
      <c r="E423" s="25" t="s">
        <v>2464</v>
      </c>
      <c r="F423" t="s">
        <v>127</v>
      </c>
      <c r="G423" t="s">
        <v>2465</v>
      </c>
      <c r="H423" s="24" t="s">
        <v>2361</v>
      </c>
    </row>
    <row r="424" spans="1:8" s="2" customFormat="1" x14ac:dyDescent="0.25">
      <c r="A424" t="s">
        <v>125</v>
      </c>
      <c r="B424" t="s">
        <v>718</v>
      </c>
      <c r="C424" t="s">
        <v>2466</v>
      </c>
      <c r="D424" s="5" t="s">
        <v>407</v>
      </c>
      <c r="E424" s="25" t="s">
        <v>2467</v>
      </c>
      <c r="F424" t="s">
        <v>126</v>
      </c>
      <c r="G424" t="s">
        <v>2468</v>
      </c>
      <c r="H424" s="24" t="s">
        <v>2361</v>
      </c>
    </row>
    <row r="425" spans="1:8" s="3" customFormat="1" x14ac:dyDescent="0.25">
      <c r="A425" t="s">
        <v>125</v>
      </c>
      <c r="B425" t="s">
        <v>2469</v>
      </c>
      <c r="C425" t="s">
        <v>2470</v>
      </c>
      <c r="D425" s="5" t="s">
        <v>407</v>
      </c>
      <c r="E425" s="25" t="s">
        <v>2471</v>
      </c>
      <c r="F425" t="s">
        <v>126</v>
      </c>
      <c r="G425" t="s">
        <v>2472</v>
      </c>
      <c r="H425" s="24" t="s">
        <v>2361</v>
      </c>
    </row>
    <row r="426" spans="1:8" s="2" customFormat="1" x14ac:dyDescent="0.25">
      <c r="A426" t="s">
        <v>102</v>
      </c>
      <c r="B426" t="s">
        <v>103</v>
      </c>
      <c r="C426" t="s">
        <v>2473</v>
      </c>
      <c r="D426" s="5" t="s">
        <v>407</v>
      </c>
      <c r="E426" s="25" t="s">
        <v>2474</v>
      </c>
      <c r="F426" t="s">
        <v>104</v>
      </c>
      <c r="G426" t="s">
        <v>2475</v>
      </c>
      <c r="H426" s="24" t="s">
        <v>2361</v>
      </c>
    </row>
    <row r="427" spans="1:8" s="3" customFormat="1" x14ac:dyDescent="0.25">
      <c r="A427" t="s">
        <v>102</v>
      </c>
      <c r="B427" t="s">
        <v>103</v>
      </c>
      <c r="C427" t="s">
        <v>2476</v>
      </c>
      <c r="D427" s="5" t="s">
        <v>407</v>
      </c>
      <c r="E427" s="25" t="s">
        <v>2477</v>
      </c>
      <c r="F427" t="s">
        <v>8</v>
      </c>
      <c r="G427" t="s">
        <v>2478</v>
      </c>
      <c r="H427" s="24" t="s">
        <v>2361</v>
      </c>
    </row>
    <row r="428" spans="1:8" s="2" customFormat="1" x14ac:dyDescent="0.25">
      <c r="A428" t="s">
        <v>102</v>
      </c>
      <c r="B428" t="s">
        <v>103</v>
      </c>
      <c r="C428" t="s">
        <v>2473</v>
      </c>
      <c r="D428" s="5" t="s">
        <v>407</v>
      </c>
      <c r="E428" s="25" t="s">
        <v>2479</v>
      </c>
      <c r="F428" t="s">
        <v>104</v>
      </c>
      <c r="G428" t="s">
        <v>2480</v>
      </c>
      <c r="H428" s="24" t="s">
        <v>2361</v>
      </c>
    </row>
    <row r="429" spans="1:8" s="3" customFormat="1" x14ac:dyDescent="0.25">
      <c r="A429" t="s">
        <v>102</v>
      </c>
      <c r="B429" t="s">
        <v>103</v>
      </c>
      <c r="C429" t="s">
        <v>2476</v>
      </c>
      <c r="D429" s="5" t="s">
        <v>407</v>
      </c>
      <c r="E429" s="25" t="s">
        <v>2481</v>
      </c>
      <c r="F429" t="s">
        <v>8</v>
      </c>
      <c r="G429" t="s">
        <v>2482</v>
      </c>
      <c r="H429" s="24" t="s">
        <v>2361</v>
      </c>
    </row>
    <row r="430" spans="1:8" s="2" customFormat="1" x14ac:dyDescent="0.25">
      <c r="A430" t="s">
        <v>125</v>
      </c>
      <c r="B430" t="s">
        <v>2469</v>
      </c>
      <c r="C430" t="s">
        <v>2483</v>
      </c>
      <c r="D430" s="5" t="s">
        <v>407</v>
      </c>
      <c r="E430" s="25" t="s">
        <v>2484</v>
      </c>
      <c r="F430" t="s">
        <v>127</v>
      </c>
      <c r="G430" t="s">
        <v>2485</v>
      </c>
      <c r="H430" s="24" t="s">
        <v>2361</v>
      </c>
    </row>
    <row r="431" spans="1:8" s="3" customFormat="1" x14ac:dyDescent="0.25">
      <c r="A431" t="s">
        <v>125</v>
      </c>
      <c r="B431" t="s">
        <v>718</v>
      </c>
      <c r="C431" t="s">
        <v>2486</v>
      </c>
      <c r="D431" s="5" t="s">
        <v>407</v>
      </c>
      <c r="E431" s="25" t="s">
        <v>2487</v>
      </c>
      <c r="F431" t="s">
        <v>127</v>
      </c>
      <c r="G431" t="s">
        <v>2488</v>
      </c>
      <c r="H431" s="24" t="s">
        <v>2361</v>
      </c>
    </row>
    <row r="432" spans="1:8" s="2" customFormat="1" x14ac:dyDescent="0.25">
      <c r="A432" t="s">
        <v>1999</v>
      </c>
      <c r="B432" t="s">
        <v>2489</v>
      </c>
      <c r="C432" t="s">
        <v>2490</v>
      </c>
      <c r="D432" s="5" t="s">
        <v>407</v>
      </c>
      <c r="E432" s="25" t="s">
        <v>2491</v>
      </c>
      <c r="F432" t="s">
        <v>112</v>
      </c>
      <c r="G432" t="s">
        <v>2492</v>
      </c>
      <c r="H432" s="24" t="s">
        <v>2361</v>
      </c>
    </row>
    <row r="433" spans="1:8" s="3" customFormat="1" x14ac:dyDescent="0.25">
      <c r="A433" t="s">
        <v>120</v>
      </c>
      <c r="B433" t="s">
        <v>128</v>
      </c>
      <c r="C433" t="s">
        <v>406</v>
      </c>
      <c r="D433" s="5" t="s">
        <v>407</v>
      </c>
      <c r="E433" s="25" t="s">
        <v>408</v>
      </c>
      <c r="F433" t="s">
        <v>121</v>
      </c>
      <c r="G433" t="s">
        <v>409</v>
      </c>
      <c r="H433" s="24" t="s">
        <v>2361</v>
      </c>
    </row>
    <row r="434" spans="1:8" s="2" customFormat="1" x14ac:dyDescent="0.25">
      <c r="A434" t="s">
        <v>120</v>
      </c>
      <c r="B434" t="s">
        <v>410</v>
      </c>
      <c r="C434" t="s">
        <v>411</v>
      </c>
      <c r="D434" s="5" t="s">
        <v>407</v>
      </c>
      <c r="E434" s="25" t="s">
        <v>412</v>
      </c>
      <c r="F434" t="s">
        <v>121</v>
      </c>
      <c r="G434" t="s">
        <v>413</v>
      </c>
      <c r="H434" s="24" t="s">
        <v>2361</v>
      </c>
    </row>
    <row r="435" spans="1:8" s="3" customFormat="1" x14ac:dyDescent="0.25">
      <c r="A435" t="s">
        <v>414</v>
      </c>
      <c r="B435" t="s">
        <v>415</v>
      </c>
      <c r="C435" t="s">
        <v>416</v>
      </c>
      <c r="D435" s="5" t="s">
        <v>407</v>
      </c>
      <c r="E435" s="25" t="s">
        <v>417</v>
      </c>
      <c r="F435" t="s">
        <v>418</v>
      </c>
      <c r="G435" t="s">
        <v>419</v>
      </c>
      <c r="H435" s="24" t="s">
        <v>2361</v>
      </c>
    </row>
    <row r="436" spans="1:8" s="2" customFormat="1" x14ac:dyDescent="0.25">
      <c r="A436" t="s">
        <v>11</v>
      </c>
      <c r="B436" t="s">
        <v>12</v>
      </c>
      <c r="C436" t="s">
        <v>420</v>
      </c>
      <c r="D436" s="5" t="s">
        <v>407</v>
      </c>
      <c r="E436" s="25" t="s">
        <v>421</v>
      </c>
      <c r="F436" t="s">
        <v>8</v>
      </c>
      <c r="G436" t="s">
        <v>422</v>
      </c>
      <c r="H436" s="24" t="s">
        <v>2361</v>
      </c>
    </row>
    <row r="437" spans="1:8" s="3" customFormat="1" x14ac:dyDescent="0.25">
      <c r="A437" t="s">
        <v>102</v>
      </c>
      <c r="B437" t="s">
        <v>103</v>
      </c>
      <c r="C437" t="s">
        <v>423</v>
      </c>
      <c r="D437" s="5" t="s">
        <v>407</v>
      </c>
      <c r="E437" s="25" t="s">
        <v>424</v>
      </c>
      <c r="F437" t="s">
        <v>104</v>
      </c>
      <c r="G437" t="s">
        <v>425</v>
      </c>
      <c r="H437" s="24" t="s">
        <v>2361</v>
      </c>
    </row>
    <row r="438" spans="1:8" s="2" customFormat="1" x14ac:dyDescent="0.25">
      <c r="A438" t="s">
        <v>102</v>
      </c>
      <c r="B438" t="s">
        <v>103</v>
      </c>
      <c r="C438" t="s">
        <v>426</v>
      </c>
      <c r="D438" s="5" t="s">
        <v>407</v>
      </c>
      <c r="E438" s="25" t="s">
        <v>427</v>
      </c>
      <c r="F438" t="s">
        <v>8</v>
      </c>
      <c r="G438" t="s">
        <v>428</v>
      </c>
      <c r="H438" s="24" t="s">
        <v>2361</v>
      </c>
    </row>
    <row r="439" spans="1:8" s="3" customFormat="1" x14ac:dyDescent="0.25">
      <c r="A439" t="s">
        <v>110</v>
      </c>
      <c r="B439" t="s">
        <v>111</v>
      </c>
      <c r="C439" t="s">
        <v>429</v>
      </c>
      <c r="D439" s="5" t="s">
        <v>430</v>
      </c>
      <c r="E439" s="25" t="s">
        <v>431</v>
      </c>
      <c r="F439" t="s">
        <v>112</v>
      </c>
      <c r="G439" t="s">
        <v>432</v>
      </c>
      <c r="H439" s="24" t="s">
        <v>2493</v>
      </c>
    </row>
    <row r="440" spans="1:8" s="2" customFormat="1" x14ac:dyDescent="0.25">
      <c r="A440" t="s">
        <v>110</v>
      </c>
      <c r="B440" t="s">
        <v>115</v>
      </c>
      <c r="C440" t="s">
        <v>433</v>
      </c>
      <c r="D440" s="5" t="s">
        <v>430</v>
      </c>
      <c r="E440" s="25" t="s">
        <v>434</v>
      </c>
      <c r="F440" t="s">
        <v>112</v>
      </c>
      <c r="G440" t="s">
        <v>435</v>
      </c>
      <c r="H440" s="24" t="s">
        <v>2493</v>
      </c>
    </row>
    <row r="441" spans="1:8" s="3" customFormat="1" x14ac:dyDescent="0.25">
      <c r="A441" t="s">
        <v>11</v>
      </c>
      <c r="B441" t="s">
        <v>12</v>
      </c>
      <c r="C441" t="s">
        <v>436</v>
      </c>
      <c r="D441" s="5" t="s">
        <v>430</v>
      </c>
      <c r="E441" s="25" t="s">
        <v>437</v>
      </c>
      <c r="F441" t="s">
        <v>104</v>
      </c>
      <c r="G441" t="s">
        <v>438</v>
      </c>
      <c r="H441" s="24" t="s">
        <v>2493</v>
      </c>
    </row>
    <row r="442" spans="1:8" s="2" customFormat="1" x14ac:dyDescent="0.25">
      <c r="A442" t="s">
        <v>102</v>
      </c>
      <c r="B442" t="s">
        <v>103</v>
      </c>
      <c r="C442" t="s">
        <v>439</v>
      </c>
      <c r="D442" s="5" t="s">
        <v>430</v>
      </c>
      <c r="E442" s="25" t="s">
        <v>440</v>
      </c>
      <c r="F442" t="s">
        <v>104</v>
      </c>
      <c r="G442" t="s">
        <v>441</v>
      </c>
      <c r="H442" s="24" t="s">
        <v>2493</v>
      </c>
    </row>
    <row r="443" spans="1:8" s="3" customFormat="1" x14ac:dyDescent="0.25">
      <c r="A443" t="s">
        <v>102</v>
      </c>
      <c r="B443" t="s">
        <v>103</v>
      </c>
      <c r="C443" t="s">
        <v>442</v>
      </c>
      <c r="D443" s="5" t="s">
        <v>430</v>
      </c>
      <c r="E443" s="25" t="s">
        <v>443</v>
      </c>
      <c r="F443" t="s">
        <v>8</v>
      </c>
      <c r="G443" t="s">
        <v>444</v>
      </c>
      <c r="H443" s="24" t="s">
        <v>2493</v>
      </c>
    </row>
    <row r="444" spans="1:8" s="2" customFormat="1" x14ac:dyDescent="0.25">
      <c r="A444" t="s">
        <v>120</v>
      </c>
      <c r="B444" t="s">
        <v>410</v>
      </c>
      <c r="C444" t="s">
        <v>445</v>
      </c>
      <c r="D444" s="5" t="s">
        <v>430</v>
      </c>
      <c r="E444" s="25" t="s">
        <v>446</v>
      </c>
      <c r="F444" t="s">
        <v>121</v>
      </c>
      <c r="G444" t="s">
        <v>447</v>
      </c>
      <c r="H444" s="24" t="s">
        <v>2493</v>
      </c>
    </row>
    <row r="445" spans="1:8" s="3" customFormat="1" x14ac:dyDescent="0.25">
      <c r="A445" t="s">
        <v>102</v>
      </c>
      <c r="B445" t="s">
        <v>103</v>
      </c>
      <c r="C445" t="s">
        <v>448</v>
      </c>
      <c r="D445" s="5" t="s">
        <v>430</v>
      </c>
      <c r="E445" s="25" t="s">
        <v>449</v>
      </c>
      <c r="F445" t="s">
        <v>104</v>
      </c>
      <c r="G445" t="s">
        <v>450</v>
      </c>
      <c r="H445" s="24" t="s">
        <v>2493</v>
      </c>
    </row>
    <row r="446" spans="1:8" s="2" customFormat="1" x14ac:dyDescent="0.25">
      <c r="A446" t="s">
        <v>102</v>
      </c>
      <c r="B446" t="s">
        <v>103</v>
      </c>
      <c r="C446" t="s">
        <v>451</v>
      </c>
      <c r="D446" s="5" t="s">
        <v>430</v>
      </c>
      <c r="E446" s="25" t="s">
        <v>452</v>
      </c>
      <c r="F446" t="s">
        <v>8</v>
      </c>
      <c r="G446" t="s">
        <v>453</v>
      </c>
      <c r="H446" s="24" t="s">
        <v>2493</v>
      </c>
    </row>
    <row r="447" spans="1:8" s="3" customFormat="1" x14ac:dyDescent="0.25">
      <c r="A447" t="s">
        <v>116</v>
      </c>
      <c r="B447" t="s">
        <v>117</v>
      </c>
      <c r="C447" t="s">
        <v>454</v>
      </c>
      <c r="D447" s="5" t="s">
        <v>430</v>
      </c>
      <c r="E447" s="25" t="s">
        <v>455</v>
      </c>
      <c r="F447" t="s">
        <v>118</v>
      </c>
      <c r="G447" t="s">
        <v>456</v>
      </c>
      <c r="H447" s="24" t="s">
        <v>2493</v>
      </c>
    </row>
    <row r="448" spans="1:8" s="2" customFormat="1" x14ac:dyDescent="0.25">
      <c r="A448" t="s">
        <v>102</v>
      </c>
      <c r="B448" t="s">
        <v>103</v>
      </c>
      <c r="C448" t="s">
        <v>457</v>
      </c>
      <c r="D448" s="5" t="s">
        <v>430</v>
      </c>
      <c r="E448" s="25" t="s">
        <v>458</v>
      </c>
      <c r="F448" t="s">
        <v>104</v>
      </c>
      <c r="G448" t="s">
        <v>459</v>
      </c>
      <c r="H448" s="24" t="s">
        <v>2493</v>
      </c>
    </row>
    <row r="449" spans="1:8" s="3" customFormat="1" x14ac:dyDescent="0.25">
      <c r="A449" t="s">
        <v>102</v>
      </c>
      <c r="B449" t="s">
        <v>103</v>
      </c>
      <c r="C449" t="s">
        <v>460</v>
      </c>
      <c r="D449" s="5" t="s">
        <v>430</v>
      </c>
      <c r="E449" s="25" t="s">
        <v>461</v>
      </c>
      <c r="F449" t="s">
        <v>8</v>
      </c>
      <c r="G449" t="s">
        <v>462</v>
      </c>
      <c r="H449" s="24" t="s">
        <v>2493</v>
      </c>
    </row>
    <row r="450" spans="1:8" s="2" customFormat="1" x14ac:dyDescent="0.25">
      <c r="A450" t="s">
        <v>102</v>
      </c>
      <c r="B450" t="s">
        <v>103</v>
      </c>
      <c r="C450" t="s">
        <v>463</v>
      </c>
      <c r="D450" s="5" t="s">
        <v>430</v>
      </c>
      <c r="E450" s="25" t="s">
        <v>464</v>
      </c>
      <c r="F450" t="s">
        <v>104</v>
      </c>
      <c r="G450" t="s">
        <v>465</v>
      </c>
      <c r="H450" s="24" t="s">
        <v>2493</v>
      </c>
    </row>
    <row r="451" spans="1:8" s="3" customFormat="1" x14ac:dyDescent="0.25">
      <c r="A451" t="s">
        <v>102</v>
      </c>
      <c r="B451" t="s">
        <v>103</v>
      </c>
      <c r="C451" t="s">
        <v>466</v>
      </c>
      <c r="D451" s="5" t="s">
        <v>430</v>
      </c>
      <c r="E451" s="25" t="s">
        <v>467</v>
      </c>
      <c r="F451" t="s">
        <v>8</v>
      </c>
      <c r="G451" t="s">
        <v>468</v>
      </c>
      <c r="H451" s="24" t="s">
        <v>2493</v>
      </c>
    </row>
    <row r="452" spans="1:8" s="2" customFormat="1" x14ac:dyDescent="0.25">
      <c r="A452" t="s">
        <v>102</v>
      </c>
      <c r="B452" t="s">
        <v>103</v>
      </c>
      <c r="C452" t="s">
        <v>469</v>
      </c>
      <c r="D452" s="5" t="s">
        <v>430</v>
      </c>
      <c r="E452" s="25" t="s">
        <v>470</v>
      </c>
      <c r="F452" t="s">
        <v>104</v>
      </c>
      <c r="G452" t="s">
        <v>471</v>
      </c>
      <c r="H452" s="24" t="s">
        <v>2493</v>
      </c>
    </row>
    <row r="453" spans="1:8" s="3" customFormat="1" x14ac:dyDescent="0.25">
      <c r="A453" t="s">
        <v>102</v>
      </c>
      <c r="B453" t="s">
        <v>103</v>
      </c>
      <c r="C453" t="s">
        <v>472</v>
      </c>
      <c r="D453" s="5" t="s">
        <v>430</v>
      </c>
      <c r="E453" s="25" t="s">
        <v>473</v>
      </c>
      <c r="F453" t="s">
        <v>8</v>
      </c>
      <c r="G453" t="s">
        <v>474</v>
      </c>
      <c r="H453" s="24" t="s">
        <v>2493</v>
      </c>
    </row>
    <row r="454" spans="1:8" s="2" customFormat="1" x14ac:dyDescent="0.25">
      <c r="A454" t="s">
        <v>122</v>
      </c>
      <c r="B454" t="s">
        <v>107</v>
      </c>
      <c r="C454" t="s">
        <v>475</v>
      </c>
      <c r="D454" s="5" t="s">
        <v>430</v>
      </c>
      <c r="E454" s="25" t="s">
        <v>476</v>
      </c>
      <c r="F454" t="s">
        <v>123</v>
      </c>
      <c r="G454" t="s">
        <v>477</v>
      </c>
      <c r="H454" s="24" t="s">
        <v>2493</v>
      </c>
    </row>
    <row r="455" spans="1:8" s="3" customFormat="1" x14ac:dyDescent="0.25">
      <c r="A455" t="s">
        <v>102</v>
      </c>
      <c r="B455" t="s">
        <v>103</v>
      </c>
      <c r="C455" t="s">
        <v>478</v>
      </c>
      <c r="D455" s="5" t="s">
        <v>430</v>
      </c>
      <c r="E455" s="25" t="s">
        <v>479</v>
      </c>
      <c r="F455" t="s">
        <v>104</v>
      </c>
      <c r="G455" t="s">
        <v>480</v>
      </c>
      <c r="H455" s="24" t="s">
        <v>2493</v>
      </c>
    </row>
    <row r="456" spans="1:8" s="2" customFormat="1" x14ac:dyDescent="0.25">
      <c r="A456" t="s">
        <v>116</v>
      </c>
      <c r="B456" t="s">
        <v>117</v>
      </c>
      <c r="C456" t="s">
        <v>481</v>
      </c>
      <c r="D456" s="5" t="s">
        <v>430</v>
      </c>
      <c r="E456" s="25" t="s">
        <v>482</v>
      </c>
      <c r="F456" t="s">
        <v>118</v>
      </c>
      <c r="G456" t="s">
        <v>483</v>
      </c>
      <c r="H456" s="24" t="s">
        <v>2493</v>
      </c>
    </row>
    <row r="457" spans="1:8" s="3" customFormat="1" x14ac:dyDescent="0.25">
      <c r="A457" t="s">
        <v>102</v>
      </c>
      <c r="B457" t="s">
        <v>103</v>
      </c>
      <c r="C457" t="s">
        <v>484</v>
      </c>
      <c r="D457" s="5" t="s">
        <v>430</v>
      </c>
      <c r="E457" s="25" t="s">
        <v>485</v>
      </c>
      <c r="F457" t="s">
        <v>8</v>
      </c>
      <c r="G457" t="s">
        <v>486</v>
      </c>
      <c r="H457" s="24" t="s">
        <v>2493</v>
      </c>
    </row>
    <row r="458" spans="1:8" s="2" customFormat="1" x14ac:dyDescent="0.25">
      <c r="A458" t="s">
        <v>102</v>
      </c>
      <c r="B458" t="s">
        <v>103</v>
      </c>
      <c r="C458" t="s">
        <v>487</v>
      </c>
      <c r="D458" s="5" t="s">
        <v>430</v>
      </c>
      <c r="E458" s="25" t="s">
        <v>488</v>
      </c>
      <c r="F458" t="s">
        <v>104</v>
      </c>
      <c r="G458" t="s">
        <v>489</v>
      </c>
      <c r="H458" s="24" t="s">
        <v>2493</v>
      </c>
    </row>
    <row r="459" spans="1:8" s="3" customFormat="1" x14ac:dyDescent="0.25">
      <c r="A459" t="s">
        <v>102</v>
      </c>
      <c r="B459" t="s">
        <v>103</v>
      </c>
      <c r="C459" t="s">
        <v>490</v>
      </c>
      <c r="D459" s="5" t="s">
        <v>430</v>
      </c>
      <c r="E459" s="25" t="s">
        <v>491</v>
      </c>
      <c r="F459" t="s">
        <v>8</v>
      </c>
      <c r="G459" t="s">
        <v>492</v>
      </c>
      <c r="H459" s="24" t="s">
        <v>2493</v>
      </c>
    </row>
    <row r="460" spans="1:8" s="2" customFormat="1" x14ac:dyDescent="0.25">
      <c r="A460" t="s">
        <v>102</v>
      </c>
      <c r="B460" t="s">
        <v>103</v>
      </c>
      <c r="C460" t="s">
        <v>493</v>
      </c>
      <c r="D460" s="5" t="s">
        <v>430</v>
      </c>
      <c r="E460" s="25" t="s">
        <v>494</v>
      </c>
      <c r="F460" t="s">
        <v>104</v>
      </c>
      <c r="G460" t="s">
        <v>495</v>
      </c>
      <c r="H460" s="24" t="s">
        <v>2493</v>
      </c>
    </row>
    <row r="461" spans="1:8" s="3" customFormat="1" x14ac:dyDescent="0.25">
      <c r="A461" t="s">
        <v>102</v>
      </c>
      <c r="B461" t="s">
        <v>103</v>
      </c>
      <c r="C461" t="s">
        <v>496</v>
      </c>
      <c r="D461" s="5" t="s">
        <v>430</v>
      </c>
      <c r="E461" s="25" t="s">
        <v>497</v>
      </c>
      <c r="F461" t="s">
        <v>8</v>
      </c>
      <c r="G461" t="s">
        <v>498</v>
      </c>
      <c r="H461" s="24" t="s">
        <v>2493</v>
      </c>
    </row>
    <row r="462" spans="1:8" s="2" customFormat="1" x14ac:dyDescent="0.25">
      <c r="A462" t="s">
        <v>102</v>
      </c>
      <c r="B462" t="s">
        <v>103</v>
      </c>
      <c r="C462" t="s">
        <v>493</v>
      </c>
      <c r="D462" s="5" t="s">
        <v>430</v>
      </c>
      <c r="E462" s="25" t="s">
        <v>499</v>
      </c>
      <c r="F462" t="s">
        <v>104</v>
      </c>
      <c r="G462" t="s">
        <v>500</v>
      </c>
      <c r="H462" s="24" t="s">
        <v>2493</v>
      </c>
    </row>
    <row r="463" spans="1:8" s="3" customFormat="1" x14ac:dyDescent="0.25">
      <c r="A463" t="s">
        <v>102</v>
      </c>
      <c r="B463" t="s">
        <v>103</v>
      </c>
      <c r="C463" t="s">
        <v>496</v>
      </c>
      <c r="D463" s="5" t="s">
        <v>430</v>
      </c>
      <c r="E463" s="25" t="s">
        <v>501</v>
      </c>
      <c r="F463" t="s">
        <v>8</v>
      </c>
      <c r="G463" t="s">
        <v>502</v>
      </c>
      <c r="H463" s="24" t="s">
        <v>2493</v>
      </c>
    </row>
    <row r="464" spans="1:8" s="2" customFormat="1" x14ac:dyDescent="0.25">
      <c r="A464" t="s">
        <v>122</v>
      </c>
      <c r="B464" t="s">
        <v>107</v>
      </c>
      <c r="C464" t="s">
        <v>503</v>
      </c>
      <c r="D464" s="5" t="s">
        <v>430</v>
      </c>
      <c r="E464" s="25" t="s">
        <v>504</v>
      </c>
      <c r="F464" t="s">
        <v>123</v>
      </c>
      <c r="G464" t="s">
        <v>505</v>
      </c>
      <c r="H464" s="24" t="s">
        <v>2493</v>
      </c>
    </row>
    <row r="465" spans="1:8" s="3" customFormat="1" x14ac:dyDescent="0.25">
      <c r="A465" t="s">
        <v>120</v>
      </c>
      <c r="B465" t="s">
        <v>128</v>
      </c>
      <c r="C465" t="s">
        <v>506</v>
      </c>
      <c r="D465" s="5" t="s">
        <v>430</v>
      </c>
      <c r="E465" s="25" t="s">
        <v>507</v>
      </c>
      <c r="F465" t="s">
        <v>121</v>
      </c>
      <c r="G465" t="s">
        <v>508</v>
      </c>
      <c r="H465" s="24" t="s">
        <v>2493</v>
      </c>
    </row>
    <row r="466" spans="1:8" s="2" customFormat="1" x14ac:dyDescent="0.25">
      <c r="A466" t="s">
        <v>11</v>
      </c>
      <c r="B466" t="s">
        <v>12</v>
      </c>
      <c r="C466" t="s">
        <v>509</v>
      </c>
      <c r="D466" s="5" t="s">
        <v>430</v>
      </c>
      <c r="E466" s="25" t="s">
        <v>510</v>
      </c>
      <c r="F466" t="s">
        <v>8</v>
      </c>
      <c r="G466" t="s">
        <v>511</v>
      </c>
      <c r="H466" s="24" t="s">
        <v>2493</v>
      </c>
    </row>
    <row r="467" spans="1:8" s="3" customFormat="1" x14ac:dyDescent="0.25">
      <c r="A467" t="s">
        <v>120</v>
      </c>
      <c r="B467" t="s">
        <v>128</v>
      </c>
      <c r="C467" t="s">
        <v>512</v>
      </c>
      <c r="D467" s="5" t="s">
        <v>430</v>
      </c>
      <c r="E467" s="25" t="s">
        <v>513</v>
      </c>
      <c r="F467" t="s">
        <v>121</v>
      </c>
      <c r="G467" t="s">
        <v>514</v>
      </c>
      <c r="H467" s="24" t="s">
        <v>2493</v>
      </c>
    </row>
    <row r="468" spans="1:8" s="2" customFormat="1" x14ac:dyDescent="0.25">
      <c r="A468" t="s">
        <v>120</v>
      </c>
      <c r="B468" t="s">
        <v>128</v>
      </c>
      <c r="C468" t="s">
        <v>515</v>
      </c>
      <c r="D468" s="5" t="s">
        <v>430</v>
      </c>
      <c r="E468" s="25" t="s">
        <v>516</v>
      </c>
      <c r="F468" t="s">
        <v>121</v>
      </c>
      <c r="G468" t="s">
        <v>517</v>
      </c>
      <c r="H468" s="24" t="s">
        <v>2493</v>
      </c>
    </row>
    <row r="469" spans="1:8" s="3" customFormat="1" x14ac:dyDescent="0.25">
      <c r="A469" t="s">
        <v>120</v>
      </c>
      <c r="B469" t="s">
        <v>128</v>
      </c>
      <c r="C469" t="s">
        <v>515</v>
      </c>
      <c r="D469" s="5" t="s">
        <v>430</v>
      </c>
      <c r="E469" s="25" t="s">
        <v>518</v>
      </c>
      <c r="F469" t="s">
        <v>121</v>
      </c>
      <c r="G469" t="s">
        <v>519</v>
      </c>
      <c r="H469" s="24" t="s">
        <v>2493</v>
      </c>
    </row>
    <row r="470" spans="1:8" s="2" customFormat="1" x14ac:dyDescent="0.25">
      <c r="A470" t="s">
        <v>120</v>
      </c>
      <c r="B470" t="s">
        <v>128</v>
      </c>
      <c r="C470" t="s">
        <v>515</v>
      </c>
      <c r="D470" s="5" t="s">
        <v>430</v>
      </c>
      <c r="E470" s="25" t="s">
        <v>520</v>
      </c>
      <c r="F470" t="s">
        <v>121</v>
      </c>
      <c r="G470" t="s">
        <v>521</v>
      </c>
      <c r="H470" s="24" t="s">
        <v>2493</v>
      </c>
    </row>
    <row r="471" spans="1:8" s="3" customFormat="1" x14ac:dyDescent="0.25">
      <c r="A471" t="s">
        <v>120</v>
      </c>
      <c r="B471" t="s">
        <v>128</v>
      </c>
      <c r="C471" t="s">
        <v>522</v>
      </c>
      <c r="D471" s="5" t="s">
        <v>430</v>
      </c>
      <c r="E471" s="25" t="s">
        <v>523</v>
      </c>
      <c r="F471" t="s">
        <v>121</v>
      </c>
      <c r="G471" t="s">
        <v>524</v>
      </c>
      <c r="H471" s="24" t="s">
        <v>2493</v>
      </c>
    </row>
    <row r="472" spans="1:8" s="2" customFormat="1" x14ac:dyDescent="0.25">
      <c r="A472" t="s">
        <v>120</v>
      </c>
      <c r="B472" t="s">
        <v>128</v>
      </c>
      <c r="C472" t="s">
        <v>522</v>
      </c>
      <c r="D472" s="5" t="s">
        <v>430</v>
      </c>
      <c r="E472" s="25" t="s">
        <v>525</v>
      </c>
      <c r="F472" t="s">
        <v>121</v>
      </c>
      <c r="G472" t="s">
        <v>526</v>
      </c>
      <c r="H472" s="24" t="s">
        <v>2493</v>
      </c>
    </row>
    <row r="473" spans="1:8" s="3" customFormat="1" x14ac:dyDescent="0.25">
      <c r="A473" t="s">
        <v>120</v>
      </c>
      <c r="B473" t="s">
        <v>128</v>
      </c>
      <c r="C473" t="s">
        <v>527</v>
      </c>
      <c r="D473" s="5" t="s">
        <v>528</v>
      </c>
      <c r="E473" s="25" t="s">
        <v>529</v>
      </c>
      <c r="F473" t="s">
        <v>121</v>
      </c>
      <c r="G473" t="s">
        <v>530</v>
      </c>
      <c r="H473" s="24" t="s">
        <v>2494</v>
      </c>
    </row>
    <row r="474" spans="1:8" s="2" customFormat="1" x14ac:dyDescent="0.25">
      <c r="A474" t="s">
        <v>120</v>
      </c>
      <c r="B474" t="s">
        <v>128</v>
      </c>
      <c r="C474" t="s">
        <v>527</v>
      </c>
      <c r="D474" s="5" t="s">
        <v>528</v>
      </c>
      <c r="E474" s="25" t="s">
        <v>531</v>
      </c>
      <c r="F474" t="s">
        <v>121</v>
      </c>
      <c r="G474" t="s">
        <v>532</v>
      </c>
      <c r="H474" s="24" t="s">
        <v>2494</v>
      </c>
    </row>
    <row r="475" spans="1:8" s="3" customFormat="1" x14ac:dyDescent="0.25">
      <c r="A475" t="s">
        <v>120</v>
      </c>
      <c r="B475" t="s">
        <v>128</v>
      </c>
      <c r="C475" t="s">
        <v>527</v>
      </c>
      <c r="D475" s="5" t="s">
        <v>528</v>
      </c>
      <c r="E475" s="25" t="s">
        <v>533</v>
      </c>
      <c r="F475" t="s">
        <v>121</v>
      </c>
      <c r="G475" t="s">
        <v>534</v>
      </c>
      <c r="H475" s="24" t="s">
        <v>2494</v>
      </c>
    </row>
    <row r="476" spans="1:8" s="2" customFormat="1" x14ac:dyDescent="0.25">
      <c r="A476" t="s">
        <v>120</v>
      </c>
      <c r="B476" t="s">
        <v>128</v>
      </c>
      <c r="C476" t="s">
        <v>535</v>
      </c>
      <c r="D476" s="5" t="s">
        <v>528</v>
      </c>
      <c r="E476" s="25" t="s">
        <v>536</v>
      </c>
      <c r="F476" t="s">
        <v>121</v>
      </c>
      <c r="G476" t="s">
        <v>537</v>
      </c>
      <c r="H476" s="24" t="s">
        <v>2494</v>
      </c>
    </row>
    <row r="477" spans="1:8" s="3" customFormat="1" x14ac:dyDescent="0.25">
      <c r="A477" t="s">
        <v>120</v>
      </c>
      <c r="B477" t="s">
        <v>128</v>
      </c>
      <c r="C477" t="s">
        <v>535</v>
      </c>
      <c r="D477" s="5" t="s">
        <v>528</v>
      </c>
      <c r="E477" s="25" t="s">
        <v>538</v>
      </c>
      <c r="F477" t="s">
        <v>121</v>
      </c>
      <c r="G477" t="s">
        <v>539</v>
      </c>
      <c r="H477" s="24" t="s">
        <v>2494</v>
      </c>
    </row>
    <row r="478" spans="1:8" s="2" customFormat="1" x14ac:dyDescent="0.25">
      <c r="A478" t="s">
        <v>120</v>
      </c>
      <c r="B478" t="s">
        <v>128</v>
      </c>
      <c r="C478" t="s">
        <v>535</v>
      </c>
      <c r="D478" s="5" t="s">
        <v>528</v>
      </c>
      <c r="E478" s="25" t="s">
        <v>540</v>
      </c>
      <c r="F478" t="s">
        <v>121</v>
      </c>
      <c r="G478" t="s">
        <v>541</v>
      </c>
      <c r="H478" s="24" t="s">
        <v>2494</v>
      </c>
    </row>
    <row r="479" spans="1:8" s="3" customFormat="1" x14ac:dyDescent="0.25">
      <c r="A479" t="s">
        <v>120</v>
      </c>
      <c r="B479" t="s">
        <v>128</v>
      </c>
      <c r="C479" t="s">
        <v>535</v>
      </c>
      <c r="D479" s="5" t="s">
        <v>528</v>
      </c>
      <c r="E479" s="25" t="s">
        <v>542</v>
      </c>
      <c r="F479" t="s">
        <v>121</v>
      </c>
      <c r="G479" t="s">
        <v>543</v>
      </c>
      <c r="H479" s="24" t="s">
        <v>2494</v>
      </c>
    </row>
    <row r="480" spans="1:8" s="2" customFormat="1" x14ac:dyDescent="0.25">
      <c r="A480" t="s">
        <v>110</v>
      </c>
      <c r="B480" t="s">
        <v>111</v>
      </c>
      <c r="C480" t="s">
        <v>544</v>
      </c>
      <c r="D480" s="5" t="s">
        <v>528</v>
      </c>
      <c r="E480" s="25" t="s">
        <v>431</v>
      </c>
      <c r="F480" t="s">
        <v>112</v>
      </c>
      <c r="G480" t="s">
        <v>545</v>
      </c>
      <c r="H480" s="24" t="s">
        <v>2494</v>
      </c>
    </row>
    <row r="481" spans="1:8" s="3" customFormat="1" x14ac:dyDescent="0.25">
      <c r="A481" t="s">
        <v>122</v>
      </c>
      <c r="B481" t="s">
        <v>107</v>
      </c>
      <c r="C481" t="s">
        <v>546</v>
      </c>
      <c r="D481" s="5" t="s">
        <v>528</v>
      </c>
      <c r="E481" s="25" t="s">
        <v>547</v>
      </c>
      <c r="F481" t="s">
        <v>123</v>
      </c>
      <c r="G481" t="s">
        <v>548</v>
      </c>
      <c r="H481" s="24" t="s">
        <v>2494</v>
      </c>
    </row>
    <row r="482" spans="1:8" s="2" customFormat="1" x14ac:dyDescent="0.25">
      <c r="A482" t="s">
        <v>120</v>
      </c>
      <c r="B482" t="s">
        <v>128</v>
      </c>
      <c r="C482" t="s">
        <v>549</v>
      </c>
      <c r="D482" s="5" t="s">
        <v>528</v>
      </c>
      <c r="E482" s="25" t="s">
        <v>550</v>
      </c>
      <c r="F482" t="s">
        <v>121</v>
      </c>
      <c r="G482" t="s">
        <v>551</v>
      </c>
      <c r="H482" s="24" t="s">
        <v>2494</v>
      </c>
    </row>
    <row r="483" spans="1:8" s="3" customFormat="1" x14ac:dyDescent="0.25">
      <c r="A483" t="s">
        <v>120</v>
      </c>
      <c r="B483" t="s">
        <v>128</v>
      </c>
      <c r="C483" t="s">
        <v>549</v>
      </c>
      <c r="D483" s="5" t="s">
        <v>528</v>
      </c>
      <c r="E483" s="25" t="s">
        <v>552</v>
      </c>
      <c r="F483" t="s">
        <v>121</v>
      </c>
      <c r="G483" t="s">
        <v>553</v>
      </c>
      <c r="H483" s="24" t="s">
        <v>2494</v>
      </c>
    </row>
    <row r="484" spans="1:8" s="2" customFormat="1" x14ac:dyDescent="0.25">
      <c r="A484" t="s">
        <v>102</v>
      </c>
      <c r="B484" t="s">
        <v>103</v>
      </c>
      <c r="C484" t="s">
        <v>554</v>
      </c>
      <c r="D484" s="5" t="s">
        <v>528</v>
      </c>
      <c r="E484" s="25" t="s">
        <v>555</v>
      </c>
      <c r="F484" t="s">
        <v>104</v>
      </c>
      <c r="G484" t="s">
        <v>556</v>
      </c>
      <c r="H484" s="24" t="s">
        <v>2494</v>
      </c>
    </row>
    <row r="485" spans="1:8" s="3" customFormat="1" x14ac:dyDescent="0.25">
      <c r="A485" t="s">
        <v>102</v>
      </c>
      <c r="B485" t="s">
        <v>103</v>
      </c>
      <c r="C485" t="s">
        <v>557</v>
      </c>
      <c r="D485" s="5" t="s">
        <v>528</v>
      </c>
      <c r="E485" s="25" t="s">
        <v>558</v>
      </c>
      <c r="F485" t="s">
        <v>8</v>
      </c>
      <c r="G485" t="s">
        <v>559</v>
      </c>
      <c r="H485" s="24" t="s">
        <v>2494</v>
      </c>
    </row>
    <row r="486" spans="1:8" s="2" customFormat="1" x14ac:dyDescent="0.25">
      <c r="A486" t="s">
        <v>120</v>
      </c>
      <c r="B486" t="s">
        <v>128</v>
      </c>
      <c r="C486" t="s">
        <v>549</v>
      </c>
      <c r="D486" s="5" t="s">
        <v>528</v>
      </c>
      <c r="E486" s="25" t="s">
        <v>560</v>
      </c>
      <c r="F486" t="s">
        <v>121</v>
      </c>
      <c r="G486" t="s">
        <v>561</v>
      </c>
      <c r="H486" s="24" t="s">
        <v>2494</v>
      </c>
    </row>
    <row r="487" spans="1:8" s="3" customFormat="1" x14ac:dyDescent="0.25">
      <c r="A487" t="s">
        <v>110</v>
      </c>
      <c r="B487" t="s">
        <v>115</v>
      </c>
      <c r="C487" t="s">
        <v>562</v>
      </c>
      <c r="D487" s="5" t="s">
        <v>528</v>
      </c>
      <c r="E487" s="25" t="s">
        <v>563</v>
      </c>
      <c r="F487" t="s">
        <v>112</v>
      </c>
      <c r="G487" t="s">
        <v>564</v>
      </c>
      <c r="H487" s="24" t="s">
        <v>2494</v>
      </c>
    </row>
    <row r="488" spans="1:8" s="2" customFormat="1" x14ac:dyDescent="0.25">
      <c r="A488" t="s">
        <v>120</v>
      </c>
      <c r="B488" t="s">
        <v>128</v>
      </c>
      <c r="C488" t="s">
        <v>549</v>
      </c>
      <c r="D488" s="5" t="s">
        <v>528</v>
      </c>
      <c r="E488" s="25" t="s">
        <v>565</v>
      </c>
      <c r="F488" t="s">
        <v>121</v>
      </c>
      <c r="G488" t="s">
        <v>566</v>
      </c>
      <c r="H488" s="24" t="s">
        <v>2494</v>
      </c>
    </row>
    <row r="489" spans="1:8" s="3" customFormat="1" x14ac:dyDescent="0.25">
      <c r="A489" t="s">
        <v>120</v>
      </c>
      <c r="B489" t="s">
        <v>128</v>
      </c>
      <c r="C489" t="s">
        <v>567</v>
      </c>
      <c r="D489" s="5" t="s">
        <v>528</v>
      </c>
      <c r="E489" s="25" t="s">
        <v>568</v>
      </c>
      <c r="F489" t="s">
        <v>121</v>
      </c>
      <c r="G489" t="s">
        <v>569</v>
      </c>
      <c r="H489" s="24" t="s">
        <v>2494</v>
      </c>
    </row>
    <row r="490" spans="1:8" s="2" customFormat="1" x14ac:dyDescent="0.25">
      <c r="A490" t="s">
        <v>120</v>
      </c>
      <c r="B490" t="s">
        <v>128</v>
      </c>
      <c r="C490" t="s">
        <v>567</v>
      </c>
      <c r="D490" s="5" t="s">
        <v>528</v>
      </c>
      <c r="E490" s="25" t="s">
        <v>570</v>
      </c>
      <c r="F490" t="s">
        <v>121</v>
      </c>
      <c r="G490" t="s">
        <v>571</v>
      </c>
      <c r="H490" s="24" t="s">
        <v>2494</v>
      </c>
    </row>
    <row r="491" spans="1:8" s="3" customFormat="1" x14ac:dyDescent="0.25">
      <c r="A491" t="s">
        <v>120</v>
      </c>
      <c r="B491" t="s">
        <v>128</v>
      </c>
      <c r="C491" t="s">
        <v>567</v>
      </c>
      <c r="D491" s="5" t="s">
        <v>528</v>
      </c>
      <c r="E491" s="25" t="s">
        <v>572</v>
      </c>
      <c r="F491" t="s">
        <v>121</v>
      </c>
      <c r="G491" t="s">
        <v>573</v>
      </c>
      <c r="H491" s="24" t="s">
        <v>2494</v>
      </c>
    </row>
    <row r="492" spans="1:8" s="2" customFormat="1" x14ac:dyDescent="0.25">
      <c r="A492" t="s">
        <v>574</v>
      </c>
      <c r="B492" t="s">
        <v>575</v>
      </c>
      <c r="C492" t="s">
        <v>576</v>
      </c>
      <c r="D492" s="5" t="s">
        <v>528</v>
      </c>
      <c r="E492" s="25" t="s">
        <v>577</v>
      </c>
      <c r="F492" t="s">
        <v>578</v>
      </c>
      <c r="G492" t="s">
        <v>579</v>
      </c>
      <c r="H492" s="24" t="s">
        <v>2494</v>
      </c>
    </row>
    <row r="493" spans="1:8" s="3" customFormat="1" x14ac:dyDescent="0.25">
      <c r="A493" t="s">
        <v>120</v>
      </c>
      <c r="B493" t="s">
        <v>128</v>
      </c>
      <c r="C493" t="s">
        <v>580</v>
      </c>
      <c r="D493" s="5" t="s">
        <v>528</v>
      </c>
      <c r="E493" s="25" t="s">
        <v>581</v>
      </c>
      <c r="F493" t="s">
        <v>121</v>
      </c>
      <c r="G493" t="s">
        <v>582</v>
      </c>
      <c r="H493" s="24" t="s">
        <v>2494</v>
      </c>
    </row>
    <row r="494" spans="1:8" s="2" customFormat="1" x14ac:dyDescent="0.25">
      <c r="A494" t="s">
        <v>120</v>
      </c>
      <c r="B494" t="s">
        <v>128</v>
      </c>
      <c r="C494" t="s">
        <v>580</v>
      </c>
      <c r="D494" s="5" t="s">
        <v>528</v>
      </c>
      <c r="E494" s="25" t="s">
        <v>583</v>
      </c>
      <c r="F494" t="s">
        <v>121</v>
      </c>
      <c r="G494" t="s">
        <v>584</v>
      </c>
      <c r="H494" s="24" t="s">
        <v>2494</v>
      </c>
    </row>
    <row r="495" spans="1:8" s="3" customFormat="1" x14ac:dyDescent="0.25">
      <c r="A495" t="s">
        <v>102</v>
      </c>
      <c r="B495" t="s">
        <v>103</v>
      </c>
      <c r="C495" t="s">
        <v>585</v>
      </c>
      <c r="D495" s="5" t="s">
        <v>528</v>
      </c>
      <c r="E495" s="25" t="s">
        <v>586</v>
      </c>
      <c r="F495" t="s">
        <v>104</v>
      </c>
      <c r="G495" t="s">
        <v>587</v>
      </c>
      <c r="H495" s="24" t="s">
        <v>2494</v>
      </c>
    </row>
    <row r="496" spans="1:8" s="2" customFormat="1" x14ac:dyDescent="0.25">
      <c r="A496" t="s">
        <v>102</v>
      </c>
      <c r="B496" t="s">
        <v>103</v>
      </c>
      <c r="C496" t="s">
        <v>588</v>
      </c>
      <c r="D496" s="5" t="s">
        <v>528</v>
      </c>
      <c r="E496" s="25" t="s">
        <v>589</v>
      </c>
      <c r="F496" t="s">
        <v>8</v>
      </c>
      <c r="G496" t="s">
        <v>590</v>
      </c>
      <c r="H496" s="24" t="s">
        <v>2494</v>
      </c>
    </row>
    <row r="497" spans="1:8" s="3" customFormat="1" x14ac:dyDescent="0.25">
      <c r="A497" t="s">
        <v>591</v>
      </c>
      <c r="B497" t="s">
        <v>107</v>
      </c>
      <c r="C497" t="s">
        <v>592</v>
      </c>
      <c r="D497" s="5" t="s">
        <v>528</v>
      </c>
      <c r="E497" s="25" t="s">
        <v>593</v>
      </c>
      <c r="F497" t="s">
        <v>594</v>
      </c>
      <c r="G497" t="s">
        <v>595</v>
      </c>
      <c r="H497" s="24" t="s">
        <v>2494</v>
      </c>
    </row>
    <row r="498" spans="1:8" s="2" customFormat="1" x14ac:dyDescent="0.25">
      <c r="A498" t="s">
        <v>120</v>
      </c>
      <c r="B498" t="s">
        <v>128</v>
      </c>
      <c r="C498" t="s">
        <v>596</v>
      </c>
      <c r="D498" s="5" t="s">
        <v>528</v>
      </c>
      <c r="E498" s="25" t="s">
        <v>597</v>
      </c>
      <c r="F498" t="s">
        <v>121</v>
      </c>
      <c r="G498" t="s">
        <v>598</v>
      </c>
      <c r="H498" s="24" t="s">
        <v>2494</v>
      </c>
    </row>
    <row r="499" spans="1:8" s="3" customFormat="1" x14ac:dyDescent="0.25">
      <c r="A499" t="s">
        <v>130</v>
      </c>
      <c r="B499" t="s">
        <v>599</v>
      </c>
      <c r="C499" t="s">
        <v>600</v>
      </c>
      <c r="D499" s="5" t="s">
        <v>528</v>
      </c>
      <c r="E499" s="25" t="s">
        <v>601</v>
      </c>
      <c r="F499" t="s">
        <v>119</v>
      </c>
      <c r="G499" t="s">
        <v>602</v>
      </c>
      <c r="H499" s="24" t="s">
        <v>2494</v>
      </c>
    </row>
    <row r="500" spans="1:8" s="2" customFormat="1" x14ac:dyDescent="0.25">
      <c r="A500" t="s">
        <v>122</v>
      </c>
      <c r="B500" t="s">
        <v>107</v>
      </c>
      <c r="C500" t="s">
        <v>603</v>
      </c>
      <c r="D500" s="5" t="s">
        <v>528</v>
      </c>
      <c r="E500" s="25" t="s">
        <v>604</v>
      </c>
      <c r="F500" t="s">
        <v>123</v>
      </c>
      <c r="G500" t="s">
        <v>605</v>
      </c>
      <c r="H500" s="24" t="s">
        <v>2494</v>
      </c>
    </row>
    <row r="501" spans="1:8" s="3" customFormat="1" x14ac:dyDescent="0.25">
      <c r="A501" t="s">
        <v>122</v>
      </c>
      <c r="B501" t="s">
        <v>107</v>
      </c>
      <c r="C501" t="s">
        <v>606</v>
      </c>
      <c r="D501" s="5" t="s">
        <v>528</v>
      </c>
      <c r="E501" s="25" t="s">
        <v>607</v>
      </c>
      <c r="F501" t="s">
        <v>123</v>
      </c>
      <c r="G501" t="s">
        <v>608</v>
      </c>
      <c r="H501" s="24" t="s">
        <v>2494</v>
      </c>
    </row>
    <row r="502" spans="1:8" s="2" customFormat="1" x14ac:dyDescent="0.25">
      <c r="A502" t="s">
        <v>130</v>
      </c>
      <c r="B502" t="s">
        <v>599</v>
      </c>
      <c r="C502" t="s">
        <v>609</v>
      </c>
      <c r="D502" s="5" t="s">
        <v>528</v>
      </c>
      <c r="E502" s="25" t="s">
        <v>610</v>
      </c>
      <c r="F502" t="s">
        <v>119</v>
      </c>
      <c r="G502" t="s">
        <v>611</v>
      </c>
      <c r="H502" s="24" t="s">
        <v>2494</v>
      </c>
    </row>
    <row r="503" spans="1:8" s="3" customFormat="1" x14ac:dyDescent="0.25">
      <c r="A503" t="s">
        <v>122</v>
      </c>
      <c r="B503" t="s">
        <v>107</v>
      </c>
      <c r="C503" t="s">
        <v>612</v>
      </c>
      <c r="D503" s="5" t="s">
        <v>528</v>
      </c>
      <c r="E503" s="25" t="s">
        <v>613</v>
      </c>
      <c r="F503" t="s">
        <v>123</v>
      </c>
      <c r="G503" t="s">
        <v>614</v>
      </c>
      <c r="H503" s="24" t="s">
        <v>2494</v>
      </c>
    </row>
    <row r="504" spans="1:8" s="2" customFormat="1" x14ac:dyDescent="0.25">
      <c r="A504" t="s">
        <v>102</v>
      </c>
      <c r="B504" t="s">
        <v>103</v>
      </c>
      <c r="C504" t="s">
        <v>615</v>
      </c>
      <c r="D504" s="5" t="s">
        <v>528</v>
      </c>
      <c r="E504" s="25" t="s">
        <v>491</v>
      </c>
      <c r="F504" t="s">
        <v>104</v>
      </c>
      <c r="G504" t="s">
        <v>616</v>
      </c>
      <c r="H504" s="24" t="s">
        <v>2494</v>
      </c>
    </row>
    <row r="505" spans="1:8" s="3" customFormat="1" x14ac:dyDescent="0.25">
      <c r="A505" t="s">
        <v>102</v>
      </c>
      <c r="B505" t="s">
        <v>103</v>
      </c>
      <c r="C505" t="s">
        <v>617</v>
      </c>
      <c r="D505" s="5" t="s">
        <v>528</v>
      </c>
      <c r="E505" s="25" t="s">
        <v>618</v>
      </c>
      <c r="F505" t="s">
        <v>8</v>
      </c>
      <c r="G505" t="s">
        <v>619</v>
      </c>
      <c r="H505" s="24" t="s">
        <v>2494</v>
      </c>
    </row>
    <row r="506" spans="1:8" s="2" customFormat="1" x14ac:dyDescent="0.25">
      <c r="A506" t="s">
        <v>122</v>
      </c>
      <c r="B506" t="s">
        <v>107</v>
      </c>
      <c r="C506" t="s">
        <v>612</v>
      </c>
      <c r="D506" s="5" t="s">
        <v>528</v>
      </c>
      <c r="E506" s="25" t="s">
        <v>620</v>
      </c>
      <c r="F506" t="s">
        <v>123</v>
      </c>
      <c r="G506" t="s">
        <v>621</v>
      </c>
      <c r="H506" s="24" t="s">
        <v>2494</v>
      </c>
    </row>
    <row r="507" spans="1:8" s="3" customFormat="1" x14ac:dyDescent="0.25">
      <c r="A507" t="s">
        <v>122</v>
      </c>
      <c r="B507" t="s">
        <v>107</v>
      </c>
      <c r="C507" t="s">
        <v>612</v>
      </c>
      <c r="D507" s="5" t="s">
        <v>528</v>
      </c>
      <c r="E507" s="25" t="s">
        <v>622</v>
      </c>
      <c r="F507" t="s">
        <v>123</v>
      </c>
      <c r="G507" t="s">
        <v>623</v>
      </c>
      <c r="H507" s="24" t="s">
        <v>2494</v>
      </c>
    </row>
    <row r="508" spans="1:8" s="2" customFormat="1" x14ac:dyDescent="0.25">
      <c r="A508" t="s">
        <v>130</v>
      </c>
      <c r="B508" t="s">
        <v>599</v>
      </c>
      <c r="C508" t="s">
        <v>624</v>
      </c>
      <c r="D508" s="5" t="s">
        <v>528</v>
      </c>
      <c r="E508" s="25" t="s">
        <v>625</v>
      </c>
      <c r="F508" t="s">
        <v>119</v>
      </c>
      <c r="G508" t="s">
        <v>626</v>
      </c>
      <c r="H508" s="24" t="s">
        <v>2494</v>
      </c>
    </row>
    <row r="509" spans="1:8" s="3" customFormat="1" x14ac:dyDescent="0.25">
      <c r="A509" t="s">
        <v>122</v>
      </c>
      <c r="B509" t="s">
        <v>107</v>
      </c>
      <c r="C509" t="s">
        <v>612</v>
      </c>
      <c r="D509" s="5" t="s">
        <v>528</v>
      </c>
      <c r="E509" s="25" t="s">
        <v>627</v>
      </c>
      <c r="F509" t="s">
        <v>123</v>
      </c>
      <c r="G509" t="s">
        <v>628</v>
      </c>
      <c r="H509" s="24" t="s">
        <v>2494</v>
      </c>
    </row>
    <row r="510" spans="1:8" s="2" customFormat="1" x14ac:dyDescent="0.25">
      <c r="A510" t="s">
        <v>122</v>
      </c>
      <c r="B510" t="s">
        <v>107</v>
      </c>
      <c r="C510" t="s">
        <v>629</v>
      </c>
      <c r="D510" s="5" t="s">
        <v>528</v>
      </c>
      <c r="E510" s="25" t="s">
        <v>630</v>
      </c>
      <c r="F510" t="s">
        <v>123</v>
      </c>
      <c r="G510" t="s">
        <v>631</v>
      </c>
      <c r="H510" s="24" t="s">
        <v>2494</v>
      </c>
    </row>
    <row r="511" spans="1:8" s="3" customFormat="1" x14ac:dyDescent="0.25">
      <c r="A511" t="s">
        <v>122</v>
      </c>
      <c r="B511" t="s">
        <v>107</v>
      </c>
      <c r="C511" t="s">
        <v>629</v>
      </c>
      <c r="D511" s="5" t="s">
        <v>528</v>
      </c>
      <c r="E511" s="25" t="s">
        <v>632</v>
      </c>
      <c r="F511" t="s">
        <v>123</v>
      </c>
      <c r="G511" t="s">
        <v>633</v>
      </c>
      <c r="H511" s="24" t="s">
        <v>2494</v>
      </c>
    </row>
    <row r="512" spans="1:8" s="2" customFormat="1" x14ac:dyDescent="0.25">
      <c r="A512" t="s">
        <v>634</v>
      </c>
      <c r="B512" t="s">
        <v>635</v>
      </c>
      <c r="C512" t="s">
        <v>636</v>
      </c>
      <c r="D512" s="5" t="s">
        <v>528</v>
      </c>
      <c r="E512" s="25" t="s">
        <v>637</v>
      </c>
      <c r="F512" t="s">
        <v>638</v>
      </c>
      <c r="G512" t="s">
        <v>639</v>
      </c>
      <c r="H512" s="24" t="s">
        <v>2494</v>
      </c>
    </row>
    <row r="513" spans="1:8" s="3" customFormat="1" x14ac:dyDescent="0.25">
      <c r="A513" t="s">
        <v>130</v>
      </c>
      <c r="B513" t="s">
        <v>599</v>
      </c>
      <c r="C513" t="s">
        <v>640</v>
      </c>
      <c r="D513" s="5" t="s">
        <v>528</v>
      </c>
      <c r="E513" s="25" t="s">
        <v>641</v>
      </c>
      <c r="F513" t="s">
        <v>119</v>
      </c>
      <c r="G513" t="s">
        <v>642</v>
      </c>
      <c r="H513" s="24" t="s">
        <v>2494</v>
      </c>
    </row>
    <row r="514" spans="1:8" s="2" customFormat="1" x14ac:dyDescent="0.25">
      <c r="A514" t="s">
        <v>643</v>
      </c>
      <c r="B514" t="s">
        <v>107</v>
      </c>
      <c r="C514" t="s">
        <v>644</v>
      </c>
      <c r="D514" s="5" t="s">
        <v>528</v>
      </c>
      <c r="E514" s="25" t="s">
        <v>645</v>
      </c>
      <c r="F514" t="s">
        <v>108</v>
      </c>
      <c r="G514" t="s">
        <v>646</v>
      </c>
      <c r="H514" s="24" t="s">
        <v>2494</v>
      </c>
    </row>
    <row r="515" spans="1:8" s="3" customFormat="1" x14ac:dyDescent="0.25">
      <c r="A515" t="s">
        <v>106</v>
      </c>
      <c r="B515" t="s">
        <v>107</v>
      </c>
      <c r="C515" t="s">
        <v>647</v>
      </c>
      <c r="D515" s="5" t="s">
        <v>528</v>
      </c>
      <c r="E515" s="25" t="s">
        <v>648</v>
      </c>
      <c r="F515" t="s">
        <v>108</v>
      </c>
      <c r="G515" t="s">
        <v>649</v>
      </c>
      <c r="H515" s="24" t="s">
        <v>2494</v>
      </c>
    </row>
    <row r="516" spans="1:8" s="2" customFormat="1" x14ac:dyDescent="0.25">
      <c r="A516" t="s">
        <v>122</v>
      </c>
      <c r="B516" t="s">
        <v>107</v>
      </c>
      <c r="C516" t="s">
        <v>650</v>
      </c>
      <c r="D516" s="5" t="s">
        <v>528</v>
      </c>
      <c r="E516" s="25" t="s">
        <v>651</v>
      </c>
      <c r="F516" t="s">
        <v>123</v>
      </c>
      <c r="G516" t="s">
        <v>652</v>
      </c>
      <c r="H516" s="24" t="s">
        <v>2494</v>
      </c>
    </row>
    <row r="517" spans="1:8" s="3" customFormat="1" x14ac:dyDescent="0.25">
      <c r="A517" t="s">
        <v>102</v>
      </c>
      <c r="B517" t="s">
        <v>103</v>
      </c>
      <c r="C517" t="s">
        <v>653</v>
      </c>
      <c r="D517" s="5" t="s">
        <v>528</v>
      </c>
      <c r="E517" s="25" t="s">
        <v>654</v>
      </c>
      <c r="F517" t="s">
        <v>104</v>
      </c>
      <c r="G517" t="s">
        <v>655</v>
      </c>
      <c r="H517" s="24" t="s">
        <v>2494</v>
      </c>
    </row>
    <row r="518" spans="1:8" s="2" customFormat="1" x14ac:dyDescent="0.25">
      <c r="A518" t="s">
        <v>102</v>
      </c>
      <c r="B518" t="s">
        <v>103</v>
      </c>
      <c r="C518" t="s">
        <v>656</v>
      </c>
      <c r="D518" s="5" t="s">
        <v>528</v>
      </c>
      <c r="E518" s="25" t="s">
        <v>657</v>
      </c>
      <c r="F518" t="s">
        <v>8</v>
      </c>
      <c r="G518" t="s">
        <v>658</v>
      </c>
      <c r="H518" s="24" t="s">
        <v>2494</v>
      </c>
    </row>
    <row r="519" spans="1:8" s="3" customFormat="1" x14ac:dyDescent="0.25">
      <c r="A519" t="s">
        <v>120</v>
      </c>
      <c r="B519" t="s">
        <v>128</v>
      </c>
      <c r="C519" t="s">
        <v>659</v>
      </c>
      <c r="D519" s="5" t="s">
        <v>528</v>
      </c>
      <c r="E519" s="25" t="s">
        <v>660</v>
      </c>
      <c r="F519" t="s">
        <v>121</v>
      </c>
      <c r="G519" t="s">
        <v>661</v>
      </c>
      <c r="H519" s="24" t="s">
        <v>2494</v>
      </c>
    </row>
    <row r="520" spans="1:8" s="2" customFormat="1" x14ac:dyDescent="0.25">
      <c r="A520" t="s">
        <v>122</v>
      </c>
      <c r="B520" t="s">
        <v>107</v>
      </c>
      <c r="C520" t="s">
        <v>662</v>
      </c>
      <c r="D520" s="5" t="s">
        <v>528</v>
      </c>
      <c r="E520" s="25" t="s">
        <v>663</v>
      </c>
      <c r="F520" t="s">
        <v>123</v>
      </c>
      <c r="G520" t="s">
        <v>664</v>
      </c>
      <c r="H520" s="24" t="s">
        <v>2494</v>
      </c>
    </row>
    <row r="521" spans="1:8" s="3" customFormat="1" x14ac:dyDescent="0.25">
      <c r="A521" t="s">
        <v>14</v>
      </c>
      <c r="B521" t="s">
        <v>15</v>
      </c>
      <c r="C521" t="s">
        <v>665</v>
      </c>
      <c r="D521" s="5" t="s">
        <v>528</v>
      </c>
      <c r="E521" s="25" t="s">
        <v>666</v>
      </c>
      <c r="F521" t="s">
        <v>13</v>
      </c>
      <c r="G521" t="s">
        <v>667</v>
      </c>
      <c r="H521" s="24" t="s">
        <v>2494</v>
      </c>
    </row>
    <row r="522" spans="1:8" s="2" customFormat="1" x14ac:dyDescent="0.25">
      <c r="A522" t="s">
        <v>110</v>
      </c>
      <c r="B522" t="s">
        <v>111</v>
      </c>
      <c r="C522" t="s">
        <v>668</v>
      </c>
      <c r="D522" s="5" t="s">
        <v>669</v>
      </c>
      <c r="E522" s="25" t="s">
        <v>670</v>
      </c>
      <c r="F522" t="s">
        <v>112</v>
      </c>
      <c r="G522" t="s">
        <v>671</v>
      </c>
      <c r="H522" s="24" t="s">
        <v>2495</v>
      </c>
    </row>
    <row r="523" spans="1:8" s="3" customFormat="1" x14ac:dyDescent="0.25">
      <c r="A523" t="s">
        <v>102</v>
      </c>
      <c r="B523" t="s">
        <v>103</v>
      </c>
      <c r="C523" t="s">
        <v>672</v>
      </c>
      <c r="D523" s="5" t="s">
        <v>669</v>
      </c>
      <c r="E523" s="25" t="s">
        <v>673</v>
      </c>
      <c r="F523" t="s">
        <v>104</v>
      </c>
      <c r="G523" t="s">
        <v>674</v>
      </c>
      <c r="H523" s="24" t="s">
        <v>2495</v>
      </c>
    </row>
    <row r="524" spans="1:8" s="2" customFormat="1" x14ac:dyDescent="0.25">
      <c r="A524" t="s">
        <v>102</v>
      </c>
      <c r="B524" t="s">
        <v>103</v>
      </c>
      <c r="C524" t="s">
        <v>675</v>
      </c>
      <c r="D524" s="5" t="s">
        <v>669</v>
      </c>
      <c r="E524" s="25" t="s">
        <v>676</v>
      </c>
      <c r="F524" t="s">
        <v>8</v>
      </c>
      <c r="G524" t="s">
        <v>677</v>
      </c>
      <c r="H524" s="24" t="s">
        <v>2495</v>
      </c>
    </row>
    <row r="525" spans="1:8" s="3" customFormat="1" x14ac:dyDescent="0.25">
      <c r="A525" t="s">
        <v>110</v>
      </c>
      <c r="B525" t="s">
        <v>115</v>
      </c>
      <c r="C525" t="s">
        <v>678</v>
      </c>
      <c r="D525" s="5" t="s">
        <v>669</v>
      </c>
      <c r="E525" s="25" t="s">
        <v>679</v>
      </c>
      <c r="F525" t="s">
        <v>112</v>
      </c>
      <c r="G525" t="s">
        <v>680</v>
      </c>
      <c r="H525" s="24" t="s">
        <v>2495</v>
      </c>
    </row>
    <row r="526" spans="1:8" s="2" customFormat="1" x14ac:dyDescent="0.25">
      <c r="A526" t="s">
        <v>120</v>
      </c>
      <c r="B526" t="s">
        <v>410</v>
      </c>
      <c r="C526" t="s">
        <v>681</v>
      </c>
      <c r="D526" s="5" t="s">
        <v>669</v>
      </c>
      <c r="E526" s="25" t="s">
        <v>682</v>
      </c>
      <c r="F526" t="s">
        <v>121</v>
      </c>
      <c r="G526" t="s">
        <v>683</v>
      </c>
      <c r="H526" s="24" t="s">
        <v>2495</v>
      </c>
    </row>
    <row r="527" spans="1:8" s="3" customFormat="1" x14ac:dyDescent="0.25">
      <c r="A527" t="s">
        <v>11</v>
      </c>
      <c r="B527" t="s">
        <v>12</v>
      </c>
      <c r="C527" t="s">
        <v>684</v>
      </c>
      <c r="D527" s="5" t="s">
        <v>669</v>
      </c>
      <c r="E527" s="25" t="s">
        <v>685</v>
      </c>
      <c r="F527" t="s">
        <v>104</v>
      </c>
      <c r="G527" t="s">
        <v>686</v>
      </c>
      <c r="H527" s="24" t="s">
        <v>2495</v>
      </c>
    </row>
    <row r="528" spans="1:8" s="2" customFormat="1" x14ac:dyDescent="0.25">
      <c r="A528" t="s">
        <v>120</v>
      </c>
      <c r="B528" t="s">
        <v>410</v>
      </c>
      <c r="C528" t="s">
        <v>687</v>
      </c>
      <c r="D528" s="5" t="s">
        <v>669</v>
      </c>
      <c r="E528" s="25" t="s">
        <v>688</v>
      </c>
      <c r="F528" t="s">
        <v>121</v>
      </c>
      <c r="G528" t="s">
        <v>689</v>
      </c>
      <c r="H528" s="24" t="s">
        <v>2495</v>
      </c>
    </row>
    <row r="529" spans="1:8" s="3" customFormat="1" x14ac:dyDescent="0.25">
      <c r="A529" t="s">
        <v>102</v>
      </c>
      <c r="B529" t="s">
        <v>103</v>
      </c>
      <c r="C529" t="s">
        <v>690</v>
      </c>
      <c r="D529" s="5" t="s">
        <v>669</v>
      </c>
      <c r="E529" s="25" t="s">
        <v>691</v>
      </c>
      <c r="F529" t="s">
        <v>104</v>
      </c>
      <c r="G529" t="s">
        <v>692</v>
      </c>
      <c r="H529" s="24" t="s">
        <v>2495</v>
      </c>
    </row>
    <row r="530" spans="1:8" s="2" customFormat="1" x14ac:dyDescent="0.25">
      <c r="A530" t="s">
        <v>102</v>
      </c>
      <c r="B530" t="s">
        <v>103</v>
      </c>
      <c r="C530" t="s">
        <v>693</v>
      </c>
      <c r="D530" s="5" t="s">
        <v>669</v>
      </c>
      <c r="E530" s="25" t="s">
        <v>694</v>
      </c>
      <c r="F530" t="s">
        <v>8</v>
      </c>
      <c r="G530" t="s">
        <v>695</v>
      </c>
      <c r="H530" s="24" t="s">
        <v>2495</v>
      </c>
    </row>
    <row r="531" spans="1:8" s="3" customFormat="1" x14ac:dyDescent="0.25">
      <c r="A531" t="s">
        <v>102</v>
      </c>
      <c r="B531" t="s">
        <v>103</v>
      </c>
      <c r="C531" t="s">
        <v>690</v>
      </c>
      <c r="D531" s="5" t="s">
        <v>669</v>
      </c>
      <c r="E531" s="25" t="s">
        <v>696</v>
      </c>
      <c r="F531" t="s">
        <v>104</v>
      </c>
      <c r="G531" t="s">
        <v>697</v>
      </c>
      <c r="H531" s="24" t="s">
        <v>2495</v>
      </c>
    </row>
    <row r="532" spans="1:8" s="2" customFormat="1" x14ac:dyDescent="0.25">
      <c r="A532" t="s">
        <v>102</v>
      </c>
      <c r="B532" t="s">
        <v>103</v>
      </c>
      <c r="C532" t="s">
        <v>693</v>
      </c>
      <c r="D532" s="5" t="s">
        <v>669</v>
      </c>
      <c r="E532" s="25" t="s">
        <v>698</v>
      </c>
      <c r="F532" t="s">
        <v>8</v>
      </c>
      <c r="G532" t="s">
        <v>699</v>
      </c>
      <c r="H532" s="24" t="s">
        <v>2495</v>
      </c>
    </row>
    <row r="533" spans="1:8" s="3" customFormat="1" x14ac:dyDescent="0.25">
      <c r="A533" t="s">
        <v>102</v>
      </c>
      <c r="B533" t="s">
        <v>103</v>
      </c>
      <c r="C533" t="s">
        <v>700</v>
      </c>
      <c r="D533" s="5" t="s">
        <v>669</v>
      </c>
      <c r="E533" s="25" t="s">
        <v>701</v>
      </c>
      <c r="F533" t="s">
        <v>104</v>
      </c>
      <c r="G533" t="s">
        <v>702</v>
      </c>
      <c r="H533" s="24" t="s">
        <v>2495</v>
      </c>
    </row>
    <row r="534" spans="1:8" s="2" customFormat="1" x14ac:dyDescent="0.25">
      <c r="A534" t="s">
        <v>102</v>
      </c>
      <c r="B534" t="s">
        <v>103</v>
      </c>
      <c r="C534" t="s">
        <v>703</v>
      </c>
      <c r="D534" s="5" t="s">
        <v>669</v>
      </c>
      <c r="E534" s="25" t="s">
        <v>704</v>
      </c>
      <c r="F534" t="s">
        <v>8</v>
      </c>
      <c r="G534" t="s">
        <v>705</v>
      </c>
      <c r="H534" s="24" t="s">
        <v>2495</v>
      </c>
    </row>
    <row r="535" spans="1:8" s="3" customFormat="1" x14ac:dyDescent="0.25">
      <c r="A535" t="s">
        <v>116</v>
      </c>
      <c r="B535" t="s">
        <v>117</v>
      </c>
      <c r="C535" t="s">
        <v>706</v>
      </c>
      <c r="D535" s="5" t="s">
        <v>669</v>
      </c>
      <c r="E535" s="25" t="s">
        <v>707</v>
      </c>
      <c r="F535" t="s">
        <v>118</v>
      </c>
      <c r="G535" t="s">
        <v>708</v>
      </c>
      <c r="H535" s="24" t="s">
        <v>2495</v>
      </c>
    </row>
    <row r="536" spans="1:8" s="2" customFormat="1" x14ac:dyDescent="0.25">
      <c r="A536" t="s">
        <v>102</v>
      </c>
      <c r="B536" t="s">
        <v>103</v>
      </c>
      <c r="C536" t="s">
        <v>709</v>
      </c>
      <c r="D536" s="5" t="s">
        <v>669</v>
      </c>
      <c r="E536" s="25" t="s">
        <v>710</v>
      </c>
      <c r="F536" t="s">
        <v>104</v>
      </c>
      <c r="G536" t="s">
        <v>711</v>
      </c>
      <c r="H536" s="24" t="s">
        <v>2495</v>
      </c>
    </row>
    <row r="537" spans="1:8" s="3" customFormat="1" x14ac:dyDescent="0.25">
      <c r="A537" t="s">
        <v>102</v>
      </c>
      <c r="B537" t="s">
        <v>103</v>
      </c>
      <c r="C537" t="s">
        <v>712</v>
      </c>
      <c r="D537" s="5" t="s">
        <v>669</v>
      </c>
      <c r="E537" s="25" t="s">
        <v>713</v>
      </c>
      <c r="F537" t="s">
        <v>8</v>
      </c>
      <c r="G537" t="s">
        <v>714</v>
      </c>
      <c r="H537" s="24" t="s">
        <v>2495</v>
      </c>
    </row>
    <row r="538" spans="1:8" s="2" customFormat="1" x14ac:dyDescent="0.25">
      <c r="A538" t="s">
        <v>106</v>
      </c>
      <c r="B538" t="s">
        <v>107</v>
      </c>
      <c r="C538" t="s">
        <v>715</v>
      </c>
      <c r="D538" s="5" t="s">
        <v>669</v>
      </c>
      <c r="E538" s="25" t="s">
        <v>716</v>
      </c>
      <c r="F538" t="s">
        <v>108</v>
      </c>
      <c r="G538" t="s">
        <v>717</v>
      </c>
      <c r="H538" s="24" t="s">
        <v>2495</v>
      </c>
    </row>
    <row r="539" spans="1:8" s="3" customFormat="1" x14ac:dyDescent="0.25">
      <c r="A539" t="s">
        <v>125</v>
      </c>
      <c r="B539" t="s">
        <v>718</v>
      </c>
      <c r="C539" t="s">
        <v>719</v>
      </c>
      <c r="D539" s="5" t="s">
        <v>669</v>
      </c>
      <c r="E539" s="25" t="s">
        <v>720</v>
      </c>
      <c r="F539" t="s">
        <v>126</v>
      </c>
      <c r="G539" t="s">
        <v>721</v>
      </c>
      <c r="H539" s="24" t="s">
        <v>2495</v>
      </c>
    </row>
    <row r="540" spans="1:8" s="2" customFormat="1" x14ac:dyDescent="0.25">
      <c r="A540" t="s">
        <v>113</v>
      </c>
      <c r="B540" t="s">
        <v>105</v>
      </c>
      <c r="C540" t="s">
        <v>722</v>
      </c>
      <c r="D540" s="5" t="s">
        <v>669</v>
      </c>
      <c r="E540" s="25" t="s">
        <v>723</v>
      </c>
      <c r="F540" t="s">
        <v>114</v>
      </c>
      <c r="G540" t="s">
        <v>724</v>
      </c>
      <c r="H540" s="24" t="s">
        <v>2495</v>
      </c>
    </row>
    <row r="541" spans="1:8" s="3" customFormat="1" x14ac:dyDescent="0.25">
      <c r="A541" t="s">
        <v>113</v>
      </c>
      <c r="B541" t="s">
        <v>105</v>
      </c>
      <c r="C541" t="s">
        <v>722</v>
      </c>
      <c r="D541" s="5" t="s">
        <v>669</v>
      </c>
      <c r="E541" s="25" t="s">
        <v>725</v>
      </c>
      <c r="F541" t="s">
        <v>114</v>
      </c>
      <c r="G541" t="s">
        <v>726</v>
      </c>
      <c r="H541" s="24" t="s">
        <v>2495</v>
      </c>
    </row>
    <row r="542" spans="1:8" s="2" customFormat="1" x14ac:dyDescent="0.25">
      <c r="A542" t="s">
        <v>113</v>
      </c>
      <c r="B542" t="s">
        <v>105</v>
      </c>
      <c r="C542" t="s">
        <v>727</v>
      </c>
      <c r="D542" s="5" t="s">
        <v>669</v>
      </c>
      <c r="E542" s="25" t="s">
        <v>728</v>
      </c>
      <c r="F542" t="s">
        <v>114</v>
      </c>
      <c r="G542" t="s">
        <v>729</v>
      </c>
      <c r="H542" s="24" t="s">
        <v>2495</v>
      </c>
    </row>
    <row r="543" spans="1:8" s="3" customFormat="1" x14ac:dyDescent="0.25">
      <c r="A543" t="s">
        <v>113</v>
      </c>
      <c r="B543" t="s">
        <v>105</v>
      </c>
      <c r="C543" t="s">
        <v>727</v>
      </c>
      <c r="D543" s="5" t="s">
        <v>669</v>
      </c>
      <c r="E543" s="25" t="s">
        <v>730</v>
      </c>
      <c r="F543" t="s">
        <v>114</v>
      </c>
      <c r="G543" t="s">
        <v>731</v>
      </c>
      <c r="H543" s="24" t="s">
        <v>2495</v>
      </c>
    </row>
    <row r="544" spans="1:8" s="2" customFormat="1" x14ac:dyDescent="0.25">
      <c r="A544" t="s">
        <v>102</v>
      </c>
      <c r="B544" t="s">
        <v>103</v>
      </c>
      <c r="C544" t="s">
        <v>732</v>
      </c>
      <c r="D544" s="5" t="s">
        <v>669</v>
      </c>
      <c r="E544" s="25" t="s">
        <v>733</v>
      </c>
      <c r="F544" t="s">
        <v>104</v>
      </c>
      <c r="G544" t="s">
        <v>734</v>
      </c>
      <c r="H544" s="24" t="s">
        <v>2495</v>
      </c>
    </row>
    <row r="545" spans="1:8" s="3" customFormat="1" x14ac:dyDescent="0.25">
      <c r="A545" t="s">
        <v>102</v>
      </c>
      <c r="B545" t="s">
        <v>103</v>
      </c>
      <c r="C545" t="s">
        <v>735</v>
      </c>
      <c r="D545" s="5" t="s">
        <v>669</v>
      </c>
      <c r="E545" s="25" t="s">
        <v>736</v>
      </c>
      <c r="F545" t="s">
        <v>8</v>
      </c>
      <c r="G545" t="s">
        <v>737</v>
      </c>
      <c r="H545" s="24" t="s">
        <v>2495</v>
      </c>
    </row>
    <row r="546" spans="1:8" s="2" customFormat="1" x14ac:dyDescent="0.25">
      <c r="A546" t="s">
        <v>113</v>
      </c>
      <c r="B546" t="s">
        <v>105</v>
      </c>
      <c r="C546" t="s">
        <v>727</v>
      </c>
      <c r="D546" s="5" t="s">
        <v>669</v>
      </c>
      <c r="E546" s="25" t="s">
        <v>738</v>
      </c>
      <c r="F546" t="s">
        <v>114</v>
      </c>
      <c r="G546" t="s">
        <v>739</v>
      </c>
      <c r="H546" s="24" t="s">
        <v>2495</v>
      </c>
    </row>
    <row r="547" spans="1:8" s="3" customFormat="1" x14ac:dyDescent="0.25">
      <c r="A547" t="s">
        <v>102</v>
      </c>
      <c r="B547" t="s">
        <v>103</v>
      </c>
      <c r="C547" t="s">
        <v>740</v>
      </c>
      <c r="D547" s="5" t="s">
        <v>669</v>
      </c>
      <c r="E547" s="25" t="s">
        <v>741</v>
      </c>
      <c r="F547" t="s">
        <v>104</v>
      </c>
      <c r="G547" t="s">
        <v>742</v>
      </c>
      <c r="H547" s="24" t="s">
        <v>2495</v>
      </c>
    </row>
    <row r="548" spans="1:8" s="2" customFormat="1" x14ac:dyDescent="0.25">
      <c r="A548" t="s">
        <v>102</v>
      </c>
      <c r="B548" t="s">
        <v>103</v>
      </c>
      <c r="C548" t="s">
        <v>743</v>
      </c>
      <c r="D548" s="5" t="s">
        <v>669</v>
      </c>
      <c r="E548" s="25" t="s">
        <v>744</v>
      </c>
      <c r="F548" t="s">
        <v>8</v>
      </c>
      <c r="G548" t="s">
        <v>745</v>
      </c>
      <c r="H548" s="24" t="s">
        <v>2495</v>
      </c>
    </row>
    <row r="549" spans="1:8" s="3" customFormat="1" x14ac:dyDescent="0.25">
      <c r="A549" t="s">
        <v>113</v>
      </c>
      <c r="B549" t="s">
        <v>105</v>
      </c>
      <c r="C549" t="s">
        <v>746</v>
      </c>
      <c r="D549" s="5" t="s">
        <v>669</v>
      </c>
      <c r="E549" s="25" t="s">
        <v>747</v>
      </c>
      <c r="F549" t="s">
        <v>114</v>
      </c>
      <c r="G549" t="s">
        <v>748</v>
      </c>
      <c r="H549" s="24" t="s">
        <v>2495</v>
      </c>
    </row>
    <row r="550" spans="1:8" s="2" customFormat="1" x14ac:dyDescent="0.25">
      <c r="A550" t="s">
        <v>749</v>
      </c>
      <c r="B550" t="s">
        <v>410</v>
      </c>
      <c r="C550" t="s">
        <v>750</v>
      </c>
      <c r="D550" s="5" t="s">
        <v>669</v>
      </c>
      <c r="E550" s="25" t="s">
        <v>751</v>
      </c>
      <c r="F550" t="s">
        <v>752</v>
      </c>
      <c r="G550" t="s">
        <v>753</v>
      </c>
      <c r="H550" s="24" t="s">
        <v>2495</v>
      </c>
    </row>
    <row r="551" spans="1:8" s="3" customFormat="1" x14ac:dyDescent="0.25">
      <c r="A551" t="s">
        <v>113</v>
      </c>
      <c r="B551" t="s">
        <v>105</v>
      </c>
      <c r="C551" t="s">
        <v>754</v>
      </c>
      <c r="D551" s="5" t="s">
        <v>669</v>
      </c>
      <c r="E551" s="25" t="s">
        <v>755</v>
      </c>
      <c r="F551" t="s">
        <v>114</v>
      </c>
      <c r="G551" t="s">
        <v>756</v>
      </c>
      <c r="H551" s="24" t="s">
        <v>2495</v>
      </c>
    </row>
    <row r="552" spans="1:8" s="2" customFormat="1" x14ac:dyDescent="0.25">
      <c r="A552" t="s">
        <v>102</v>
      </c>
      <c r="B552" t="s">
        <v>103</v>
      </c>
      <c r="C552" t="s">
        <v>757</v>
      </c>
      <c r="D552" s="5" t="s">
        <v>669</v>
      </c>
      <c r="E552" s="25" t="s">
        <v>758</v>
      </c>
      <c r="F552" t="s">
        <v>104</v>
      </c>
      <c r="G552" t="s">
        <v>759</v>
      </c>
      <c r="H552" s="24" t="s">
        <v>2495</v>
      </c>
    </row>
    <row r="553" spans="1:8" s="3" customFormat="1" x14ac:dyDescent="0.25">
      <c r="A553" t="s">
        <v>102</v>
      </c>
      <c r="B553" t="s">
        <v>103</v>
      </c>
      <c r="C553" t="s">
        <v>760</v>
      </c>
      <c r="D553" s="5" t="s">
        <v>669</v>
      </c>
      <c r="E553" s="25" t="s">
        <v>761</v>
      </c>
      <c r="F553" t="s">
        <v>8</v>
      </c>
      <c r="G553" t="s">
        <v>762</v>
      </c>
      <c r="H553" s="24" t="s">
        <v>2495</v>
      </c>
    </row>
    <row r="554" spans="1:8" s="2" customFormat="1" x14ac:dyDescent="0.25">
      <c r="A554" t="s">
        <v>125</v>
      </c>
      <c r="B554" t="s">
        <v>718</v>
      </c>
      <c r="C554" t="s">
        <v>763</v>
      </c>
      <c r="D554" s="5" t="s">
        <v>669</v>
      </c>
      <c r="E554" s="25" t="s">
        <v>185</v>
      </c>
      <c r="F554" t="s">
        <v>127</v>
      </c>
      <c r="G554" t="s">
        <v>764</v>
      </c>
      <c r="H554" s="24" t="s">
        <v>2495</v>
      </c>
    </row>
    <row r="555" spans="1:8" s="3" customFormat="1" x14ac:dyDescent="0.25">
      <c r="A555" t="s">
        <v>11</v>
      </c>
      <c r="B555" t="s">
        <v>12</v>
      </c>
      <c r="C555" t="s">
        <v>765</v>
      </c>
      <c r="D555" s="5" t="s">
        <v>669</v>
      </c>
      <c r="E555" s="25" t="s">
        <v>766</v>
      </c>
      <c r="F555" t="s">
        <v>8</v>
      </c>
      <c r="G555" t="s">
        <v>767</v>
      </c>
      <c r="H555" s="24" t="s">
        <v>2495</v>
      </c>
    </row>
    <row r="556" spans="1:8" s="2" customFormat="1" x14ac:dyDescent="0.25">
      <c r="A556" t="s">
        <v>14</v>
      </c>
      <c r="B556" t="s">
        <v>15</v>
      </c>
      <c r="C556" t="s">
        <v>768</v>
      </c>
      <c r="D556" s="5" t="s">
        <v>669</v>
      </c>
      <c r="E556" s="25" t="s">
        <v>769</v>
      </c>
      <c r="F556" t="s">
        <v>13</v>
      </c>
      <c r="G556" t="s">
        <v>770</v>
      </c>
      <c r="H556" s="24" t="s">
        <v>2495</v>
      </c>
    </row>
    <row r="557" spans="1:8" s="3" customFormat="1" x14ac:dyDescent="0.25">
      <c r="A557" t="s">
        <v>102</v>
      </c>
      <c r="B557" t="s">
        <v>103</v>
      </c>
      <c r="C557" t="s">
        <v>771</v>
      </c>
      <c r="D557" s="5" t="s">
        <v>669</v>
      </c>
      <c r="E557" s="25" t="s">
        <v>772</v>
      </c>
      <c r="F557" t="s">
        <v>104</v>
      </c>
      <c r="G557" t="s">
        <v>773</v>
      </c>
      <c r="H557" s="24" t="s">
        <v>2495</v>
      </c>
    </row>
    <row r="558" spans="1:8" s="2" customFormat="1" x14ac:dyDescent="0.25">
      <c r="A558" t="s">
        <v>102</v>
      </c>
      <c r="B558" t="s">
        <v>103</v>
      </c>
      <c r="C558" t="s">
        <v>774</v>
      </c>
      <c r="D558" s="5" t="s">
        <v>669</v>
      </c>
      <c r="E558" s="25" t="s">
        <v>775</v>
      </c>
      <c r="F558" t="s">
        <v>8</v>
      </c>
      <c r="G558" t="s">
        <v>776</v>
      </c>
      <c r="H558" s="24" t="s">
        <v>2495</v>
      </c>
    </row>
    <row r="559" spans="1:8" s="3" customFormat="1" x14ac:dyDescent="0.25">
      <c r="A559" t="s">
        <v>120</v>
      </c>
      <c r="B559" t="s">
        <v>128</v>
      </c>
      <c r="C559" t="s">
        <v>777</v>
      </c>
      <c r="D559" s="5" t="s">
        <v>778</v>
      </c>
      <c r="E559" s="25" t="s">
        <v>779</v>
      </c>
      <c r="F559" t="s">
        <v>121</v>
      </c>
      <c r="G559" t="s">
        <v>780</v>
      </c>
      <c r="H559" s="24" t="s">
        <v>2496</v>
      </c>
    </row>
    <row r="560" spans="1:8" s="2" customFormat="1" x14ac:dyDescent="0.25">
      <c r="A560" t="s">
        <v>110</v>
      </c>
      <c r="B560" t="s">
        <v>111</v>
      </c>
      <c r="C560" t="s">
        <v>781</v>
      </c>
      <c r="D560" s="5" t="s">
        <v>778</v>
      </c>
      <c r="E560" s="25" t="s">
        <v>782</v>
      </c>
      <c r="F560" t="s">
        <v>112</v>
      </c>
      <c r="G560" t="s">
        <v>783</v>
      </c>
      <c r="H560" s="24" t="s">
        <v>2496</v>
      </c>
    </row>
    <row r="561" spans="1:8" s="3" customFormat="1" x14ac:dyDescent="0.25">
      <c r="A561" t="s">
        <v>110</v>
      </c>
      <c r="B561" t="s">
        <v>115</v>
      </c>
      <c r="C561" t="s">
        <v>784</v>
      </c>
      <c r="D561" s="5" t="s">
        <v>778</v>
      </c>
      <c r="E561" s="25" t="s">
        <v>785</v>
      </c>
      <c r="F561" t="s">
        <v>112</v>
      </c>
      <c r="G561" t="s">
        <v>786</v>
      </c>
      <c r="H561" s="24" t="s">
        <v>2496</v>
      </c>
    </row>
    <row r="562" spans="1:8" s="2" customFormat="1" x14ac:dyDescent="0.25">
      <c r="A562" t="s">
        <v>120</v>
      </c>
      <c r="B562" t="s">
        <v>410</v>
      </c>
      <c r="C562" t="s">
        <v>787</v>
      </c>
      <c r="D562" s="5" t="s">
        <v>778</v>
      </c>
      <c r="E562" s="25" t="s">
        <v>788</v>
      </c>
      <c r="F562" t="s">
        <v>121</v>
      </c>
      <c r="G562" t="s">
        <v>789</v>
      </c>
      <c r="H562" s="24" t="s">
        <v>2496</v>
      </c>
    </row>
    <row r="563" spans="1:8" s="3" customFormat="1" x14ac:dyDescent="0.25">
      <c r="A563" t="s">
        <v>11</v>
      </c>
      <c r="B563" t="s">
        <v>12</v>
      </c>
      <c r="C563" t="s">
        <v>790</v>
      </c>
      <c r="D563" s="5" t="s">
        <v>778</v>
      </c>
      <c r="E563" s="25" t="s">
        <v>791</v>
      </c>
      <c r="F563" t="s">
        <v>104</v>
      </c>
      <c r="G563" t="s">
        <v>792</v>
      </c>
      <c r="H563" s="24" t="s">
        <v>2496</v>
      </c>
    </row>
    <row r="564" spans="1:8" s="2" customFormat="1" x14ac:dyDescent="0.25">
      <c r="A564" t="s">
        <v>102</v>
      </c>
      <c r="B564" t="s">
        <v>103</v>
      </c>
      <c r="C564" t="s">
        <v>793</v>
      </c>
      <c r="D564" s="5" t="s">
        <v>778</v>
      </c>
      <c r="E564" s="25" t="s">
        <v>794</v>
      </c>
      <c r="F564" t="s">
        <v>104</v>
      </c>
      <c r="G564" t="s">
        <v>795</v>
      </c>
      <c r="H564" s="24" t="s">
        <v>2496</v>
      </c>
    </row>
    <row r="565" spans="1:8" s="3" customFormat="1" x14ac:dyDescent="0.25">
      <c r="A565" t="s">
        <v>102</v>
      </c>
      <c r="B565" t="s">
        <v>103</v>
      </c>
      <c r="C565" t="s">
        <v>796</v>
      </c>
      <c r="D565" s="5" t="s">
        <v>778</v>
      </c>
      <c r="E565" s="25" t="s">
        <v>797</v>
      </c>
      <c r="F565" t="s">
        <v>8</v>
      </c>
      <c r="G565" t="s">
        <v>798</v>
      </c>
      <c r="H565" s="24" t="s">
        <v>2496</v>
      </c>
    </row>
    <row r="566" spans="1:8" s="2" customFormat="1" x14ac:dyDescent="0.25">
      <c r="A566" t="s">
        <v>120</v>
      </c>
      <c r="B566" t="s">
        <v>410</v>
      </c>
      <c r="C566" t="s">
        <v>799</v>
      </c>
      <c r="D566" s="5" t="s">
        <v>778</v>
      </c>
      <c r="E566" s="25" t="s">
        <v>800</v>
      </c>
      <c r="F566" t="s">
        <v>121</v>
      </c>
      <c r="G566" t="s">
        <v>801</v>
      </c>
      <c r="H566" s="24" t="s">
        <v>2496</v>
      </c>
    </row>
    <row r="567" spans="1:8" s="3" customFormat="1" x14ac:dyDescent="0.25">
      <c r="A567" t="s">
        <v>116</v>
      </c>
      <c r="B567" t="s">
        <v>117</v>
      </c>
      <c r="C567" t="s">
        <v>802</v>
      </c>
      <c r="D567" s="5" t="s">
        <v>778</v>
      </c>
      <c r="E567" s="25" t="s">
        <v>803</v>
      </c>
      <c r="F567" t="s">
        <v>118</v>
      </c>
      <c r="G567" t="s">
        <v>804</v>
      </c>
      <c r="H567" s="24" t="s">
        <v>2496</v>
      </c>
    </row>
    <row r="568" spans="1:8" s="2" customFormat="1" x14ac:dyDescent="0.25">
      <c r="A568" t="s">
        <v>102</v>
      </c>
      <c r="B568" t="s">
        <v>103</v>
      </c>
      <c r="C568" t="s">
        <v>805</v>
      </c>
      <c r="D568" s="5" t="s">
        <v>778</v>
      </c>
      <c r="E568" s="25" t="s">
        <v>806</v>
      </c>
      <c r="F568" t="s">
        <v>104</v>
      </c>
      <c r="G568" t="s">
        <v>807</v>
      </c>
      <c r="H568" s="24" t="s">
        <v>2496</v>
      </c>
    </row>
    <row r="569" spans="1:8" s="3" customFormat="1" x14ac:dyDescent="0.25">
      <c r="A569" t="s">
        <v>102</v>
      </c>
      <c r="B569" t="s">
        <v>103</v>
      </c>
      <c r="C569" t="s">
        <v>808</v>
      </c>
      <c r="D569" s="5" t="s">
        <v>778</v>
      </c>
      <c r="E569" s="25" t="s">
        <v>809</v>
      </c>
      <c r="F569" t="s">
        <v>8</v>
      </c>
      <c r="G569" t="s">
        <v>810</v>
      </c>
      <c r="H569" s="24" t="s">
        <v>2496</v>
      </c>
    </row>
    <row r="570" spans="1:8" s="2" customFormat="1" x14ac:dyDescent="0.25">
      <c r="A570" t="s">
        <v>120</v>
      </c>
      <c r="B570" t="s">
        <v>128</v>
      </c>
      <c r="C570" t="s">
        <v>811</v>
      </c>
      <c r="D570" s="5" t="s">
        <v>778</v>
      </c>
      <c r="E570" s="25" t="s">
        <v>812</v>
      </c>
      <c r="F570" t="s">
        <v>121</v>
      </c>
      <c r="G570" t="s">
        <v>813</v>
      </c>
      <c r="H570" s="24" t="s">
        <v>2496</v>
      </c>
    </row>
    <row r="571" spans="1:8" s="3" customFormat="1" x14ac:dyDescent="0.25">
      <c r="A571" t="s">
        <v>125</v>
      </c>
      <c r="B571" t="s">
        <v>814</v>
      </c>
      <c r="C571" t="s">
        <v>815</v>
      </c>
      <c r="D571" s="5" t="s">
        <v>778</v>
      </c>
      <c r="E571" s="25" t="s">
        <v>816</v>
      </c>
      <c r="F571" t="s">
        <v>126</v>
      </c>
      <c r="G571" t="s">
        <v>817</v>
      </c>
      <c r="H571" s="24" t="s">
        <v>2496</v>
      </c>
    </row>
    <row r="572" spans="1:8" s="2" customFormat="1" x14ac:dyDescent="0.25">
      <c r="A572" t="s">
        <v>113</v>
      </c>
      <c r="B572" t="s">
        <v>105</v>
      </c>
      <c r="C572" t="s">
        <v>818</v>
      </c>
      <c r="D572" s="5" t="s">
        <v>778</v>
      </c>
      <c r="E572" s="25" t="s">
        <v>819</v>
      </c>
      <c r="F572" t="s">
        <v>114</v>
      </c>
      <c r="G572" t="s">
        <v>820</v>
      </c>
      <c r="H572" s="24" t="s">
        <v>2496</v>
      </c>
    </row>
    <row r="573" spans="1:8" s="3" customFormat="1" x14ac:dyDescent="0.25">
      <c r="A573" t="s">
        <v>102</v>
      </c>
      <c r="B573" t="s">
        <v>103</v>
      </c>
      <c r="C573" t="s">
        <v>821</v>
      </c>
      <c r="D573" s="5" t="s">
        <v>778</v>
      </c>
      <c r="E573" s="25" t="s">
        <v>822</v>
      </c>
      <c r="F573" t="s">
        <v>104</v>
      </c>
      <c r="G573" t="s">
        <v>823</v>
      </c>
      <c r="H573" s="24" t="s">
        <v>2496</v>
      </c>
    </row>
    <row r="574" spans="1:8" s="2" customFormat="1" x14ac:dyDescent="0.25">
      <c r="A574" t="s">
        <v>102</v>
      </c>
      <c r="B574" t="s">
        <v>103</v>
      </c>
      <c r="C574" t="s">
        <v>824</v>
      </c>
      <c r="D574" s="5" t="s">
        <v>778</v>
      </c>
      <c r="E574" s="25" t="s">
        <v>825</v>
      </c>
      <c r="F574" t="s">
        <v>8</v>
      </c>
      <c r="G574" t="s">
        <v>826</v>
      </c>
      <c r="H574" s="24" t="s">
        <v>2496</v>
      </c>
    </row>
    <row r="575" spans="1:8" s="3" customFormat="1" x14ac:dyDescent="0.25">
      <c r="A575" t="s">
        <v>113</v>
      </c>
      <c r="B575" t="s">
        <v>105</v>
      </c>
      <c r="C575" t="s">
        <v>818</v>
      </c>
      <c r="D575" s="5" t="s">
        <v>778</v>
      </c>
      <c r="E575" s="25" t="s">
        <v>827</v>
      </c>
      <c r="F575" t="s">
        <v>114</v>
      </c>
      <c r="G575" t="s">
        <v>828</v>
      </c>
      <c r="H575" s="24" t="s">
        <v>2496</v>
      </c>
    </row>
    <row r="576" spans="1:8" s="2" customFormat="1" x14ac:dyDescent="0.25">
      <c r="A576" t="s">
        <v>125</v>
      </c>
      <c r="B576" t="s">
        <v>814</v>
      </c>
      <c r="C576" t="s">
        <v>829</v>
      </c>
      <c r="D576" s="5" t="s">
        <v>778</v>
      </c>
      <c r="E576" s="25" t="s">
        <v>830</v>
      </c>
      <c r="F576" t="s">
        <v>127</v>
      </c>
      <c r="G576" t="s">
        <v>831</v>
      </c>
      <c r="H576" s="24" t="s">
        <v>2496</v>
      </c>
    </row>
    <row r="577" spans="1:8" s="3" customFormat="1" x14ac:dyDescent="0.25">
      <c r="A577" t="s">
        <v>113</v>
      </c>
      <c r="B577" t="s">
        <v>105</v>
      </c>
      <c r="C577" t="s">
        <v>832</v>
      </c>
      <c r="D577" s="5" t="s">
        <v>778</v>
      </c>
      <c r="E577" s="25" t="s">
        <v>833</v>
      </c>
      <c r="F577" t="s">
        <v>114</v>
      </c>
      <c r="G577" t="s">
        <v>834</v>
      </c>
      <c r="H577" s="24" t="s">
        <v>2496</v>
      </c>
    </row>
    <row r="578" spans="1:8" s="2" customFormat="1" x14ac:dyDescent="0.25">
      <c r="A578" t="s">
        <v>116</v>
      </c>
      <c r="B578" t="s">
        <v>117</v>
      </c>
      <c r="C578" t="s">
        <v>835</v>
      </c>
      <c r="D578" s="5" t="s">
        <v>778</v>
      </c>
      <c r="E578" s="25" t="s">
        <v>836</v>
      </c>
      <c r="F578" t="s">
        <v>118</v>
      </c>
      <c r="G578" t="s">
        <v>837</v>
      </c>
      <c r="H578" s="24" t="s">
        <v>2496</v>
      </c>
    </row>
    <row r="579" spans="1:8" s="3" customFormat="1" x14ac:dyDescent="0.25">
      <c r="A579" t="s">
        <v>113</v>
      </c>
      <c r="B579" t="s">
        <v>105</v>
      </c>
      <c r="C579" t="s">
        <v>838</v>
      </c>
      <c r="D579" s="5" t="s">
        <v>778</v>
      </c>
      <c r="E579" s="25" t="s">
        <v>839</v>
      </c>
      <c r="F579" t="s">
        <v>114</v>
      </c>
      <c r="G579" t="s">
        <v>840</v>
      </c>
      <c r="H579" s="24" t="s">
        <v>2496</v>
      </c>
    </row>
    <row r="580" spans="1:8" s="2" customFormat="1" x14ac:dyDescent="0.25">
      <c r="A580" t="s">
        <v>113</v>
      </c>
      <c r="B580" t="s">
        <v>105</v>
      </c>
      <c r="C580" t="s">
        <v>841</v>
      </c>
      <c r="D580" s="5" t="s">
        <v>778</v>
      </c>
      <c r="E580" s="25" t="s">
        <v>842</v>
      </c>
      <c r="F580" t="s">
        <v>114</v>
      </c>
      <c r="G580" t="s">
        <v>843</v>
      </c>
      <c r="H580" s="24" t="s">
        <v>2496</v>
      </c>
    </row>
    <row r="581" spans="1:8" s="3" customFormat="1" x14ac:dyDescent="0.25">
      <c r="A581" t="s">
        <v>102</v>
      </c>
      <c r="B581" t="s">
        <v>103</v>
      </c>
      <c r="C581" t="s">
        <v>844</v>
      </c>
      <c r="D581" s="5" t="s">
        <v>778</v>
      </c>
      <c r="E581" s="25" t="s">
        <v>845</v>
      </c>
      <c r="F581" t="s">
        <v>104</v>
      </c>
      <c r="G581" t="s">
        <v>846</v>
      </c>
      <c r="H581" s="24" t="s">
        <v>2496</v>
      </c>
    </row>
    <row r="582" spans="1:8" s="2" customFormat="1" x14ac:dyDescent="0.25">
      <c r="A582" t="s">
        <v>102</v>
      </c>
      <c r="B582" t="s">
        <v>103</v>
      </c>
      <c r="C582" t="s">
        <v>847</v>
      </c>
      <c r="D582" s="5" t="s">
        <v>778</v>
      </c>
      <c r="E582" s="25" t="s">
        <v>848</v>
      </c>
      <c r="F582" t="s">
        <v>8</v>
      </c>
      <c r="G582" t="s">
        <v>849</v>
      </c>
      <c r="H582" s="24" t="s">
        <v>2496</v>
      </c>
    </row>
    <row r="583" spans="1:8" s="3" customFormat="1" x14ac:dyDescent="0.25">
      <c r="A583" t="s">
        <v>122</v>
      </c>
      <c r="B583" t="s">
        <v>107</v>
      </c>
      <c r="C583" t="s">
        <v>850</v>
      </c>
      <c r="D583" s="5" t="s">
        <v>778</v>
      </c>
      <c r="E583" s="25" t="s">
        <v>851</v>
      </c>
      <c r="F583" t="s">
        <v>123</v>
      </c>
      <c r="G583" t="s">
        <v>852</v>
      </c>
      <c r="H583" s="24" t="s">
        <v>2496</v>
      </c>
    </row>
    <row r="584" spans="1:8" s="2" customFormat="1" x14ac:dyDescent="0.25">
      <c r="A584" t="s">
        <v>102</v>
      </c>
      <c r="B584" t="s">
        <v>103</v>
      </c>
      <c r="C584" t="s">
        <v>853</v>
      </c>
      <c r="D584" s="5" t="s">
        <v>778</v>
      </c>
      <c r="E584" s="25" t="s">
        <v>854</v>
      </c>
      <c r="F584" t="s">
        <v>104</v>
      </c>
      <c r="G584" t="s">
        <v>855</v>
      </c>
      <c r="H584" s="24" t="s">
        <v>2496</v>
      </c>
    </row>
    <row r="585" spans="1:8" s="3" customFormat="1" x14ac:dyDescent="0.25">
      <c r="A585" t="s">
        <v>102</v>
      </c>
      <c r="B585" t="s">
        <v>103</v>
      </c>
      <c r="C585" t="s">
        <v>856</v>
      </c>
      <c r="D585" s="5" t="s">
        <v>778</v>
      </c>
      <c r="E585" s="25" t="s">
        <v>857</v>
      </c>
      <c r="F585" t="s">
        <v>8</v>
      </c>
      <c r="G585" t="s">
        <v>858</v>
      </c>
      <c r="H585" s="24" t="s">
        <v>2496</v>
      </c>
    </row>
    <row r="586" spans="1:8" s="2" customFormat="1" x14ac:dyDescent="0.25">
      <c r="A586" t="s">
        <v>120</v>
      </c>
      <c r="B586" t="s">
        <v>128</v>
      </c>
      <c r="C586" t="s">
        <v>859</v>
      </c>
      <c r="D586" s="5" t="s">
        <v>778</v>
      </c>
      <c r="E586" s="25" t="s">
        <v>860</v>
      </c>
      <c r="F586" t="s">
        <v>121</v>
      </c>
      <c r="G586" t="s">
        <v>861</v>
      </c>
      <c r="H586" s="24" t="s">
        <v>2496</v>
      </c>
    </row>
    <row r="587" spans="1:8" s="3" customFormat="1" x14ac:dyDescent="0.25">
      <c r="A587" t="s">
        <v>102</v>
      </c>
      <c r="B587" t="s">
        <v>103</v>
      </c>
      <c r="C587" t="s">
        <v>862</v>
      </c>
      <c r="D587" s="5" t="s">
        <v>778</v>
      </c>
      <c r="E587" s="25" t="s">
        <v>863</v>
      </c>
      <c r="F587" t="s">
        <v>104</v>
      </c>
      <c r="G587" t="s">
        <v>864</v>
      </c>
      <c r="H587" s="24" t="s">
        <v>2496</v>
      </c>
    </row>
    <row r="588" spans="1:8" s="2" customFormat="1" x14ac:dyDescent="0.25">
      <c r="A588" t="s">
        <v>102</v>
      </c>
      <c r="B588" t="s">
        <v>103</v>
      </c>
      <c r="C588" t="s">
        <v>865</v>
      </c>
      <c r="D588" s="5" t="s">
        <v>778</v>
      </c>
      <c r="E588" s="25" t="s">
        <v>866</v>
      </c>
      <c r="F588" t="s">
        <v>8</v>
      </c>
      <c r="G588" t="s">
        <v>867</v>
      </c>
      <c r="H588" s="24" t="s">
        <v>2496</v>
      </c>
    </row>
    <row r="589" spans="1:8" s="3" customFormat="1" x14ac:dyDescent="0.25">
      <c r="A589" t="s">
        <v>102</v>
      </c>
      <c r="B589" t="s">
        <v>103</v>
      </c>
      <c r="C589" t="s">
        <v>862</v>
      </c>
      <c r="D589" s="5" t="s">
        <v>778</v>
      </c>
      <c r="E589" s="25" t="s">
        <v>868</v>
      </c>
      <c r="F589" t="s">
        <v>104</v>
      </c>
      <c r="G589" t="s">
        <v>869</v>
      </c>
      <c r="H589" s="24" t="s">
        <v>2496</v>
      </c>
    </row>
    <row r="590" spans="1:8" s="2" customFormat="1" x14ac:dyDescent="0.25">
      <c r="A590" t="s">
        <v>102</v>
      </c>
      <c r="B590" t="s">
        <v>103</v>
      </c>
      <c r="C590" t="s">
        <v>865</v>
      </c>
      <c r="D590" s="5" t="s">
        <v>778</v>
      </c>
      <c r="E590" s="25" t="s">
        <v>870</v>
      </c>
      <c r="F590" t="s">
        <v>8</v>
      </c>
      <c r="G590" t="s">
        <v>871</v>
      </c>
      <c r="H590" s="24" t="s">
        <v>2496</v>
      </c>
    </row>
    <row r="591" spans="1:8" s="3" customFormat="1" x14ac:dyDescent="0.25">
      <c r="A591" t="s">
        <v>102</v>
      </c>
      <c r="B591" t="s">
        <v>103</v>
      </c>
      <c r="C591" t="s">
        <v>872</v>
      </c>
      <c r="D591" s="5" t="s">
        <v>778</v>
      </c>
      <c r="E591" s="25" t="s">
        <v>873</v>
      </c>
      <c r="F591" t="s">
        <v>104</v>
      </c>
      <c r="G591" t="s">
        <v>874</v>
      </c>
      <c r="H591" s="24" t="s">
        <v>2496</v>
      </c>
    </row>
    <row r="592" spans="1:8" s="2" customFormat="1" x14ac:dyDescent="0.25">
      <c r="A592" t="s">
        <v>102</v>
      </c>
      <c r="B592" t="s">
        <v>103</v>
      </c>
      <c r="C592" t="s">
        <v>875</v>
      </c>
      <c r="D592" s="5" t="s">
        <v>778</v>
      </c>
      <c r="E592" s="25" t="s">
        <v>876</v>
      </c>
      <c r="F592" t="s">
        <v>8</v>
      </c>
      <c r="G592" t="s">
        <v>877</v>
      </c>
      <c r="H592" s="24" t="s">
        <v>2496</v>
      </c>
    </row>
    <row r="593" spans="1:8" s="3" customFormat="1" x14ac:dyDescent="0.25">
      <c r="A593" t="s">
        <v>113</v>
      </c>
      <c r="B593" t="s">
        <v>105</v>
      </c>
      <c r="C593" t="s">
        <v>878</v>
      </c>
      <c r="D593" s="5" t="s">
        <v>778</v>
      </c>
      <c r="E593" s="25" t="s">
        <v>879</v>
      </c>
      <c r="F593" t="s">
        <v>114</v>
      </c>
      <c r="G593" t="s">
        <v>880</v>
      </c>
      <c r="H593" s="24" t="s">
        <v>2496</v>
      </c>
    </row>
    <row r="594" spans="1:8" s="2" customFormat="1" x14ac:dyDescent="0.25">
      <c r="A594" t="s">
        <v>102</v>
      </c>
      <c r="B594" t="s">
        <v>103</v>
      </c>
      <c r="C594" t="s">
        <v>881</v>
      </c>
      <c r="D594" s="5" t="s">
        <v>778</v>
      </c>
      <c r="E594" s="25" t="s">
        <v>882</v>
      </c>
      <c r="F594" t="s">
        <v>104</v>
      </c>
      <c r="G594" t="s">
        <v>883</v>
      </c>
      <c r="H594" s="24" t="s">
        <v>2496</v>
      </c>
    </row>
    <row r="595" spans="1:8" s="3" customFormat="1" x14ac:dyDescent="0.25">
      <c r="A595" t="s">
        <v>102</v>
      </c>
      <c r="B595" t="s">
        <v>103</v>
      </c>
      <c r="C595" t="s">
        <v>884</v>
      </c>
      <c r="D595" s="5" t="s">
        <v>778</v>
      </c>
      <c r="E595" s="25" t="s">
        <v>885</v>
      </c>
      <c r="F595" t="s">
        <v>8</v>
      </c>
      <c r="G595" t="s">
        <v>886</v>
      </c>
      <c r="H595" s="24" t="s">
        <v>2496</v>
      </c>
    </row>
    <row r="596" spans="1:8" s="2" customFormat="1" x14ac:dyDescent="0.25">
      <c r="A596" t="s">
        <v>11</v>
      </c>
      <c r="B596" t="s">
        <v>12</v>
      </c>
      <c r="C596" t="s">
        <v>887</v>
      </c>
      <c r="D596" s="5" t="s">
        <v>778</v>
      </c>
      <c r="E596" s="25" t="s">
        <v>510</v>
      </c>
      <c r="F596" t="s">
        <v>8</v>
      </c>
      <c r="G596" t="s">
        <v>888</v>
      </c>
      <c r="H596" s="24" t="s">
        <v>2496</v>
      </c>
    </row>
    <row r="597" spans="1:8" s="3" customFormat="1" x14ac:dyDescent="0.25">
      <c r="A597" t="s">
        <v>14</v>
      </c>
      <c r="B597" t="s">
        <v>15</v>
      </c>
      <c r="C597" t="s">
        <v>889</v>
      </c>
      <c r="D597" s="5" t="s">
        <v>778</v>
      </c>
      <c r="E597" s="25" t="s">
        <v>890</v>
      </c>
      <c r="F597" t="s">
        <v>13</v>
      </c>
      <c r="G597" t="s">
        <v>891</v>
      </c>
      <c r="H597" s="24" t="s">
        <v>2496</v>
      </c>
    </row>
    <row r="598" spans="1:8" s="2" customFormat="1" x14ac:dyDescent="0.25">
      <c r="A598" t="s">
        <v>110</v>
      </c>
      <c r="B598" t="s">
        <v>111</v>
      </c>
      <c r="C598" t="s">
        <v>892</v>
      </c>
      <c r="D598" s="5" t="s">
        <v>171</v>
      </c>
      <c r="E598" s="25" t="s">
        <v>893</v>
      </c>
      <c r="F598" t="s">
        <v>112</v>
      </c>
      <c r="G598" t="s">
        <v>894</v>
      </c>
      <c r="H598" s="24" t="s">
        <v>2497</v>
      </c>
    </row>
    <row r="599" spans="1:8" s="3" customFormat="1" x14ac:dyDescent="0.25">
      <c r="A599" t="s">
        <v>116</v>
      </c>
      <c r="B599" t="s">
        <v>117</v>
      </c>
      <c r="C599" t="s">
        <v>895</v>
      </c>
      <c r="D599" s="5" t="s">
        <v>171</v>
      </c>
      <c r="E599" s="25" t="s">
        <v>896</v>
      </c>
      <c r="F599" t="s">
        <v>118</v>
      </c>
      <c r="G599" t="s">
        <v>897</v>
      </c>
      <c r="H599" s="24" t="s">
        <v>2497</v>
      </c>
    </row>
    <row r="600" spans="1:8" s="2" customFormat="1" x14ac:dyDescent="0.25">
      <c r="A600" t="s">
        <v>102</v>
      </c>
      <c r="B600" t="s">
        <v>103</v>
      </c>
      <c r="C600" t="s">
        <v>898</v>
      </c>
      <c r="D600" s="5" t="s">
        <v>171</v>
      </c>
      <c r="E600" s="25" t="s">
        <v>899</v>
      </c>
      <c r="F600" t="s">
        <v>104</v>
      </c>
      <c r="G600" t="s">
        <v>900</v>
      </c>
      <c r="H600" s="24" t="s">
        <v>2497</v>
      </c>
    </row>
    <row r="601" spans="1:8" s="3" customFormat="1" x14ac:dyDescent="0.25">
      <c r="A601" t="s">
        <v>102</v>
      </c>
      <c r="B601" t="s">
        <v>103</v>
      </c>
      <c r="C601" t="s">
        <v>901</v>
      </c>
      <c r="D601" s="5" t="s">
        <v>171</v>
      </c>
      <c r="E601" s="25" t="s">
        <v>902</v>
      </c>
      <c r="F601" t="s">
        <v>8</v>
      </c>
      <c r="G601" t="s">
        <v>903</v>
      </c>
      <c r="H601" s="24" t="s">
        <v>2497</v>
      </c>
    </row>
    <row r="602" spans="1:8" s="2" customFormat="1" x14ac:dyDescent="0.25">
      <c r="A602" t="s">
        <v>113</v>
      </c>
      <c r="B602" t="s">
        <v>105</v>
      </c>
      <c r="C602" t="s">
        <v>904</v>
      </c>
      <c r="D602" s="5" t="s">
        <v>171</v>
      </c>
      <c r="E602" s="25" t="s">
        <v>905</v>
      </c>
      <c r="F602" t="s">
        <v>114</v>
      </c>
      <c r="G602" t="s">
        <v>906</v>
      </c>
      <c r="H602" s="24" t="s">
        <v>2497</v>
      </c>
    </row>
    <row r="603" spans="1:8" s="3" customFormat="1" x14ac:dyDescent="0.25">
      <c r="A603" t="s">
        <v>110</v>
      </c>
      <c r="B603" t="s">
        <v>115</v>
      </c>
      <c r="C603" t="s">
        <v>907</v>
      </c>
      <c r="D603" s="5" t="s">
        <v>171</v>
      </c>
      <c r="E603" s="25" t="s">
        <v>908</v>
      </c>
      <c r="F603" t="s">
        <v>112</v>
      </c>
      <c r="G603" t="s">
        <v>909</v>
      </c>
      <c r="H603" s="24" t="s">
        <v>2497</v>
      </c>
    </row>
    <row r="604" spans="1:8" s="2" customFormat="1" x14ac:dyDescent="0.25">
      <c r="A604" t="s">
        <v>11</v>
      </c>
      <c r="B604" t="s">
        <v>12</v>
      </c>
      <c r="C604" t="s">
        <v>910</v>
      </c>
      <c r="D604" s="5" t="s">
        <v>171</v>
      </c>
      <c r="E604" s="25" t="s">
        <v>911</v>
      </c>
      <c r="F604" t="s">
        <v>104</v>
      </c>
      <c r="G604" t="s">
        <v>912</v>
      </c>
      <c r="H604" s="24" t="s">
        <v>2497</v>
      </c>
    </row>
    <row r="605" spans="1:8" s="3" customFormat="1" x14ac:dyDescent="0.25">
      <c r="A605" t="s">
        <v>113</v>
      </c>
      <c r="B605" t="s">
        <v>105</v>
      </c>
      <c r="C605" t="s">
        <v>913</v>
      </c>
      <c r="D605" s="5" t="s">
        <v>171</v>
      </c>
      <c r="E605" s="25" t="s">
        <v>914</v>
      </c>
      <c r="F605" t="s">
        <v>114</v>
      </c>
      <c r="G605" t="s">
        <v>915</v>
      </c>
      <c r="H605" s="24" t="s">
        <v>2497</v>
      </c>
    </row>
    <row r="606" spans="1:8" s="2" customFormat="1" x14ac:dyDescent="0.25">
      <c r="A606" t="s">
        <v>120</v>
      </c>
      <c r="B606" t="s">
        <v>410</v>
      </c>
      <c r="C606" t="s">
        <v>916</v>
      </c>
      <c r="D606" s="5" t="s">
        <v>171</v>
      </c>
      <c r="E606" s="25" t="s">
        <v>917</v>
      </c>
      <c r="F606" t="s">
        <v>121</v>
      </c>
      <c r="G606" t="s">
        <v>918</v>
      </c>
      <c r="H606" s="24" t="s">
        <v>2497</v>
      </c>
    </row>
    <row r="607" spans="1:8" s="3" customFormat="1" x14ac:dyDescent="0.25">
      <c r="A607" t="s">
        <v>102</v>
      </c>
      <c r="B607" t="s">
        <v>103</v>
      </c>
      <c r="C607" t="s">
        <v>919</v>
      </c>
      <c r="D607" s="5" t="s">
        <v>171</v>
      </c>
      <c r="E607" s="25" t="s">
        <v>920</v>
      </c>
      <c r="F607" t="s">
        <v>104</v>
      </c>
      <c r="G607" t="s">
        <v>921</v>
      </c>
      <c r="H607" s="24" t="s">
        <v>2497</v>
      </c>
    </row>
    <row r="608" spans="1:8" s="2" customFormat="1" x14ac:dyDescent="0.25">
      <c r="A608" t="s">
        <v>102</v>
      </c>
      <c r="B608" t="s">
        <v>103</v>
      </c>
      <c r="C608" t="s">
        <v>922</v>
      </c>
      <c r="D608" s="5" t="s">
        <v>171</v>
      </c>
      <c r="E608" s="25" t="s">
        <v>923</v>
      </c>
      <c r="F608" t="s">
        <v>8</v>
      </c>
      <c r="G608" t="s">
        <v>924</v>
      </c>
      <c r="H608" s="24" t="s">
        <v>2497</v>
      </c>
    </row>
    <row r="609" spans="1:8" s="3" customFormat="1" x14ac:dyDescent="0.25">
      <c r="A609" t="s">
        <v>120</v>
      </c>
      <c r="B609" t="s">
        <v>128</v>
      </c>
      <c r="C609" t="s">
        <v>925</v>
      </c>
      <c r="D609" s="5" t="s">
        <v>171</v>
      </c>
      <c r="E609" s="25" t="s">
        <v>926</v>
      </c>
      <c r="F609" t="s">
        <v>121</v>
      </c>
      <c r="G609" t="s">
        <v>927</v>
      </c>
      <c r="H609" s="24" t="s">
        <v>2497</v>
      </c>
    </row>
    <row r="610" spans="1:8" s="2" customFormat="1" x14ac:dyDescent="0.25">
      <c r="A610" t="s">
        <v>120</v>
      </c>
      <c r="B610" t="s">
        <v>128</v>
      </c>
      <c r="C610" t="s">
        <v>928</v>
      </c>
      <c r="D610" s="5" t="s">
        <v>171</v>
      </c>
      <c r="E610" s="25" t="s">
        <v>929</v>
      </c>
      <c r="F610" t="s">
        <v>121</v>
      </c>
      <c r="G610" t="s">
        <v>930</v>
      </c>
      <c r="H610" s="24" t="s">
        <v>2497</v>
      </c>
    </row>
    <row r="611" spans="1:8" s="3" customFormat="1" x14ac:dyDescent="0.25">
      <c r="A611" t="s">
        <v>931</v>
      </c>
      <c r="B611" t="s">
        <v>128</v>
      </c>
      <c r="C611" t="s">
        <v>932</v>
      </c>
      <c r="D611" s="5" t="s">
        <v>171</v>
      </c>
      <c r="E611" s="25" t="s">
        <v>933</v>
      </c>
      <c r="F611" t="s">
        <v>934</v>
      </c>
      <c r="G611" t="s">
        <v>935</v>
      </c>
      <c r="H611" s="24" t="s">
        <v>2497</v>
      </c>
    </row>
    <row r="612" spans="1:8" s="2" customFormat="1" x14ac:dyDescent="0.25">
      <c r="A612" t="s">
        <v>120</v>
      </c>
      <c r="B612" t="s">
        <v>128</v>
      </c>
      <c r="C612" t="s">
        <v>928</v>
      </c>
      <c r="D612" s="5" t="s">
        <v>171</v>
      </c>
      <c r="E612" s="25" t="s">
        <v>936</v>
      </c>
      <c r="F612" t="s">
        <v>121</v>
      </c>
      <c r="G612" t="s">
        <v>937</v>
      </c>
      <c r="H612" s="24" t="s">
        <v>2497</v>
      </c>
    </row>
    <row r="613" spans="1:8" s="3" customFormat="1" x14ac:dyDescent="0.25">
      <c r="A613" t="s">
        <v>116</v>
      </c>
      <c r="B613" t="s">
        <v>117</v>
      </c>
      <c r="C613" t="s">
        <v>938</v>
      </c>
      <c r="D613" s="5" t="s">
        <v>171</v>
      </c>
      <c r="E613" s="25" t="s">
        <v>939</v>
      </c>
      <c r="F613" t="s">
        <v>118</v>
      </c>
      <c r="G613" t="s">
        <v>940</v>
      </c>
      <c r="H613" s="24" t="s">
        <v>2497</v>
      </c>
    </row>
    <row r="614" spans="1:8" s="2" customFormat="1" x14ac:dyDescent="0.25">
      <c r="A614" t="s">
        <v>120</v>
      </c>
      <c r="B614" t="s">
        <v>128</v>
      </c>
      <c r="C614" t="s">
        <v>941</v>
      </c>
      <c r="D614" s="5" t="s">
        <v>171</v>
      </c>
      <c r="E614" s="25" t="s">
        <v>942</v>
      </c>
      <c r="F614" t="s">
        <v>121</v>
      </c>
      <c r="G614" t="s">
        <v>943</v>
      </c>
      <c r="H614" s="24" t="s">
        <v>2497</v>
      </c>
    </row>
    <row r="615" spans="1:8" s="3" customFormat="1" x14ac:dyDescent="0.25">
      <c r="A615" t="s">
        <v>102</v>
      </c>
      <c r="B615" t="s">
        <v>103</v>
      </c>
      <c r="C615" t="s">
        <v>944</v>
      </c>
      <c r="D615" s="5" t="s">
        <v>171</v>
      </c>
      <c r="E615" s="25" t="s">
        <v>945</v>
      </c>
      <c r="F615" t="s">
        <v>104</v>
      </c>
      <c r="G615" t="s">
        <v>946</v>
      </c>
      <c r="H615" s="24" t="s">
        <v>2497</v>
      </c>
    </row>
    <row r="616" spans="1:8" s="2" customFormat="1" x14ac:dyDescent="0.25">
      <c r="A616" t="s">
        <v>102</v>
      </c>
      <c r="B616" t="s">
        <v>103</v>
      </c>
      <c r="C616" t="s">
        <v>947</v>
      </c>
      <c r="D616" s="5" t="s">
        <v>171</v>
      </c>
      <c r="E616" s="25" t="s">
        <v>948</v>
      </c>
      <c r="F616" t="s">
        <v>8</v>
      </c>
      <c r="G616" t="s">
        <v>949</v>
      </c>
      <c r="H616" s="24" t="s">
        <v>2497</v>
      </c>
    </row>
    <row r="617" spans="1:8" s="3" customFormat="1" x14ac:dyDescent="0.25">
      <c r="A617" t="s">
        <v>120</v>
      </c>
      <c r="B617" t="s">
        <v>128</v>
      </c>
      <c r="C617" t="s">
        <v>941</v>
      </c>
      <c r="D617" s="5" t="s">
        <v>171</v>
      </c>
      <c r="E617" s="25" t="s">
        <v>950</v>
      </c>
      <c r="F617" t="s">
        <v>121</v>
      </c>
      <c r="G617" t="s">
        <v>951</v>
      </c>
      <c r="H617" s="24" t="s">
        <v>2497</v>
      </c>
    </row>
    <row r="618" spans="1:8" s="2" customFormat="1" x14ac:dyDescent="0.25">
      <c r="A618" t="s">
        <v>120</v>
      </c>
      <c r="B618" t="s">
        <v>128</v>
      </c>
      <c r="C618" t="s">
        <v>941</v>
      </c>
      <c r="D618" s="5" t="s">
        <v>171</v>
      </c>
      <c r="E618" s="25" t="s">
        <v>952</v>
      </c>
      <c r="F618" t="s">
        <v>121</v>
      </c>
      <c r="G618" t="s">
        <v>953</v>
      </c>
      <c r="H618" s="24" t="s">
        <v>2497</v>
      </c>
    </row>
    <row r="619" spans="1:8" s="3" customFormat="1" x14ac:dyDescent="0.25">
      <c r="A619" t="s">
        <v>954</v>
      </c>
      <c r="B619" t="s">
        <v>128</v>
      </c>
      <c r="C619" t="s">
        <v>955</v>
      </c>
      <c r="D619" s="5" t="s">
        <v>171</v>
      </c>
      <c r="E619" s="25" t="s">
        <v>956</v>
      </c>
      <c r="F619" t="s">
        <v>957</v>
      </c>
      <c r="G619" t="s">
        <v>958</v>
      </c>
      <c r="H619" s="24" t="s">
        <v>2497</v>
      </c>
    </row>
    <row r="620" spans="1:8" s="2" customFormat="1" x14ac:dyDescent="0.25">
      <c r="A620" t="s">
        <v>102</v>
      </c>
      <c r="B620" t="s">
        <v>103</v>
      </c>
      <c r="C620" t="s">
        <v>959</v>
      </c>
      <c r="D620" s="5" t="s">
        <v>171</v>
      </c>
      <c r="E620" s="25" t="s">
        <v>960</v>
      </c>
      <c r="F620" t="s">
        <v>104</v>
      </c>
      <c r="G620" t="s">
        <v>961</v>
      </c>
      <c r="H620" s="24" t="s">
        <v>2497</v>
      </c>
    </row>
    <row r="621" spans="1:8" s="3" customFormat="1" x14ac:dyDescent="0.25">
      <c r="A621" t="s">
        <v>102</v>
      </c>
      <c r="B621" t="s">
        <v>103</v>
      </c>
      <c r="C621" t="s">
        <v>962</v>
      </c>
      <c r="D621" s="5" t="s">
        <v>171</v>
      </c>
      <c r="E621" s="25" t="s">
        <v>963</v>
      </c>
      <c r="F621" t="s">
        <v>8</v>
      </c>
      <c r="G621" t="s">
        <v>964</v>
      </c>
      <c r="H621" s="24" t="s">
        <v>2497</v>
      </c>
    </row>
    <row r="622" spans="1:8" s="2" customFormat="1" x14ac:dyDescent="0.25">
      <c r="A622" t="s">
        <v>113</v>
      </c>
      <c r="B622" t="s">
        <v>105</v>
      </c>
      <c r="C622" t="s">
        <v>965</v>
      </c>
      <c r="D622" s="5" t="s">
        <v>171</v>
      </c>
      <c r="E622" s="25" t="s">
        <v>966</v>
      </c>
      <c r="F622" t="s">
        <v>114</v>
      </c>
      <c r="G622" t="s">
        <v>967</v>
      </c>
      <c r="H622" s="24" t="s">
        <v>2497</v>
      </c>
    </row>
    <row r="623" spans="1:8" s="3" customFormat="1" x14ac:dyDescent="0.25">
      <c r="A623" t="s">
        <v>968</v>
      </c>
      <c r="B623" t="s">
        <v>128</v>
      </c>
      <c r="C623" t="s">
        <v>969</v>
      </c>
      <c r="D623" s="5" t="s">
        <v>171</v>
      </c>
      <c r="E623" s="25" t="s">
        <v>970</v>
      </c>
      <c r="F623" t="s">
        <v>971</v>
      </c>
      <c r="G623" t="s">
        <v>972</v>
      </c>
      <c r="H623" s="24" t="s">
        <v>2497</v>
      </c>
    </row>
    <row r="624" spans="1:8" s="2" customFormat="1" x14ac:dyDescent="0.25">
      <c r="A624" t="s">
        <v>102</v>
      </c>
      <c r="B624" t="s">
        <v>103</v>
      </c>
      <c r="C624" t="s">
        <v>973</v>
      </c>
      <c r="D624" s="5" t="s">
        <v>171</v>
      </c>
      <c r="E624" s="25" t="s">
        <v>974</v>
      </c>
      <c r="F624" t="s">
        <v>104</v>
      </c>
      <c r="G624" t="s">
        <v>975</v>
      </c>
      <c r="H624" s="24" t="s">
        <v>2497</v>
      </c>
    </row>
    <row r="625" spans="1:8" s="3" customFormat="1" x14ac:dyDescent="0.25">
      <c r="A625" t="s">
        <v>102</v>
      </c>
      <c r="B625" t="s">
        <v>103</v>
      </c>
      <c r="C625" t="s">
        <v>976</v>
      </c>
      <c r="D625" s="5" t="s">
        <v>171</v>
      </c>
      <c r="E625" s="25" t="s">
        <v>977</v>
      </c>
      <c r="F625" t="s">
        <v>8</v>
      </c>
      <c r="G625" t="s">
        <v>978</v>
      </c>
      <c r="H625" s="24" t="s">
        <v>2497</v>
      </c>
    </row>
    <row r="626" spans="1:8" s="2" customFormat="1" x14ac:dyDescent="0.25">
      <c r="A626" t="s">
        <v>102</v>
      </c>
      <c r="B626" t="s">
        <v>103</v>
      </c>
      <c r="C626" t="s">
        <v>979</v>
      </c>
      <c r="D626" s="5" t="s">
        <v>171</v>
      </c>
      <c r="E626" s="25" t="s">
        <v>980</v>
      </c>
      <c r="F626" t="s">
        <v>104</v>
      </c>
      <c r="G626" t="s">
        <v>981</v>
      </c>
      <c r="H626" s="24" t="s">
        <v>2497</v>
      </c>
    </row>
    <row r="627" spans="1:8" s="3" customFormat="1" x14ac:dyDescent="0.25">
      <c r="A627" t="s">
        <v>102</v>
      </c>
      <c r="B627" t="s">
        <v>103</v>
      </c>
      <c r="C627" t="s">
        <v>982</v>
      </c>
      <c r="D627" s="5" t="s">
        <v>171</v>
      </c>
      <c r="E627" s="25" t="s">
        <v>983</v>
      </c>
      <c r="F627" t="s">
        <v>8</v>
      </c>
      <c r="G627" t="s">
        <v>984</v>
      </c>
      <c r="H627" s="24" t="s">
        <v>2497</v>
      </c>
    </row>
    <row r="628" spans="1:8" s="2" customFormat="1" x14ac:dyDescent="0.25">
      <c r="A628" t="s">
        <v>102</v>
      </c>
      <c r="B628" t="s">
        <v>103</v>
      </c>
      <c r="C628" t="s">
        <v>985</v>
      </c>
      <c r="D628" s="5" t="s">
        <v>171</v>
      </c>
      <c r="E628" s="25" t="s">
        <v>986</v>
      </c>
      <c r="F628" t="s">
        <v>104</v>
      </c>
      <c r="G628" t="s">
        <v>987</v>
      </c>
      <c r="H628" s="24" t="s">
        <v>2497</v>
      </c>
    </row>
    <row r="629" spans="1:8" s="3" customFormat="1" x14ac:dyDescent="0.25">
      <c r="A629" t="s">
        <v>102</v>
      </c>
      <c r="B629" t="s">
        <v>103</v>
      </c>
      <c r="C629" t="s">
        <v>988</v>
      </c>
      <c r="D629" s="5" t="s">
        <v>171</v>
      </c>
      <c r="E629" s="25" t="s">
        <v>989</v>
      </c>
      <c r="F629" t="s">
        <v>8</v>
      </c>
      <c r="G629" t="s">
        <v>990</v>
      </c>
      <c r="H629" s="24" t="s">
        <v>2497</v>
      </c>
    </row>
    <row r="630" spans="1:8" s="2" customFormat="1" x14ac:dyDescent="0.25">
      <c r="A630" t="s">
        <v>120</v>
      </c>
      <c r="B630" t="s">
        <v>128</v>
      </c>
      <c r="C630" t="s">
        <v>991</v>
      </c>
      <c r="D630" s="5" t="s">
        <v>171</v>
      </c>
      <c r="E630" s="25" t="s">
        <v>992</v>
      </c>
      <c r="F630" t="s">
        <v>121</v>
      </c>
      <c r="G630" t="s">
        <v>993</v>
      </c>
      <c r="H630" s="24" t="s">
        <v>2497</v>
      </c>
    </row>
    <row r="631" spans="1:8" s="3" customFormat="1" x14ac:dyDescent="0.25">
      <c r="A631" t="s">
        <v>120</v>
      </c>
      <c r="B631" t="s">
        <v>128</v>
      </c>
      <c r="C631" t="s">
        <v>994</v>
      </c>
      <c r="D631" s="5" t="s">
        <v>171</v>
      </c>
      <c r="E631" s="25" t="s">
        <v>995</v>
      </c>
      <c r="F631" t="s">
        <v>121</v>
      </c>
      <c r="G631" t="s">
        <v>996</v>
      </c>
      <c r="H631" s="24" t="s">
        <v>2497</v>
      </c>
    </row>
    <row r="632" spans="1:8" s="2" customFormat="1" x14ac:dyDescent="0.25">
      <c r="A632" t="s">
        <v>120</v>
      </c>
      <c r="B632" t="s">
        <v>128</v>
      </c>
      <c r="C632" t="s">
        <v>994</v>
      </c>
      <c r="D632" s="5" t="s">
        <v>171</v>
      </c>
      <c r="E632" s="25" t="s">
        <v>997</v>
      </c>
      <c r="F632" t="s">
        <v>121</v>
      </c>
      <c r="G632" t="s">
        <v>998</v>
      </c>
      <c r="H632" s="24" t="s">
        <v>2497</v>
      </c>
    </row>
    <row r="633" spans="1:8" s="3" customFormat="1" x14ac:dyDescent="0.25">
      <c r="A633" t="s">
        <v>120</v>
      </c>
      <c r="B633" t="s">
        <v>128</v>
      </c>
      <c r="C633" t="s">
        <v>994</v>
      </c>
      <c r="D633" s="5" t="s">
        <v>171</v>
      </c>
      <c r="E633" s="25" t="s">
        <v>999</v>
      </c>
      <c r="F633" t="s">
        <v>121</v>
      </c>
      <c r="G633" t="s">
        <v>1000</v>
      </c>
      <c r="H633" s="24" t="s">
        <v>2497</v>
      </c>
    </row>
    <row r="634" spans="1:8" s="2" customFormat="1" x14ac:dyDescent="0.25">
      <c r="A634" t="s">
        <v>120</v>
      </c>
      <c r="B634" t="s">
        <v>128</v>
      </c>
      <c r="C634" t="s">
        <v>994</v>
      </c>
      <c r="D634" s="5" t="s">
        <v>171</v>
      </c>
      <c r="E634" s="25" t="s">
        <v>1001</v>
      </c>
      <c r="F634" t="s">
        <v>121</v>
      </c>
      <c r="G634" t="s">
        <v>1002</v>
      </c>
      <c r="H634" s="24" t="s">
        <v>2497</v>
      </c>
    </row>
    <row r="635" spans="1:8" s="3" customFormat="1" x14ac:dyDescent="0.25">
      <c r="A635" t="s">
        <v>113</v>
      </c>
      <c r="B635" t="s">
        <v>105</v>
      </c>
      <c r="C635" t="s">
        <v>1003</v>
      </c>
      <c r="D635" s="5" t="s">
        <v>171</v>
      </c>
      <c r="E635" s="25" t="s">
        <v>1004</v>
      </c>
      <c r="F635" t="s">
        <v>114</v>
      </c>
      <c r="G635" t="s">
        <v>1005</v>
      </c>
      <c r="H635" s="24" t="s">
        <v>2497</v>
      </c>
    </row>
    <row r="636" spans="1:8" s="2" customFormat="1" x14ac:dyDescent="0.25">
      <c r="A636" t="s">
        <v>102</v>
      </c>
      <c r="B636" t="s">
        <v>103</v>
      </c>
      <c r="C636" t="s">
        <v>1006</v>
      </c>
      <c r="D636" s="5" t="s">
        <v>171</v>
      </c>
      <c r="E636" s="25" t="s">
        <v>1007</v>
      </c>
      <c r="F636" t="s">
        <v>104</v>
      </c>
      <c r="G636" t="s">
        <v>1008</v>
      </c>
      <c r="H636" s="24" t="s">
        <v>2497</v>
      </c>
    </row>
    <row r="637" spans="1:8" s="3" customFormat="1" x14ac:dyDescent="0.25">
      <c r="A637" t="s">
        <v>102</v>
      </c>
      <c r="B637" t="s">
        <v>103</v>
      </c>
      <c r="C637" t="s">
        <v>1009</v>
      </c>
      <c r="D637" s="5" t="s">
        <v>171</v>
      </c>
      <c r="E637" s="25" t="s">
        <v>1010</v>
      </c>
      <c r="F637" t="s">
        <v>8</v>
      </c>
      <c r="G637" t="s">
        <v>1011</v>
      </c>
      <c r="H637" s="24" t="s">
        <v>2497</v>
      </c>
    </row>
    <row r="638" spans="1:8" s="2" customFormat="1" x14ac:dyDescent="0.25">
      <c r="A638" t="s">
        <v>120</v>
      </c>
      <c r="B638" t="s">
        <v>128</v>
      </c>
      <c r="C638" t="s">
        <v>994</v>
      </c>
      <c r="D638" s="5" t="s">
        <v>171</v>
      </c>
      <c r="E638" s="25" t="s">
        <v>1012</v>
      </c>
      <c r="F638" t="s">
        <v>121</v>
      </c>
      <c r="G638" t="s">
        <v>1013</v>
      </c>
      <c r="H638" s="24" t="s">
        <v>2497</v>
      </c>
    </row>
    <row r="639" spans="1:8" s="3" customFormat="1" x14ac:dyDescent="0.25">
      <c r="A639" t="s">
        <v>120</v>
      </c>
      <c r="B639" t="s">
        <v>128</v>
      </c>
      <c r="C639" t="s">
        <v>170</v>
      </c>
      <c r="D639" s="5" t="s">
        <v>171</v>
      </c>
      <c r="E639" s="25" t="s">
        <v>1014</v>
      </c>
      <c r="F639" t="s">
        <v>121</v>
      </c>
      <c r="G639" t="s">
        <v>1015</v>
      </c>
      <c r="H639" s="24" t="s">
        <v>2497</v>
      </c>
    </row>
    <row r="640" spans="1:8" s="2" customFormat="1" x14ac:dyDescent="0.25">
      <c r="A640" t="s">
        <v>120</v>
      </c>
      <c r="B640" t="s">
        <v>128</v>
      </c>
      <c r="C640" t="s">
        <v>170</v>
      </c>
      <c r="D640" s="5" t="s">
        <v>171</v>
      </c>
      <c r="E640" s="25" t="s">
        <v>1016</v>
      </c>
      <c r="F640" t="s">
        <v>121</v>
      </c>
      <c r="G640" t="s">
        <v>1017</v>
      </c>
      <c r="H640" s="24" t="s">
        <v>2497</v>
      </c>
    </row>
    <row r="641" spans="1:8" s="3" customFormat="1" x14ac:dyDescent="0.25">
      <c r="A641" t="s">
        <v>120</v>
      </c>
      <c r="B641" t="s">
        <v>128</v>
      </c>
      <c r="C641" t="s">
        <v>170</v>
      </c>
      <c r="D641" s="5" t="s">
        <v>171</v>
      </c>
      <c r="E641" s="25" t="s">
        <v>1018</v>
      </c>
      <c r="F641" t="s">
        <v>121</v>
      </c>
      <c r="G641" t="s">
        <v>1019</v>
      </c>
      <c r="H641" s="24" t="s">
        <v>2497</v>
      </c>
    </row>
    <row r="642" spans="1:8" s="2" customFormat="1" x14ac:dyDescent="0.25">
      <c r="A642" t="s">
        <v>120</v>
      </c>
      <c r="B642" t="s">
        <v>128</v>
      </c>
      <c r="C642" t="s">
        <v>170</v>
      </c>
      <c r="D642" s="5" t="s">
        <v>171</v>
      </c>
      <c r="E642" s="25" t="s">
        <v>172</v>
      </c>
      <c r="F642" t="s">
        <v>121</v>
      </c>
      <c r="G642" t="s">
        <v>173</v>
      </c>
      <c r="H642" s="24" t="s">
        <v>2497</v>
      </c>
    </row>
    <row r="643" spans="1:8" s="3" customFormat="1" x14ac:dyDescent="0.25">
      <c r="A643" t="s">
        <v>120</v>
      </c>
      <c r="B643" t="s">
        <v>128</v>
      </c>
      <c r="C643" t="s">
        <v>170</v>
      </c>
      <c r="D643" s="5" t="s">
        <v>171</v>
      </c>
      <c r="E643" s="25" t="s">
        <v>174</v>
      </c>
      <c r="F643" t="s">
        <v>121</v>
      </c>
      <c r="G643" t="s">
        <v>175</v>
      </c>
      <c r="H643" s="24" t="s">
        <v>2497</v>
      </c>
    </row>
    <row r="644" spans="1:8" s="2" customFormat="1" x14ac:dyDescent="0.25">
      <c r="A644" t="s">
        <v>125</v>
      </c>
      <c r="B644" t="s">
        <v>129</v>
      </c>
      <c r="C644" t="s">
        <v>176</v>
      </c>
      <c r="D644" s="5" t="s">
        <v>171</v>
      </c>
      <c r="E644" s="25" t="s">
        <v>177</v>
      </c>
      <c r="F644" t="s">
        <v>126</v>
      </c>
      <c r="G644" t="s">
        <v>178</v>
      </c>
      <c r="H644" s="24" t="s">
        <v>2497</v>
      </c>
    </row>
    <row r="645" spans="1:8" s="3" customFormat="1" x14ac:dyDescent="0.25">
      <c r="A645" t="s">
        <v>120</v>
      </c>
      <c r="B645" t="s">
        <v>128</v>
      </c>
      <c r="C645" t="s">
        <v>179</v>
      </c>
      <c r="D645" s="5" t="s">
        <v>171</v>
      </c>
      <c r="E645" s="25" t="s">
        <v>180</v>
      </c>
      <c r="F645" t="s">
        <v>121</v>
      </c>
      <c r="G645" t="s">
        <v>181</v>
      </c>
      <c r="H645" s="24" t="s">
        <v>2497</v>
      </c>
    </row>
    <row r="646" spans="1:8" s="2" customFormat="1" x14ac:dyDescent="0.25">
      <c r="A646" t="s">
        <v>120</v>
      </c>
      <c r="B646" t="s">
        <v>128</v>
      </c>
      <c r="C646" t="s">
        <v>179</v>
      </c>
      <c r="D646" s="5" t="s">
        <v>171</v>
      </c>
      <c r="E646" s="25" t="s">
        <v>182</v>
      </c>
      <c r="F646" t="s">
        <v>121</v>
      </c>
      <c r="G646" t="s">
        <v>183</v>
      </c>
      <c r="H646" s="24" t="s">
        <v>2497</v>
      </c>
    </row>
    <row r="647" spans="1:8" s="3" customFormat="1" x14ac:dyDescent="0.25">
      <c r="A647" t="s">
        <v>125</v>
      </c>
      <c r="B647" t="s">
        <v>129</v>
      </c>
      <c r="C647" t="s">
        <v>184</v>
      </c>
      <c r="D647" s="5" t="s">
        <v>171</v>
      </c>
      <c r="E647" s="25" t="s">
        <v>185</v>
      </c>
      <c r="F647" t="s">
        <v>127</v>
      </c>
      <c r="G647" t="s">
        <v>186</v>
      </c>
      <c r="H647" s="24" t="s">
        <v>2497</v>
      </c>
    </row>
    <row r="648" spans="1:8" s="2" customFormat="1" x14ac:dyDescent="0.25">
      <c r="A648" t="s">
        <v>120</v>
      </c>
      <c r="B648" t="s">
        <v>128</v>
      </c>
      <c r="C648" t="s">
        <v>179</v>
      </c>
      <c r="D648" s="5" t="s">
        <v>171</v>
      </c>
      <c r="E648" s="25" t="s">
        <v>187</v>
      </c>
      <c r="F648" t="s">
        <v>121</v>
      </c>
      <c r="G648" t="s">
        <v>188</v>
      </c>
      <c r="H648" s="24" t="s">
        <v>2497</v>
      </c>
    </row>
    <row r="649" spans="1:8" s="3" customFormat="1" x14ac:dyDescent="0.25">
      <c r="A649" t="s">
        <v>120</v>
      </c>
      <c r="B649" t="s">
        <v>128</v>
      </c>
      <c r="C649" t="s">
        <v>179</v>
      </c>
      <c r="D649" s="5" t="s">
        <v>171</v>
      </c>
      <c r="E649" s="25" t="s">
        <v>189</v>
      </c>
      <c r="F649" t="s">
        <v>121</v>
      </c>
      <c r="G649" t="s">
        <v>190</v>
      </c>
      <c r="H649" s="24" t="s">
        <v>2497</v>
      </c>
    </row>
    <row r="650" spans="1:8" s="2" customFormat="1" x14ac:dyDescent="0.25">
      <c r="A650" t="s">
        <v>120</v>
      </c>
      <c r="B650" t="s">
        <v>128</v>
      </c>
      <c r="C650" t="s">
        <v>179</v>
      </c>
      <c r="D650" s="5" t="s">
        <v>171</v>
      </c>
      <c r="E650" s="25" t="s">
        <v>191</v>
      </c>
      <c r="F650" t="s">
        <v>121</v>
      </c>
      <c r="G650" t="s">
        <v>192</v>
      </c>
      <c r="H650" s="24" t="s">
        <v>2497</v>
      </c>
    </row>
    <row r="651" spans="1:8" s="3" customFormat="1" x14ac:dyDescent="0.25">
      <c r="A651" t="s">
        <v>120</v>
      </c>
      <c r="B651" t="s">
        <v>128</v>
      </c>
      <c r="C651" t="s">
        <v>193</v>
      </c>
      <c r="D651" s="5" t="s">
        <v>171</v>
      </c>
      <c r="E651" s="25" t="s">
        <v>194</v>
      </c>
      <c r="F651" t="s">
        <v>121</v>
      </c>
      <c r="G651" t="s">
        <v>195</v>
      </c>
      <c r="H651" s="24" t="s">
        <v>2497</v>
      </c>
    </row>
    <row r="652" spans="1:8" s="2" customFormat="1" x14ac:dyDescent="0.25">
      <c r="A652" t="s">
        <v>120</v>
      </c>
      <c r="B652" t="s">
        <v>128</v>
      </c>
      <c r="C652" t="s">
        <v>193</v>
      </c>
      <c r="D652" s="5" t="s">
        <v>171</v>
      </c>
      <c r="E652" s="25" t="s">
        <v>196</v>
      </c>
      <c r="F652" t="s">
        <v>121</v>
      </c>
      <c r="G652" t="s">
        <v>197</v>
      </c>
      <c r="H652" s="24" t="s">
        <v>2497</v>
      </c>
    </row>
    <row r="653" spans="1:8" s="3" customFormat="1" x14ac:dyDescent="0.25">
      <c r="A653" t="s">
        <v>120</v>
      </c>
      <c r="B653" t="s">
        <v>128</v>
      </c>
      <c r="C653" t="s">
        <v>193</v>
      </c>
      <c r="D653" s="5" t="s">
        <v>171</v>
      </c>
      <c r="E653" s="25" t="s">
        <v>198</v>
      </c>
      <c r="F653" t="s">
        <v>121</v>
      </c>
      <c r="G653" t="s">
        <v>199</v>
      </c>
      <c r="H653" s="24" t="s">
        <v>2497</v>
      </c>
    </row>
    <row r="654" spans="1:8" s="2" customFormat="1" x14ac:dyDescent="0.25">
      <c r="A654" t="s">
        <v>11</v>
      </c>
      <c r="B654" t="s">
        <v>12</v>
      </c>
      <c r="C654" t="s">
        <v>200</v>
      </c>
      <c r="D654" s="5" t="s">
        <v>171</v>
      </c>
      <c r="E654" s="25" t="s">
        <v>109</v>
      </c>
      <c r="F654" t="s">
        <v>8</v>
      </c>
      <c r="G654" t="s">
        <v>201</v>
      </c>
      <c r="H654" s="24" t="s">
        <v>2497</v>
      </c>
    </row>
    <row r="655" spans="1:8" s="3" customFormat="1" x14ac:dyDescent="0.25">
      <c r="A655" t="s">
        <v>120</v>
      </c>
      <c r="B655" t="s">
        <v>128</v>
      </c>
      <c r="C655" t="s">
        <v>202</v>
      </c>
      <c r="D655" s="5" t="s">
        <v>171</v>
      </c>
      <c r="E655" s="25" t="s">
        <v>203</v>
      </c>
      <c r="F655" t="s">
        <v>121</v>
      </c>
      <c r="G655" t="s">
        <v>204</v>
      </c>
      <c r="H655" s="24" t="s">
        <v>2497</v>
      </c>
    </row>
    <row r="656" spans="1:8" s="2" customFormat="1" x14ac:dyDescent="0.25">
      <c r="A656" t="s">
        <v>120</v>
      </c>
      <c r="B656" t="s">
        <v>128</v>
      </c>
      <c r="C656" t="s">
        <v>202</v>
      </c>
      <c r="D656" s="5" t="s">
        <v>171</v>
      </c>
      <c r="E656" s="25" t="s">
        <v>205</v>
      </c>
      <c r="F656" t="s">
        <v>121</v>
      </c>
      <c r="G656" t="s">
        <v>206</v>
      </c>
      <c r="H656" s="24" t="s">
        <v>2497</v>
      </c>
    </row>
    <row r="657" spans="1:8" s="3" customFormat="1" x14ac:dyDescent="0.25">
      <c r="A657" t="s">
        <v>120</v>
      </c>
      <c r="B657" t="s">
        <v>128</v>
      </c>
      <c r="C657" t="s">
        <v>207</v>
      </c>
      <c r="D657" s="5" t="s">
        <v>171</v>
      </c>
      <c r="E657" s="25" t="s">
        <v>208</v>
      </c>
      <c r="F657" t="s">
        <v>121</v>
      </c>
      <c r="G657" t="s">
        <v>209</v>
      </c>
      <c r="H657" s="24" t="s">
        <v>2497</v>
      </c>
    </row>
    <row r="658" spans="1:8" s="2" customFormat="1" x14ac:dyDescent="0.25">
      <c r="A658" t="s">
        <v>120</v>
      </c>
      <c r="B658" t="s">
        <v>128</v>
      </c>
      <c r="C658" t="s">
        <v>207</v>
      </c>
      <c r="D658" s="5" t="s">
        <v>171</v>
      </c>
      <c r="E658" s="25" t="s">
        <v>210</v>
      </c>
      <c r="F658" t="s">
        <v>121</v>
      </c>
      <c r="G658" t="s">
        <v>211</v>
      </c>
      <c r="H658" s="24" t="s">
        <v>2497</v>
      </c>
    </row>
    <row r="659" spans="1:8" s="3" customFormat="1" x14ac:dyDescent="0.25">
      <c r="A659" t="s">
        <v>120</v>
      </c>
      <c r="B659" t="s">
        <v>128</v>
      </c>
      <c r="C659" t="s">
        <v>207</v>
      </c>
      <c r="D659" s="5" t="s">
        <v>171</v>
      </c>
      <c r="E659" s="25" t="s">
        <v>212</v>
      </c>
      <c r="F659" t="s">
        <v>121</v>
      </c>
      <c r="G659" t="s">
        <v>213</v>
      </c>
      <c r="H659" s="24" t="s">
        <v>2497</v>
      </c>
    </row>
    <row r="660" spans="1:8" s="2" customFormat="1" x14ac:dyDescent="0.25">
      <c r="A660" t="s">
        <v>120</v>
      </c>
      <c r="B660" t="s">
        <v>128</v>
      </c>
      <c r="C660" t="s">
        <v>207</v>
      </c>
      <c r="D660" s="5" t="s">
        <v>171</v>
      </c>
      <c r="E660" s="25" t="s">
        <v>214</v>
      </c>
      <c r="F660" t="s">
        <v>121</v>
      </c>
      <c r="G660" t="s">
        <v>215</v>
      </c>
      <c r="H660" s="24" t="s">
        <v>2497</v>
      </c>
    </row>
    <row r="661" spans="1:8" s="3" customFormat="1" x14ac:dyDescent="0.25">
      <c r="A661" t="s">
        <v>120</v>
      </c>
      <c r="B661" t="s">
        <v>128</v>
      </c>
      <c r="C661" t="s">
        <v>207</v>
      </c>
      <c r="D661" s="5" t="s">
        <v>171</v>
      </c>
      <c r="E661" s="25" t="s">
        <v>216</v>
      </c>
      <c r="F661" t="s">
        <v>121</v>
      </c>
      <c r="G661" t="s">
        <v>217</v>
      </c>
      <c r="H661" s="24" t="s">
        <v>2497</v>
      </c>
    </row>
    <row r="662" spans="1:8" s="2" customFormat="1" x14ac:dyDescent="0.25">
      <c r="A662" t="s">
        <v>120</v>
      </c>
      <c r="B662" t="s">
        <v>128</v>
      </c>
      <c r="C662" t="s">
        <v>218</v>
      </c>
      <c r="D662" s="5" t="s">
        <v>171</v>
      </c>
      <c r="E662" s="25" t="s">
        <v>219</v>
      </c>
      <c r="F662" t="s">
        <v>121</v>
      </c>
      <c r="G662" t="s">
        <v>220</v>
      </c>
      <c r="H662" s="24" t="s">
        <v>2497</v>
      </c>
    </row>
    <row r="663" spans="1:8" s="3" customFormat="1" x14ac:dyDescent="0.25">
      <c r="A663" t="s">
        <v>120</v>
      </c>
      <c r="B663" t="s">
        <v>128</v>
      </c>
      <c r="C663" t="s">
        <v>218</v>
      </c>
      <c r="D663" s="5" t="s">
        <v>171</v>
      </c>
      <c r="E663" s="25" t="s">
        <v>221</v>
      </c>
      <c r="F663" t="s">
        <v>121</v>
      </c>
      <c r="G663" t="s">
        <v>222</v>
      </c>
      <c r="H663" s="24" t="s">
        <v>2497</v>
      </c>
    </row>
    <row r="664" spans="1:8" s="2" customFormat="1" x14ac:dyDescent="0.25">
      <c r="A664" t="s">
        <v>102</v>
      </c>
      <c r="B664" t="s">
        <v>103</v>
      </c>
      <c r="C664" t="s">
        <v>223</v>
      </c>
      <c r="D664" s="5" t="s">
        <v>171</v>
      </c>
      <c r="E664" s="25" t="s">
        <v>224</v>
      </c>
      <c r="F664" t="s">
        <v>104</v>
      </c>
      <c r="G664" t="s">
        <v>225</v>
      </c>
      <c r="H664" s="24" t="s">
        <v>2497</v>
      </c>
    </row>
    <row r="665" spans="1:8" s="3" customFormat="1" x14ac:dyDescent="0.25">
      <c r="A665" t="s">
        <v>102</v>
      </c>
      <c r="B665" t="s">
        <v>103</v>
      </c>
      <c r="C665" t="s">
        <v>226</v>
      </c>
      <c r="D665" s="5" t="s">
        <v>171</v>
      </c>
      <c r="E665" s="25" t="s">
        <v>227</v>
      </c>
      <c r="F665" t="s">
        <v>8</v>
      </c>
      <c r="G665" t="s">
        <v>228</v>
      </c>
      <c r="H665" s="24" t="s">
        <v>2497</v>
      </c>
    </row>
    <row r="666" spans="1:8" s="2" customFormat="1" x14ac:dyDescent="0.25">
      <c r="A666" t="s">
        <v>120</v>
      </c>
      <c r="B666" t="s">
        <v>128</v>
      </c>
      <c r="C666" t="s">
        <v>229</v>
      </c>
      <c r="D666" s="5" t="s">
        <v>152</v>
      </c>
      <c r="E666" s="25" t="s">
        <v>230</v>
      </c>
      <c r="F666" t="s">
        <v>121</v>
      </c>
      <c r="G666" t="s">
        <v>231</v>
      </c>
      <c r="H666" s="24" t="s">
        <v>2498</v>
      </c>
    </row>
    <row r="667" spans="1:8" s="3" customFormat="1" x14ac:dyDescent="0.25">
      <c r="A667" t="s">
        <v>120</v>
      </c>
      <c r="B667" t="s">
        <v>128</v>
      </c>
      <c r="C667" t="s">
        <v>232</v>
      </c>
      <c r="D667" s="5" t="s">
        <v>152</v>
      </c>
      <c r="E667" s="25" t="s">
        <v>233</v>
      </c>
      <c r="F667" t="s">
        <v>121</v>
      </c>
      <c r="G667" t="s">
        <v>234</v>
      </c>
      <c r="H667" s="24" t="s">
        <v>2498</v>
      </c>
    </row>
    <row r="668" spans="1:8" s="2" customFormat="1" x14ac:dyDescent="0.25">
      <c r="A668" t="s">
        <v>113</v>
      </c>
      <c r="B668" t="s">
        <v>105</v>
      </c>
      <c r="C668" t="s">
        <v>235</v>
      </c>
      <c r="D668" s="5" t="s">
        <v>152</v>
      </c>
      <c r="E668" s="25" t="s">
        <v>236</v>
      </c>
      <c r="F668" t="s">
        <v>114</v>
      </c>
      <c r="G668" t="s">
        <v>237</v>
      </c>
      <c r="H668" s="24" t="s">
        <v>2498</v>
      </c>
    </row>
    <row r="669" spans="1:8" s="3" customFormat="1" x14ac:dyDescent="0.25">
      <c r="A669" t="s">
        <v>113</v>
      </c>
      <c r="B669" t="s">
        <v>105</v>
      </c>
      <c r="C669" t="s">
        <v>235</v>
      </c>
      <c r="D669" s="5" t="s">
        <v>152</v>
      </c>
      <c r="E669" s="25" t="s">
        <v>238</v>
      </c>
      <c r="F669" t="s">
        <v>114</v>
      </c>
      <c r="G669" t="s">
        <v>239</v>
      </c>
      <c r="H669" s="24" t="s">
        <v>2498</v>
      </c>
    </row>
    <row r="670" spans="1:8" s="2" customFormat="1" x14ac:dyDescent="0.25">
      <c r="A670" t="s">
        <v>110</v>
      </c>
      <c r="B670" t="s">
        <v>111</v>
      </c>
      <c r="C670" t="s">
        <v>240</v>
      </c>
      <c r="D670" s="5" t="s">
        <v>152</v>
      </c>
      <c r="E670" s="25" t="s">
        <v>241</v>
      </c>
      <c r="F670" t="s">
        <v>112</v>
      </c>
      <c r="G670" t="s">
        <v>242</v>
      </c>
      <c r="H670" s="24" t="s">
        <v>2498</v>
      </c>
    </row>
    <row r="671" spans="1:8" s="3" customFormat="1" x14ac:dyDescent="0.25">
      <c r="A671" t="s">
        <v>113</v>
      </c>
      <c r="B671" t="s">
        <v>105</v>
      </c>
      <c r="C671" t="s">
        <v>243</v>
      </c>
      <c r="D671" s="5" t="s">
        <v>152</v>
      </c>
      <c r="E671" s="25" t="s">
        <v>244</v>
      </c>
      <c r="F671" t="s">
        <v>114</v>
      </c>
      <c r="G671" t="s">
        <v>245</v>
      </c>
      <c r="H671" s="24" t="s">
        <v>2498</v>
      </c>
    </row>
    <row r="672" spans="1:8" s="2" customFormat="1" x14ac:dyDescent="0.25">
      <c r="A672" t="s">
        <v>113</v>
      </c>
      <c r="B672" t="s">
        <v>105</v>
      </c>
      <c r="C672" t="s">
        <v>243</v>
      </c>
      <c r="D672" s="5" t="s">
        <v>152</v>
      </c>
      <c r="E672" s="25" t="s">
        <v>246</v>
      </c>
      <c r="F672" t="s">
        <v>114</v>
      </c>
      <c r="G672" t="s">
        <v>247</v>
      </c>
      <c r="H672" s="24" t="s">
        <v>2498</v>
      </c>
    </row>
    <row r="673" spans="1:8" s="3" customFormat="1" x14ac:dyDescent="0.25">
      <c r="A673" t="s">
        <v>110</v>
      </c>
      <c r="B673" t="s">
        <v>115</v>
      </c>
      <c r="C673" t="s">
        <v>248</v>
      </c>
      <c r="D673" s="5" t="s">
        <v>152</v>
      </c>
      <c r="E673" s="25" t="s">
        <v>249</v>
      </c>
      <c r="F673" t="s">
        <v>112</v>
      </c>
      <c r="G673" t="s">
        <v>250</v>
      </c>
      <c r="H673" s="24" t="s">
        <v>2498</v>
      </c>
    </row>
    <row r="674" spans="1:8" s="2" customFormat="1" x14ac:dyDescent="0.25">
      <c r="A674" t="s">
        <v>113</v>
      </c>
      <c r="B674" t="s">
        <v>105</v>
      </c>
      <c r="C674" t="s">
        <v>243</v>
      </c>
      <c r="D674" s="5" t="s">
        <v>152</v>
      </c>
      <c r="E674" s="25" t="s">
        <v>251</v>
      </c>
      <c r="F674" t="s">
        <v>114</v>
      </c>
      <c r="G674" t="s">
        <v>252</v>
      </c>
      <c r="H674" s="24" t="s">
        <v>2498</v>
      </c>
    </row>
    <row r="675" spans="1:8" s="3" customFormat="1" x14ac:dyDescent="0.25">
      <c r="A675" t="s">
        <v>11</v>
      </c>
      <c r="B675" t="s">
        <v>12</v>
      </c>
      <c r="C675" t="s">
        <v>253</v>
      </c>
      <c r="D675" s="5" t="s">
        <v>152</v>
      </c>
      <c r="E675" s="25" t="s">
        <v>254</v>
      </c>
      <c r="F675" t="s">
        <v>104</v>
      </c>
      <c r="G675" t="s">
        <v>255</v>
      </c>
      <c r="H675" s="24" t="s">
        <v>2498</v>
      </c>
    </row>
    <row r="676" spans="1:8" s="2" customFormat="1" x14ac:dyDescent="0.25">
      <c r="A676" t="s">
        <v>122</v>
      </c>
      <c r="B676" t="s">
        <v>107</v>
      </c>
      <c r="C676" t="s">
        <v>256</v>
      </c>
      <c r="D676" s="5" t="s">
        <v>152</v>
      </c>
      <c r="E676" s="25" t="s">
        <v>257</v>
      </c>
      <c r="F676" t="s">
        <v>123</v>
      </c>
      <c r="G676" t="s">
        <v>258</v>
      </c>
      <c r="H676" s="24" t="s">
        <v>2498</v>
      </c>
    </row>
    <row r="677" spans="1:8" s="3" customFormat="1" x14ac:dyDescent="0.25">
      <c r="A677" t="s">
        <v>113</v>
      </c>
      <c r="B677" t="s">
        <v>105</v>
      </c>
      <c r="C677" t="s">
        <v>259</v>
      </c>
      <c r="D677" s="5" t="s">
        <v>152</v>
      </c>
      <c r="E677" s="25" t="s">
        <v>260</v>
      </c>
      <c r="F677" t="s">
        <v>114</v>
      </c>
      <c r="G677" t="s">
        <v>261</v>
      </c>
      <c r="H677" s="24" t="s">
        <v>2498</v>
      </c>
    </row>
    <row r="678" spans="1:8" s="2" customFormat="1" x14ac:dyDescent="0.25">
      <c r="A678" t="s">
        <v>102</v>
      </c>
      <c r="B678" t="s">
        <v>103</v>
      </c>
      <c r="C678" t="s">
        <v>262</v>
      </c>
      <c r="D678" s="5" t="s">
        <v>152</v>
      </c>
      <c r="E678" s="25" t="s">
        <v>263</v>
      </c>
      <c r="F678" t="s">
        <v>104</v>
      </c>
      <c r="G678" t="s">
        <v>264</v>
      </c>
      <c r="H678" s="24" t="s">
        <v>2498</v>
      </c>
    </row>
    <row r="679" spans="1:8" s="3" customFormat="1" x14ac:dyDescent="0.25">
      <c r="A679" t="s">
        <v>102</v>
      </c>
      <c r="B679" t="s">
        <v>103</v>
      </c>
      <c r="C679" t="s">
        <v>265</v>
      </c>
      <c r="D679" s="5" t="s">
        <v>152</v>
      </c>
      <c r="E679" s="25" t="s">
        <v>266</v>
      </c>
      <c r="F679" t="s">
        <v>8</v>
      </c>
      <c r="G679" t="s">
        <v>267</v>
      </c>
      <c r="H679" s="24" t="s">
        <v>2498</v>
      </c>
    </row>
    <row r="680" spans="1:8" s="2" customFormat="1" x14ac:dyDescent="0.25">
      <c r="A680" t="s">
        <v>116</v>
      </c>
      <c r="B680" t="s">
        <v>117</v>
      </c>
      <c r="C680" t="s">
        <v>268</v>
      </c>
      <c r="D680" s="5" t="s">
        <v>152</v>
      </c>
      <c r="E680" s="25" t="s">
        <v>269</v>
      </c>
      <c r="F680" t="s">
        <v>118</v>
      </c>
      <c r="G680" t="s">
        <v>270</v>
      </c>
      <c r="H680" s="24" t="s">
        <v>2498</v>
      </c>
    </row>
    <row r="681" spans="1:8" s="3" customFormat="1" x14ac:dyDescent="0.25">
      <c r="A681" t="s">
        <v>113</v>
      </c>
      <c r="B681" t="s">
        <v>105</v>
      </c>
      <c r="C681" t="s">
        <v>271</v>
      </c>
      <c r="D681" s="5" t="s">
        <v>152</v>
      </c>
      <c r="E681" s="25" t="s">
        <v>272</v>
      </c>
      <c r="F681" t="s">
        <v>114</v>
      </c>
      <c r="G681" t="s">
        <v>273</v>
      </c>
      <c r="H681" s="24" t="s">
        <v>2498</v>
      </c>
    </row>
    <row r="682" spans="1:8" s="2" customFormat="1" x14ac:dyDescent="0.25">
      <c r="A682" t="s">
        <v>122</v>
      </c>
      <c r="B682" t="s">
        <v>107</v>
      </c>
      <c r="C682" t="s">
        <v>274</v>
      </c>
      <c r="D682" s="5" t="s">
        <v>152</v>
      </c>
      <c r="E682" s="25" t="s">
        <v>275</v>
      </c>
      <c r="F682" t="s">
        <v>123</v>
      </c>
      <c r="G682" t="s">
        <v>276</v>
      </c>
      <c r="H682" s="24" t="s">
        <v>2498</v>
      </c>
    </row>
    <row r="683" spans="1:8" s="3" customFormat="1" x14ac:dyDescent="0.25">
      <c r="A683" t="s">
        <v>113</v>
      </c>
      <c r="B683" t="s">
        <v>105</v>
      </c>
      <c r="C683" t="s">
        <v>277</v>
      </c>
      <c r="D683" s="5" t="s">
        <v>152</v>
      </c>
      <c r="E683" s="25" t="s">
        <v>278</v>
      </c>
      <c r="F683" t="s">
        <v>114</v>
      </c>
      <c r="G683" t="s">
        <v>279</v>
      </c>
      <c r="H683" s="24" t="s">
        <v>2498</v>
      </c>
    </row>
    <row r="684" spans="1:8" s="2" customFormat="1" x14ac:dyDescent="0.25">
      <c r="A684" t="s">
        <v>113</v>
      </c>
      <c r="B684" t="s">
        <v>105</v>
      </c>
      <c r="C684" t="s">
        <v>277</v>
      </c>
      <c r="D684" s="5" t="s">
        <v>152</v>
      </c>
      <c r="E684" s="25" t="s">
        <v>280</v>
      </c>
      <c r="F684" t="s">
        <v>114</v>
      </c>
      <c r="G684" t="s">
        <v>281</v>
      </c>
      <c r="H684" s="24" t="s">
        <v>2498</v>
      </c>
    </row>
    <row r="685" spans="1:8" s="3" customFormat="1" x14ac:dyDescent="0.25">
      <c r="A685" t="s">
        <v>102</v>
      </c>
      <c r="B685" t="s">
        <v>103</v>
      </c>
      <c r="C685" t="s">
        <v>282</v>
      </c>
      <c r="D685" s="5" t="s">
        <v>152</v>
      </c>
      <c r="E685" s="25" t="s">
        <v>283</v>
      </c>
      <c r="F685" t="s">
        <v>104</v>
      </c>
      <c r="G685" t="s">
        <v>284</v>
      </c>
      <c r="H685" s="24" t="s">
        <v>2498</v>
      </c>
    </row>
    <row r="686" spans="1:8" s="2" customFormat="1" x14ac:dyDescent="0.25">
      <c r="A686" t="s">
        <v>102</v>
      </c>
      <c r="B686" t="s">
        <v>103</v>
      </c>
      <c r="C686" t="s">
        <v>285</v>
      </c>
      <c r="D686" s="5" t="s">
        <v>152</v>
      </c>
      <c r="E686" s="25" t="s">
        <v>286</v>
      </c>
      <c r="F686" t="s">
        <v>8</v>
      </c>
      <c r="G686" t="s">
        <v>287</v>
      </c>
      <c r="H686" s="24" t="s">
        <v>2498</v>
      </c>
    </row>
    <row r="687" spans="1:8" s="3" customFormat="1" x14ac:dyDescent="0.25">
      <c r="A687" t="s">
        <v>113</v>
      </c>
      <c r="B687" t="s">
        <v>105</v>
      </c>
      <c r="C687" t="s">
        <v>288</v>
      </c>
      <c r="D687" s="5" t="s">
        <v>152</v>
      </c>
      <c r="E687" s="25" t="s">
        <v>289</v>
      </c>
      <c r="F687" t="s">
        <v>114</v>
      </c>
      <c r="G687" t="s">
        <v>290</v>
      </c>
      <c r="H687" s="24" t="s">
        <v>2498</v>
      </c>
    </row>
    <row r="688" spans="1:8" s="2" customFormat="1" x14ac:dyDescent="0.25">
      <c r="A688" t="s">
        <v>113</v>
      </c>
      <c r="B688" t="s">
        <v>105</v>
      </c>
      <c r="C688" t="s">
        <v>291</v>
      </c>
      <c r="D688" s="5" t="s">
        <v>152</v>
      </c>
      <c r="E688" s="25" t="s">
        <v>292</v>
      </c>
      <c r="F688" t="s">
        <v>114</v>
      </c>
      <c r="G688" t="s">
        <v>293</v>
      </c>
      <c r="H688" s="24" t="s">
        <v>2498</v>
      </c>
    </row>
    <row r="689" spans="1:8" s="3" customFormat="1" x14ac:dyDescent="0.25">
      <c r="A689" t="s">
        <v>113</v>
      </c>
      <c r="B689" t="s">
        <v>105</v>
      </c>
      <c r="C689" t="s">
        <v>291</v>
      </c>
      <c r="D689" s="5" t="s">
        <v>152</v>
      </c>
      <c r="E689" s="25" t="s">
        <v>294</v>
      </c>
      <c r="F689" t="s">
        <v>114</v>
      </c>
      <c r="G689" t="s">
        <v>295</v>
      </c>
      <c r="H689" s="24" t="s">
        <v>2498</v>
      </c>
    </row>
    <row r="690" spans="1:8" s="2" customFormat="1" x14ac:dyDescent="0.25">
      <c r="A690" t="s">
        <v>113</v>
      </c>
      <c r="B690" t="s">
        <v>105</v>
      </c>
      <c r="C690" t="s">
        <v>296</v>
      </c>
      <c r="D690" s="5" t="s">
        <v>152</v>
      </c>
      <c r="E690" s="25" t="s">
        <v>297</v>
      </c>
      <c r="F690" t="s">
        <v>114</v>
      </c>
      <c r="G690" t="s">
        <v>298</v>
      </c>
      <c r="H690" s="24" t="s">
        <v>2498</v>
      </c>
    </row>
    <row r="691" spans="1:8" s="3" customFormat="1" x14ac:dyDescent="0.25">
      <c r="A691" t="s">
        <v>113</v>
      </c>
      <c r="B691" t="s">
        <v>105</v>
      </c>
      <c r="C691" t="s">
        <v>296</v>
      </c>
      <c r="D691" s="5" t="s">
        <v>152</v>
      </c>
      <c r="E691" s="25" t="s">
        <v>299</v>
      </c>
      <c r="F691" t="s">
        <v>114</v>
      </c>
      <c r="G691" t="s">
        <v>300</v>
      </c>
      <c r="H691" s="24" t="s">
        <v>2498</v>
      </c>
    </row>
    <row r="692" spans="1:8" s="2" customFormat="1" x14ac:dyDescent="0.25">
      <c r="A692" t="s">
        <v>102</v>
      </c>
      <c r="B692" t="s">
        <v>103</v>
      </c>
      <c r="C692" t="s">
        <v>301</v>
      </c>
      <c r="D692" s="5" t="s">
        <v>152</v>
      </c>
      <c r="E692" s="25" t="s">
        <v>302</v>
      </c>
      <c r="F692" t="s">
        <v>104</v>
      </c>
      <c r="G692" t="s">
        <v>303</v>
      </c>
      <c r="H692" s="24" t="s">
        <v>2498</v>
      </c>
    </row>
    <row r="693" spans="1:8" s="3" customFormat="1" x14ac:dyDescent="0.25">
      <c r="A693" t="s">
        <v>102</v>
      </c>
      <c r="B693" t="s">
        <v>103</v>
      </c>
      <c r="C693" t="s">
        <v>304</v>
      </c>
      <c r="D693" s="5" t="s">
        <v>152</v>
      </c>
      <c r="E693" s="25" t="s">
        <v>305</v>
      </c>
      <c r="F693" t="s">
        <v>8</v>
      </c>
      <c r="G693" t="s">
        <v>306</v>
      </c>
      <c r="H693" s="24" t="s">
        <v>2498</v>
      </c>
    </row>
    <row r="694" spans="1:8" s="2" customFormat="1" x14ac:dyDescent="0.25">
      <c r="A694" t="s">
        <v>113</v>
      </c>
      <c r="B694" t="s">
        <v>105</v>
      </c>
      <c r="C694" t="s">
        <v>307</v>
      </c>
      <c r="D694" s="5" t="s">
        <v>152</v>
      </c>
      <c r="E694" s="25" t="s">
        <v>308</v>
      </c>
      <c r="F694" t="s">
        <v>114</v>
      </c>
      <c r="G694" t="s">
        <v>309</v>
      </c>
      <c r="H694" s="24" t="s">
        <v>2498</v>
      </c>
    </row>
    <row r="695" spans="1:8" s="3" customFormat="1" x14ac:dyDescent="0.25">
      <c r="A695" t="s">
        <v>102</v>
      </c>
      <c r="B695" t="s">
        <v>103</v>
      </c>
      <c r="C695" t="s">
        <v>310</v>
      </c>
      <c r="D695" s="5" t="s">
        <v>152</v>
      </c>
      <c r="E695" s="25" t="s">
        <v>311</v>
      </c>
      <c r="F695" t="s">
        <v>104</v>
      </c>
      <c r="G695" t="s">
        <v>312</v>
      </c>
      <c r="H695" s="24" t="s">
        <v>2498</v>
      </c>
    </row>
    <row r="696" spans="1:8" s="2" customFormat="1" x14ac:dyDescent="0.25">
      <c r="A696" t="s">
        <v>102</v>
      </c>
      <c r="B696" t="s">
        <v>103</v>
      </c>
      <c r="C696" t="s">
        <v>313</v>
      </c>
      <c r="D696" s="5" t="s">
        <v>152</v>
      </c>
      <c r="E696" s="25" t="s">
        <v>314</v>
      </c>
      <c r="F696" t="s">
        <v>8</v>
      </c>
      <c r="G696" t="s">
        <v>315</v>
      </c>
      <c r="H696" s="24" t="s">
        <v>2498</v>
      </c>
    </row>
    <row r="697" spans="1:8" s="3" customFormat="1" x14ac:dyDescent="0.25">
      <c r="A697" t="s">
        <v>102</v>
      </c>
      <c r="B697" t="s">
        <v>103</v>
      </c>
      <c r="C697" t="s">
        <v>316</v>
      </c>
      <c r="D697" s="5" t="s">
        <v>152</v>
      </c>
      <c r="E697" s="25" t="s">
        <v>317</v>
      </c>
      <c r="F697" t="s">
        <v>104</v>
      </c>
      <c r="G697" t="s">
        <v>318</v>
      </c>
      <c r="H697" s="24" t="s">
        <v>2498</v>
      </c>
    </row>
    <row r="698" spans="1:8" s="2" customFormat="1" x14ac:dyDescent="0.25">
      <c r="A698" t="s">
        <v>102</v>
      </c>
      <c r="B698" t="s">
        <v>103</v>
      </c>
      <c r="C698" t="s">
        <v>319</v>
      </c>
      <c r="D698" s="5" t="s">
        <v>152</v>
      </c>
      <c r="E698" s="25" t="s">
        <v>320</v>
      </c>
      <c r="F698" t="s">
        <v>8</v>
      </c>
      <c r="G698" t="s">
        <v>321</v>
      </c>
      <c r="H698" s="24" t="s">
        <v>2498</v>
      </c>
    </row>
    <row r="699" spans="1:8" s="3" customFormat="1" x14ac:dyDescent="0.25">
      <c r="A699" t="s">
        <v>106</v>
      </c>
      <c r="B699" t="s">
        <v>107</v>
      </c>
      <c r="C699" t="s">
        <v>322</v>
      </c>
      <c r="D699" s="5" t="s">
        <v>152</v>
      </c>
      <c r="E699" s="25" t="s">
        <v>323</v>
      </c>
      <c r="F699" t="s">
        <v>108</v>
      </c>
      <c r="G699" t="s">
        <v>324</v>
      </c>
      <c r="H699" s="24" t="s">
        <v>2498</v>
      </c>
    </row>
    <row r="700" spans="1:8" s="2" customFormat="1" x14ac:dyDescent="0.25">
      <c r="A700" t="s">
        <v>102</v>
      </c>
      <c r="B700" t="s">
        <v>103</v>
      </c>
      <c r="C700" t="s">
        <v>325</v>
      </c>
      <c r="D700" s="5" t="s">
        <v>152</v>
      </c>
      <c r="E700" s="25" t="s">
        <v>326</v>
      </c>
      <c r="F700" t="s">
        <v>104</v>
      </c>
      <c r="G700" t="s">
        <v>327</v>
      </c>
      <c r="H700" s="24" t="s">
        <v>2498</v>
      </c>
    </row>
    <row r="701" spans="1:8" s="3" customFormat="1" x14ac:dyDescent="0.25">
      <c r="A701" t="s">
        <v>102</v>
      </c>
      <c r="B701" t="s">
        <v>103</v>
      </c>
      <c r="C701" t="s">
        <v>328</v>
      </c>
      <c r="D701" s="5" t="s">
        <v>152</v>
      </c>
      <c r="E701" s="25" t="s">
        <v>329</v>
      </c>
      <c r="F701" t="s">
        <v>8</v>
      </c>
      <c r="G701" t="s">
        <v>330</v>
      </c>
      <c r="H701" s="24" t="s">
        <v>2498</v>
      </c>
    </row>
    <row r="702" spans="1:8" s="2" customFormat="1" x14ac:dyDescent="0.25">
      <c r="A702" t="s">
        <v>102</v>
      </c>
      <c r="B702" t="s">
        <v>103</v>
      </c>
      <c r="C702" t="s">
        <v>325</v>
      </c>
      <c r="D702" s="5" t="s">
        <v>152</v>
      </c>
      <c r="E702" s="25" t="s">
        <v>331</v>
      </c>
      <c r="F702" t="s">
        <v>104</v>
      </c>
      <c r="G702" t="s">
        <v>332</v>
      </c>
      <c r="H702" s="24" t="s">
        <v>2498</v>
      </c>
    </row>
    <row r="703" spans="1:8" s="3" customFormat="1" x14ac:dyDescent="0.25">
      <c r="A703" t="s">
        <v>102</v>
      </c>
      <c r="B703" t="s">
        <v>103</v>
      </c>
      <c r="C703" t="s">
        <v>328</v>
      </c>
      <c r="D703" s="5" t="s">
        <v>152</v>
      </c>
      <c r="E703" s="25" t="s">
        <v>132</v>
      </c>
      <c r="F703" t="s">
        <v>8</v>
      </c>
      <c r="G703" t="s">
        <v>333</v>
      </c>
      <c r="H703" s="24" t="s">
        <v>2498</v>
      </c>
    </row>
    <row r="704" spans="1:8" s="2" customFormat="1" x14ac:dyDescent="0.25">
      <c r="A704" t="s">
        <v>113</v>
      </c>
      <c r="B704" t="s">
        <v>105</v>
      </c>
      <c r="C704" t="s">
        <v>334</v>
      </c>
      <c r="D704" s="5" t="s">
        <v>152</v>
      </c>
      <c r="E704" s="25" t="s">
        <v>335</v>
      </c>
      <c r="F704" t="s">
        <v>114</v>
      </c>
      <c r="G704" t="s">
        <v>336</v>
      </c>
      <c r="H704" s="24" t="s">
        <v>2498</v>
      </c>
    </row>
    <row r="705" spans="1:8" s="3" customFormat="1" x14ac:dyDescent="0.25">
      <c r="A705" t="s">
        <v>130</v>
      </c>
      <c r="B705" t="s">
        <v>131</v>
      </c>
      <c r="C705" t="s">
        <v>151</v>
      </c>
      <c r="D705" s="5" t="s">
        <v>152</v>
      </c>
      <c r="E705" s="25" t="s">
        <v>153</v>
      </c>
      <c r="F705" t="s">
        <v>119</v>
      </c>
      <c r="G705" t="s">
        <v>154</v>
      </c>
      <c r="H705" s="24" t="s">
        <v>2498</v>
      </c>
    </row>
    <row r="706" spans="1:8" s="2" customFormat="1" x14ac:dyDescent="0.25">
      <c r="A706" t="s">
        <v>116</v>
      </c>
      <c r="B706" t="s">
        <v>117</v>
      </c>
      <c r="C706" t="s">
        <v>155</v>
      </c>
      <c r="D706" s="5" t="s">
        <v>152</v>
      </c>
      <c r="E706" s="25" t="s">
        <v>156</v>
      </c>
      <c r="F706" t="s">
        <v>118</v>
      </c>
      <c r="G706" t="s">
        <v>157</v>
      </c>
      <c r="H706" s="24" t="s">
        <v>2498</v>
      </c>
    </row>
    <row r="707" spans="1:8" s="3" customFormat="1" x14ac:dyDescent="0.25">
      <c r="A707" t="s">
        <v>102</v>
      </c>
      <c r="B707" t="s">
        <v>103</v>
      </c>
      <c r="C707" t="s">
        <v>158</v>
      </c>
      <c r="D707" s="5" t="s">
        <v>152</v>
      </c>
      <c r="E707" s="25" t="s">
        <v>159</v>
      </c>
      <c r="F707" t="s">
        <v>104</v>
      </c>
      <c r="G707" t="s">
        <v>160</v>
      </c>
      <c r="H707" s="24" t="s">
        <v>2498</v>
      </c>
    </row>
    <row r="708" spans="1:8" s="2" customFormat="1" x14ac:dyDescent="0.25">
      <c r="A708" t="s">
        <v>102</v>
      </c>
      <c r="B708" t="s">
        <v>103</v>
      </c>
      <c r="C708" t="s">
        <v>161</v>
      </c>
      <c r="D708" s="5" t="s">
        <v>152</v>
      </c>
      <c r="E708" s="25" t="s">
        <v>162</v>
      </c>
      <c r="F708" t="s">
        <v>8</v>
      </c>
      <c r="G708" t="s">
        <v>163</v>
      </c>
      <c r="H708" s="24" t="s">
        <v>2498</v>
      </c>
    </row>
    <row r="709" spans="1:8" s="3" customFormat="1" x14ac:dyDescent="0.25">
      <c r="A709" t="s">
        <v>11</v>
      </c>
      <c r="B709" t="s">
        <v>12</v>
      </c>
      <c r="C709" t="s">
        <v>164</v>
      </c>
      <c r="D709" s="5" t="s">
        <v>152</v>
      </c>
      <c r="E709" s="25" t="s">
        <v>124</v>
      </c>
      <c r="F709" t="s">
        <v>8</v>
      </c>
      <c r="G709" t="s">
        <v>165</v>
      </c>
      <c r="H709" s="24" t="s">
        <v>2498</v>
      </c>
    </row>
    <row r="710" spans="1:8" s="2" customFormat="1" x14ac:dyDescent="0.25">
      <c r="A710" t="s">
        <v>14</v>
      </c>
      <c r="B710" t="s">
        <v>15</v>
      </c>
      <c r="C710" t="s">
        <v>166</v>
      </c>
      <c r="D710" s="5" t="s">
        <v>152</v>
      </c>
      <c r="E710" s="25" t="s">
        <v>167</v>
      </c>
      <c r="F710" t="s">
        <v>13</v>
      </c>
      <c r="G710" t="s">
        <v>168</v>
      </c>
      <c r="H710" s="24" t="s">
        <v>2498</v>
      </c>
    </row>
    <row r="711" spans="1:8" s="3" customFormat="1" x14ac:dyDescent="0.25">
      <c r="A711" t="s">
        <v>102</v>
      </c>
      <c r="B711" t="s">
        <v>103</v>
      </c>
      <c r="C711" t="s">
        <v>2499</v>
      </c>
      <c r="D711" s="5" t="s">
        <v>2500</v>
      </c>
      <c r="E711" s="25" t="s">
        <v>2501</v>
      </c>
      <c r="F711" t="s">
        <v>104</v>
      </c>
      <c r="G711" t="s">
        <v>2502</v>
      </c>
      <c r="H711" s="24" t="s">
        <v>2503</v>
      </c>
    </row>
    <row r="712" spans="1:8" s="2" customFormat="1" x14ac:dyDescent="0.25">
      <c r="A712" t="s">
        <v>102</v>
      </c>
      <c r="B712" t="s">
        <v>103</v>
      </c>
      <c r="C712" t="s">
        <v>2504</v>
      </c>
      <c r="D712" s="5" t="s">
        <v>2500</v>
      </c>
      <c r="E712" s="25" t="s">
        <v>2505</v>
      </c>
      <c r="F712" t="s">
        <v>8</v>
      </c>
      <c r="G712" t="s">
        <v>2506</v>
      </c>
      <c r="H712" s="24" t="s">
        <v>2503</v>
      </c>
    </row>
    <row r="713" spans="1:8" s="3" customFormat="1" x14ac:dyDescent="0.25">
      <c r="A713" t="s">
        <v>110</v>
      </c>
      <c r="B713" t="s">
        <v>111</v>
      </c>
      <c r="C713" t="s">
        <v>2507</v>
      </c>
      <c r="D713" s="5" t="s">
        <v>2500</v>
      </c>
      <c r="E713" s="25" t="s">
        <v>2508</v>
      </c>
      <c r="F713" t="s">
        <v>112</v>
      </c>
      <c r="G713" t="s">
        <v>2509</v>
      </c>
      <c r="H713" s="24" t="s">
        <v>2503</v>
      </c>
    </row>
    <row r="714" spans="1:8" s="2" customFormat="1" x14ac:dyDescent="0.25">
      <c r="A714" t="s">
        <v>110</v>
      </c>
      <c r="B714" t="s">
        <v>115</v>
      </c>
      <c r="C714" t="s">
        <v>2510</v>
      </c>
      <c r="D714" s="5" t="s">
        <v>2500</v>
      </c>
      <c r="E714" s="25" t="s">
        <v>2511</v>
      </c>
      <c r="F714" t="s">
        <v>112</v>
      </c>
      <c r="G714" t="s">
        <v>2512</v>
      </c>
      <c r="H714" s="24" t="s">
        <v>2503</v>
      </c>
    </row>
    <row r="715" spans="1:8" s="3" customFormat="1" x14ac:dyDescent="0.25">
      <c r="A715" t="s">
        <v>11</v>
      </c>
      <c r="B715" t="s">
        <v>12</v>
      </c>
      <c r="C715" t="s">
        <v>2513</v>
      </c>
      <c r="D715" s="5" t="s">
        <v>2500</v>
      </c>
      <c r="E715" s="25" t="s">
        <v>2514</v>
      </c>
      <c r="F715" t="s">
        <v>104</v>
      </c>
      <c r="G715" t="s">
        <v>2515</v>
      </c>
      <c r="H715" s="24" t="s">
        <v>2503</v>
      </c>
    </row>
    <row r="716" spans="1:8" s="2" customFormat="1" x14ac:dyDescent="0.25">
      <c r="A716" t="s">
        <v>102</v>
      </c>
      <c r="B716" t="s">
        <v>103</v>
      </c>
      <c r="C716" t="s">
        <v>2516</v>
      </c>
      <c r="D716" s="5" t="s">
        <v>2500</v>
      </c>
      <c r="E716" s="25" t="s">
        <v>2517</v>
      </c>
      <c r="F716" t="s">
        <v>104</v>
      </c>
      <c r="G716" t="s">
        <v>2518</v>
      </c>
      <c r="H716" s="24" t="s">
        <v>2503</v>
      </c>
    </row>
    <row r="717" spans="1:8" s="3" customFormat="1" x14ac:dyDescent="0.25">
      <c r="A717" t="s">
        <v>102</v>
      </c>
      <c r="B717" t="s">
        <v>103</v>
      </c>
      <c r="C717" t="s">
        <v>2519</v>
      </c>
      <c r="D717" s="5" t="s">
        <v>2500</v>
      </c>
      <c r="E717" s="25" t="s">
        <v>2520</v>
      </c>
      <c r="F717" t="s">
        <v>8</v>
      </c>
      <c r="G717" t="s">
        <v>2521</v>
      </c>
      <c r="H717" s="24" t="s">
        <v>2503</v>
      </c>
    </row>
    <row r="718" spans="1:8" s="2" customFormat="1" x14ac:dyDescent="0.25">
      <c r="A718" t="s">
        <v>116</v>
      </c>
      <c r="B718" t="s">
        <v>117</v>
      </c>
      <c r="C718" t="s">
        <v>2522</v>
      </c>
      <c r="D718" s="5" t="s">
        <v>2500</v>
      </c>
      <c r="E718" s="25" t="s">
        <v>2523</v>
      </c>
      <c r="F718" t="s">
        <v>118</v>
      </c>
      <c r="G718" t="s">
        <v>2524</v>
      </c>
      <c r="H718" s="24" t="s">
        <v>2503</v>
      </c>
    </row>
    <row r="719" spans="1:8" s="3" customFormat="1" x14ac:dyDescent="0.25">
      <c r="A719" t="s">
        <v>102</v>
      </c>
      <c r="B719" t="s">
        <v>103</v>
      </c>
      <c r="C719" t="s">
        <v>2525</v>
      </c>
      <c r="D719" s="5" t="s">
        <v>2500</v>
      </c>
      <c r="E719" s="25" t="s">
        <v>2526</v>
      </c>
      <c r="F719" t="s">
        <v>104</v>
      </c>
      <c r="G719" t="s">
        <v>2527</v>
      </c>
      <c r="H719" s="24" t="s">
        <v>2503</v>
      </c>
    </row>
    <row r="720" spans="1:8" s="2" customFormat="1" x14ac:dyDescent="0.25">
      <c r="A720" t="s">
        <v>102</v>
      </c>
      <c r="B720" t="s">
        <v>103</v>
      </c>
      <c r="C720" t="s">
        <v>2528</v>
      </c>
      <c r="D720" s="5" t="s">
        <v>2500</v>
      </c>
      <c r="E720" s="25" t="s">
        <v>2529</v>
      </c>
      <c r="F720" t="s">
        <v>8</v>
      </c>
      <c r="G720" t="s">
        <v>2530</v>
      </c>
      <c r="H720" s="24" t="s">
        <v>2503</v>
      </c>
    </row>
    <row r="721" spans="1:8" s="3" customFormat="1" x14ac:dyDescent="0.25">
      <c r="A721" t="s">
        <v>116</v>
      </c>
      <c r="B721" t="s">
        <v>2531</v>
      </c>
      <c r="C721" t="s">
        <v>2532</v>
      </c>
      <c r="D721" s="5" t="s">
        <v>2500</v>
      </c>
      <c r="E721" s="25" t="s">
        <v>2533</v>
      </c>
      <c r="F721" t="s">
        <v>118</v>
      </c>
      <c r="G721" t="s">
        <v>2534</v>
      </c>
      <c r="H721" s="24" t="s">
        <v>2503</v>
      </c>
    </row>
    <row r="722" spans="1:8" s="2" customFormat="1" x14ac:dyDescent="0.25">
      <c r="A722" t="s">
        <v>116</v>
      </c>
      <c r="B722" t="s">
        <v>117</v>
      </c>
      <c r="C722" t="s">
        <v>2535</v>
      </c>
      <c r="D722" s="5" t="s">
        <v>2500</v>
      </c>
      <c r="E722" s="25" t="s">
        <v>2536</v>
      </c>
      <c r="F722" t="s">
        <v>118</v>
      </c>
      <c r="G722" t="s">
        <v>2537</v>
      </c>
      <c r="H722" s="24" t="s">
        <v>2503</v>
      </c>
    </row>
    <row r="723" spans="1:8" s="3" customFormat="1" x14ac:dyDescent="0.25">
      <c r="A723" t="s">
        <v>102</v>
      </c>
      <c r="B723" t="s">
        <v>103</v>
      </c>
      <c r="C723" t="s">
        <v>2538</v>
      </c>
      <c r="D723" s="5" t="s">
        <v>2500</v>
      </c>
      <c r="E723" s="25" t="s">
        <v>2539</v>
      </c>
      <c r="F723" t="s">
        <v>104</v>
      </c>
      <c r="G723" t="s">
        <v>2540</v>
      </c>
      <c r="H723" s="24" t="s">
        <v>2503</v>
      </c>
    </row>
    <row r="724" spans="1:8" s="2" customFormat="1" x14ac:dyDescent="0.25">
      <c r="A724" t="s">
        <v>102</v>
      </c>
      <c r="B724" t="s">
        <v>103</v>
      </c>
      <c r="C724" t="s">
        <v>2541</v>
      </c>
      <c r="D724" s="5" t="s">
        <v>2500</v>
      </c>
      <c r="E724" s="25" t="s">
        <v>2542</v>
      </c>
      <c r="F724" t="s">
        <v>8</v>
      </c>
      <c r="G724" t="s">
        <v>2543</v>
      </c>
      <c r="H724" s="24" t="s">
        <v>2503</v>
      </c>
    </row>
    <row r="725" spans="1:8" s="3" customFormat="1" x14ac:dyDescent="0.25">
      <c r="A725" t="s">
        <v>1847</v>
      </c>
      <c r="B725" t="s">
        <v>128</v>
      </c>
      <c r="C725" t="s">
        <v>2544</v>
      </c>
      <c r="D725" s="5" t="s">
        <v>2500</v>
      </c>
      <c r="E725" s="25" t="s">
        <v>2545</v>
      </c>
      <c r="F725" t="s">
        <v>1728</v>
      </c>
      <c r="G725" t="s">
        <v>2546</v>
      </c>
      <c r="H725" s="24" t="s">
        <v>2503</v>
      </c>
    </row>
    <row r="726" spans="1:8" s="2" customFormat="1" x14ac:dyDescent="0.25">
      <c r="A726" t="s">
        <v>102</v>
      </c>
      <c r="B726" t="s">
        <v>103</v>
      </c>
      <c r="C726" t="s">
        <v>2547</v>
      </c>
      <c r="D726" s="5" t="s">
        <v>2500</v>
      </c>
      <c r="E726" s="25" t="s">
        <v>977</v>
      </c>
      <c r="F726" t="s">
        <v>104</v>
      </c>
      <c r="G726" t="s">
        <v>2548</v>
      </c>
      <c r="H726" s="24" t="s">
        <v>2503</v>
      </c>
    </row>
    <row r="727" spans="1:8" s="3" customFormat="1" x14ac:dyDescent="0.25">
      <c r="A727" t="s">
        <v>102</v>
      </c>
      <c r="B727" t="s">
        <v>103</v>
      </c>
      <c r="C727" t="s">
        <v>2549</v>
      </c>
      <c r="D727" s="5" t="s">
        <v>2500</v>
      </c>
      <c r="E727" s="25" t="s">
        <v>2550</v>
      </c>
      <c r="F727" t="s">
        <v>8</v>
      </c>
      <c r="G727" t="s">
        <v>2551</v>
      </c>
      <c r="H727" s="24" t="s">
        <v>2503</v>
      </c>
    </row>
    <row r="728" spans="1:8" s="2" customFormat="1" x14ac:dyDescent="0.25">
      <c r="A728" t="s">
        <v>116</v>
      </c>
      <c r="B728" t="s">
        <v>117</v>
      </c>
      <c r="C728" t="s">
        <v>2552</v>
      </c>
      <c r="D728" s="5" t="s">
        <v>2500</v>
      </c>
      <c r="E728" s="25" t="s">
        <v>2553</v>
      </c>
      <c r="F728" t="s">
        <v>118</v>
      </c>
      <c r="G728" t="s">
        <v>2554</v>
      </c>
      <c r="H728" s="24" t="s">
        <v>2503</v>
      </c>
    </row>
    <row r="729" spans="1:8" s="3" customFormat="1" x14ac:dyDescent="0.25">
      <c r="A729" t="s">
        <v>102</v>
      </c>
      <c r="B729" t="s">
        <v>103</v>
      </c>
      <c r="C729" t="s">
        <v>2555</v>
      </c>
      <c r="D729" s="5" t="s">
        <v>2500</v>
      </c>
      <c r="E729" s="25" t="s">
        <v>2556</v>
      </c>
      <c r="F729" t="s">
        <v>104</v>
      </c>
      <c r="G729" t="s">
        <v>2557</v>
      </c>
      <c r="H729" s="24" t="s">
        <v>2503</v>
      </c>
    </row>
    <row r="730" spans="1:8" s="2" customFormat="1" x14ac:dyDescent="0.25">
      <c r="A730" t="s">
        <v>102</v>
      </c>
      <c r="B730" t="s">
        <v>103</v>
      </c>
      <c r="C730" t="s">
        <v>2558</v>
      </c>
      <c r="D730" s="5" t="s">
        <v>2500</v>
      </c>
      <c r="E730" s="25" t="s">
        <v>2559</v>
      </c>
      <c r="F730" t="s">
        <v>8</v>
      </c>
      <c r="G730" t="s">
        <v>2560</v>
      </c>
      <c r="H730" s="24" t="s">
        <v>2503</v>
      </c>
    </row>
    <row r="731" spans="1:8" s="3" customFormat="1" x14ac:dyDescent="0.25">
      <c r="A731" t="s">
        <v>749</v>
      </c>
      <c r="B731" t="s">
        <v>107</v>
      </c>
      <c r="C731" t="s">
        <v>2561</v>
      </c>
      <c r="D731" s="5" t="s">
        <v>2500</v>
      </c>
      <c r="E731" s="25" t="s">
        <v>2562</v>
      </c>
      <c r="F731" t="s">
        <v>752</v>
      </c>
      <c r="G731" t="s">
        <v>2563</v>
      </c>
      <c r="H731" s="24" t="s">
        <v>2503</v>
      </c>
    </row>
    <row r="732" spans="1:8" s="2" customFormat="1" x14ac:dyDescent="0.25">
      <c r="A732" t="s">
        <v>102</v>
      </c>
      <c r="B732" t="s">
        <v>103</v>
      </c>
      <c r="C732" t="s">
        <v>2564</v>
      </c>
      <c r="D732" s="5" t="s">
        <v>2500</v>
      </c>
      <c r="E732" s="25" t="s">
        <v>2565</v>
      </c>
      <c r="F732" t="s">
        <v>104</v>
      </c>
      <c r="G732" t="s">
        <v>2566</v>
      </c>
      <c r="H732" s="24" t="s">
        <v>2503</v>
      </c>
    </row>
    <row r="733" spans="1:8" s="3" customFormat="1" x14ac:dyDescent="0.25">
      <c r="A733" t="s">
        <v>102</v>
      </c>
      <c r="B733" t="s">
        <v>103</v>
      </c>
      <c r="C733" t="s">
        <v>2567</v>
      </c>
      <c r="D733" s="5" t="s">
        <v>2500</v>
      </c>
      <c r="E733" s="25" t="s">
        <v>2568</v>
      </c>
      <c r="F733" t="s">
        <v>8</v>
      </c>
      <c r="G733" t="s">
        <v>2569</v>
      </c>
      <c r="H733" s="24" t="s">
        <v>2503</v>
      </c>
    </row>
    <row r="734" spans="1:8" s="2" customFormat="1" x14ac:dyDescent="0.25">
      <c r="A734" t="s">
        <v>749</v>
      </c>
      <c r="B734" t="s">
        <v>128</v>
      </c>
      <c r="C734" t="s">
        <v>2570</v>
      </c>
      <c r="D734" s="5" t="s">
        <v>2500</v>
      </c>
      <c r="E734" s="25" t="s">
        <v>2571</v>
      </c>
      <c r="F734" t="s">
        <v>752</v>
      </c>
      <c r="G734" t="s">
        <v>2572</v>
      </c>
      <c r="H734" s="24" t="s">
        <v>2503</v>
      </c>
    </row>
    <row r="735" spans="1:8" s="3" customFormat="1" x14ac:dyDescent="0.25">
      <c r="A735" t="s">
        <v>749</v>
      </c>
      <c r="B735" t="s">
        <v>410</v>
      </c>
      <c r="C735" t="s">
        <v>2573</v>
      </c>
      <c r="D735" s="5" t="s">
        <v>2500</v>
      </c>
      <c r="E735" s="25" t="s">
        <v>2574</v>
      </c>
      <c r="F735" t="s">
        <v>752</v>
      </c>
      <c r="G735" t="s">
        <v>2575</v>
      </c>
      <c r="H735" s="24" t="s">
        <v>2503</v>
      </c>
    </row>
    <row r="736" spans="1:8" s="2" customFormat="1" x14ac:dyDescent="0.25">
      <c r="A736" t="s">
        <v>102</v>
      </c>
      <c r="B736" t="s">
        <v>103</v>
      </c>
      <c r="C736" t="s">
        <v>2564</v>
      </c>
      <c r="D736" s="5" t="s">
        <v>2500</v>
      </c>
      <c r="E736" s="25" t="s">
        <v>2576</v>
      </c>
      <c r="F736" t="s">
        <v>104</v>
      </c>
      <c r="G736" t="s">
        <v>2577</v>
      </c>
      <c r="H736" s="24" t="s">
        <v>2503</v>
      </c>
    </row>
    <row r="737" spans="1:8" s="3" customFormat="1" x14ac:dyDescent="0.25">
      <c r="A737" t="s">
        <v>102</v>
      </c>
      <c r="B737" t="s">
        <v>103</v>
      </c>
      <c r="C737" t="s">
        <v>2567</v>
      </c>
      <c r="D737" s="5" t="s">
        <v>2500</v>
      </c>
      <c r="E737" s="25" t="s">
        <v>2578</v>
      </c>
      <c r="F737" t="s">
        <v>8</v>
      </c>
      <c r="G737" t="s">
        <v>2579</v>
      </c>
      <c r="H737" s="24" t="s">
        <v>2503</v>
      </c>
    </row>
    <row r="738" spans="1:8" s="2" customFormat="1" x14ac:dyDescent="0.25">
      <c r="A738" t="s">
        <v>749</v>
      </c>
      <c r="B738" t="s">
        <v>2531</v>
      </c>
      <c r="C738" t="s">
        <v>2580</v>
      </c>
      <c r="D738" s="5" t="s">
        <v>2500</v>
      </c>
      <c r="E738" s="25" t="s">
        <v>627</v>
      </c>
      <c r="F738" t="s">
        <v>752</v>
      </c>
      <c r="G738" t="s">
        <v>2581</v>
      </c>
      <c r="H738" s="24" t="s">
        <v>2503</v>
      </c>
    </row>
    <row r="739" spans="1:8" s="3" customFormat="1" x14ac:dyDescent="0.25">
      <c r="A739" t="s">
        <v>2582</v>
      </c>
      <c r="B739" t="s">
        <v>2583</v>
      </c>
      <c r="C739" t="s">
        <v>2584</v>
      </c>
      <c r="D739" s="5" t="s">
        <v>2500</v>
      </c>
      <c r="E739" s="25" t="s">
        <v>2585</v>
      </c>
      <c r="F739" t="s">
        <v>126</v>
      </c>
      <c r="G739" t="s">
        <v>2586</v>
      </c>
      <c r="H739" s="24" t="s">
        <v>2503</v>
      </c>
    </row>
    <row r="740" spans="1:8" s="2" customFormat="1" x14ac:dyDescent="0.25">
      <c r="A740" t="s">
        <v>2582</v>
      </c>
      <c r="B740" t="s">
        <v>2587</v>
      </c>
      <c r="C740" t="s">
        <v>2588</v>
      </c>
      <c r="D740" s="5" t="s">
        <v>2500</v>
      </c>
      <c r="E740" s="25" t="s">
        <v>2589</v>
      </c>
      <c r="F740" t="s">
        <v>126</v>
      </c>
      <c r="G740" t="s">
        <v>2590</v>
      </c>
      <c r="H740" s="24" t="s">
        <v>2503</v>
      </c>
    </row>
    <row r="741" spans="1:8" s="3" customFormat="1" x14ac:dyDescent="0.25">
      <c r="A741" t="s">
        <v>2582</v>
      </c>
      <c r="B741" t="s">
        <v>2591</v>
      </c>
      <c r="C741" t="s">
        <v>2592</v>
      </c>
      <c r="D741" s="5" t="s">
        <v>2500</v>
      </c>
      <c r="E741" s="25" t="s">
        <v>2593</v>
      </c>
      <c r="F741" t="s">
        <v>126</v>
      </c>
      <c r="G741" t="s">
        <v>2594</v>
      </c>
      <c r="H741" s="24" t="s">
        <v>2503</v>
      </c>
    </row>
    <row r="742" spans="1:8" s="2" customFormat="1" x14ac:dyDescent="0.25">
      <c r="A742" t="s">
        <v>1671</v>
      </c>
      <c r="B742" t="s">
        <v>107</v>
      </c>
      <c r="C742" t="s">
        <v>2595</v>
      </c>
      <c r="D742" s="5" t="s">
        <v>2500</v>
      </c>
      <c r="E742" s="25" t="s">
        <v>2596</v>
      </c>
      <c r="F742" t="s">
        <v>1343</v>
      </c>
      <c r="G742" t="s">
        <v>2597</v>
      </c>
      <c r="H742" s="24" t="s">
        <v>2503</v>
      </c>
    </row>
    <row r="743" spans="1:8" s="3" customFormat="1" x14ac:dyDescent="0.25">
      <c r="A743" t="s">
        <v>1779</v>
      </c>
      <c r="B743" t="s">
        <v>105</v>
      </c>
      <c r="C743" t="s">
        <v>2598</v>
      </c>
      <c r="D743" s="5" t="s">
        <v>2500</v>
      </c>
      <c r="E743" s="25" t="s">
        <v>2599</v>
      </c>
      <c r="F743" t="s">
        <v>112</v>
      </c>
      <c r="G743" t="s">
        <v>2600</v>
      </c>
      <c r="H743" s="24" t="s">
        <v>2503</v>
      </c>
    </row>
    <row r="744" spans="1:8" s="2" customFormat="1" x14ac:dyDescent="0.25">
      <c r="A744" t="s">
        <v>2601</v>
      </c>
      <c r="B744" t="s">
        <v>105</v>
      </c>
      <c r="C744" t="s">
        <v>2602</v>
      </c>
      <c r="D744" s="5" t="s">
        <v>2500</v>
      </c>
      <c r="E744" s="25" t="s">
        <v>2603</v>
      </c>
      <c r="F744" t="s">
        <v>126</v>
      </c>
      <c r="G744" t="s">
        <v>2604</v>
      </c>
      <c r="H744" s="24" t="s">
        <v>2503</v>
      </c>
    </row>
    <row r="745" spans="1:8" s="3" customFormat="1" x14ac:dyDescent="0.25">
      <c r="A745" t="s">
        <v>2582</v>
      </c>
      <c r="B745" t="s">
        <v>105</v>
      </c>
      <c r="C745" t="s">
        <v>2602</v>
      </c>
      <c r="D745" s="5" t="s">
        <v>2500</v>
      </c>
      <c r="E745" s="25" t="s">
        <v>2605</v>
      </c>
      <c r="F745" t="s">
        <v>126</v>
      </c>
      <c r="G745" t="s">
        <v>2606</v>
      </c>
      <c r="H745" s="24" t="s">
        <v>2503</v>
      </c>
    </row>
    <row r="746" spans="1:8" s="2" customFormat="1" x14ac:dyDescent="0.25">
      <c r="A746" t="s">
        <v>125</v>
      </c>
      <c r="B746" t="s">
        <v>105</v>
      </c>
      <c r="C746" t="s">
        <v>2602</v>
      </c>
      <c r="D746" s="5" t="s">
        <v>2500</v>
      </c>
      <c r="E746" s="25" t="s">
        <v>2607</v>
      </c>
      <c r="F746" t="s">
        <v>126</v>
      </c>
      <c r="G746" t="s">
        <v>2608</v>
      </c>
      <c r="H746" s="24" t="s">
        <v>2503</v>
      </c>
    </row>
    <row r="747" spans="1:8" s="3" customFormat="1" x14ac:dyDescent="0.25">
      <c r="A747" t="s">
        <v>2601</v>
      </c>
      <c r="B747" t="s">
        <v>105</v>
      </c>
      <c r="C747" t="s">
        <v>2609</v>
      </c>
      <c r="D747" s="5" t="s">
        <v>2500</v>
      </c>
      <c r="E747" s="25" t="s">
        <v>2610</v>
      </c>
      <c r="F747" t="s">
        <v>127</v>
      </c>
      <c r="G747" t="s">
        <v>2611</v>
      </c>
      <c r="H747" s="24" t="s">
        <v>2503</v>
      </c>
    </row>
    <row r="748" spans="1:8" s="2" customFormat="1" x14ac:dyDescent="0.25">
      <c r="A748" t="s">
        <v>2612</v>
      </c>
      <c r="B748" t="s">
        <v>105</v>
      </c>
      <c r="C748" t="s">
        <v>2609</v>
      </c>
      <c r="D748" s="5" t="s">
        <v>2500</v>
      </c>
      <c r="E748" s="25" t="s">
        <v>2613</v>
      </c>
      <c r="F748" t="s">
        <v>1862</v>
      </c>
      <c r="G748" t="s">
        <v>2614</v>
      </c>
      <c r="H748" s="24" t="s">
        <v>2503</v>
      </c>
    </row>
    <row r="749" spans="1:8" s="3" customFormat="1" x14ac:dyDescent="0.25">
      <c r="A749" t="s">
        <v>102</v>
      </c>
      <c r="B749" t="s">
        <v>103</v>
      </c>
      <c r="C749" t="s">
        <v>2615</v>
      </c>
      <c r="D749" s="5" t="s">
        <v>2500</v>
      </c>
      <c r="E749" s="25" t="s">
        <v>2616</v>
      </c>
      <c r="F749" t="s">
        <v>104</v>
      </c>
      <c r="G749" t="s">
        <v>2617</v>
      </c>
      <c r="H749" s="24" t="s">
        <v>2503</v>
      </c>
    </row>
    <row r="750" spans="1:8" s="2" customFormat="1" x14ac:dyDescent="0.25">
      <c r="A750" t="s">
        <v>102</v>
      </c>
      <c r="B750" t="s">
        <v>103</v>
      </c>
      <c r="C750" t="s">
        <v>2618</v>
      </c>
      <c r="D750" s="5" t="s">
        <v>2500</v>
      </c>
      <c r="E750" s="25" t="s">
        <v>2619</v>
      </c>
      <c r="F750" t="s">
        <v>8</v>
      </c>
      <c r="G750" t="s">
        <v>2620</v>
      </c>
      <c r="H750" s="24" t="s">
        <v>2503</v>
      </c>
    </row>
    <row r="751" spans="1:8" s="3" customFormat="1" x14ac:dyDescent="0.25">
      <c r="A751" t="s">
        <v>2582</v>
      </c>
      <c r="B751" t="s">
        <v>105</v>
      </c>
      <c r="C751" t="s">
        <v>2621</v>
      </c>
      <c r="D751" s="5" t="s">
        <v>2500</v>
      </c>
      <c r="E751" s="25" t="s">
        <v>2622</v>
      </c>
      <c r="F751" t="s">
        <v>127</v>
      </c>
      <c r="G751" t="s">
        <v>2623</v>
      </c>
      <c r="H751" s="24" t="s">
        <v>2503</v>
      </c>
    </row>
    <row r="752" spans="1:8" s="2" customFormat="1" x14ac:dyDescent="0.25">
      <c r="A752" t="s">
        <v>2624</v>
      </c>
      <c r="B752" t="s">
        <v>105</v>
      </c>
      <c r="C752" t="s">
        <v>2621</v>
      </c>
      <c r="D752" s="5" t="s">
        <v>2500</v>
      </c>
      <c r="E752" s="25" t="s">
        <v>2625</v>
      </c>
      <c r="F752" t="s">
        <v>13</v>
      </c>
      <c r="G752" t="s">
        <v>2626</v>
      </c>
      <c r="H752" s="24" t="s">
        <v>2503</v>
      </c>
    </row>
    <row r="753" spans="1:8" s="3" customFormat="1" x14ac:dyDescent="0.25">
      <c r="A753" t="s">
        <v>125</v>
      </c>
      <c r="B753" t="s">
        <v>105</v>
      </c>
      <c r="C753" t="s">
        <v>2621</v>
      </c>
      <c r="D753" s="5" t="s">
        <v>2500</v>
      </c>
      <c r="E753" s="25" t="s">
        <v>2627</v>
      </c>
      <c r="F753" t="s">
        <v>127</v>
      </c>
      <c r="G753" t="s">
        <v>2628</v>
      </c>
      <c r="H753" s="24" t="s">
        <v>2503</v>
      </c>
    </row>
    <row r="754" spans="1:8" s="2" customFormat="1" x14ac:dyDescent="0.25">
      <c r="A754" t="s">
        <v>1779</v>
      </c>
      <c r="B754" t="s">
        <v>105</v>
      </c>
      <c r="C754" t="s">
        <v>2621</v>
      </c>
      <c r="D754" s="5" t="s">
        <v>2500</v>
      </c>
      <c r="E754" s="25" t="s">
        <v>2629</v>
      </c>
      <c r="F754" t="s">
        <v>112</v>
      </c>
      <c r="G754" t="s">
        <v>2630</v>
      </c>
      <c r="H754" s="24" t="s">
        <v>2503</v>
      </c>
    </row>
    <row r="755" spans="1:8" s="3" customFormat="1" x14ac:dyDescent="0.25">
      <c r="A755" t="s">
        <v>1617</v>
      </c>
      <c r="B755" t="s">
        <v>105</v>
      </c>
      <c r="C755" t="s">
        <v>2621</v>
      </c>
      <c r="D755" s="5" t="s">
        <v>2500</v>
      </c>
      <c r="E755" s="25" t="s">
        <v>2631</v>
      </c>
      <c r="F755" t="s">
        <v>1621</v>
      </c>
      <c r="G755" t="s">
        <v>2632</v>
      </c>
      <c r="H755" s="24" t="s">
        <v>2503</v>
      </c>
    </row>
    <row r="756" spans="1:8" s="2" customFormat="1" x14ac:dyDescent="0.25">
      <c r="A756" t="s">
        <v>1752</v>
      </c>
      <c r="B756" t="s">
        <v>107</v>
      </c>
      <c r="C756" t="s">
        <v>2621</v>
      </c>
      <c r="D756" s="5" t="s">
        <v>2500</v>
      </c>
      <c r="E756" s="25" t="s">
        <v>2633</v>
      </c>
      <c r="F756" t="s">
        <v>13</v>
      </c>
      <c r="G756" t="s">
        <v>2634</v>
      </c>
      <c r="H756" s="24" t="s">
        <v>2503</v>
      </c>
    </row>
    <row r="757" spans="1:8" s="3" customFormat="1" x14ac:dyDescent="0.25">
      <c r="A757" t="s">
        <v>1345</v>
      </c>
      <c r="B757" t="s">
        <v>107</v>
      </c>
      <c r="C757" t="s">
        <v>2635</v>
      </c>
      <c r="D757" s="5" t="s">
        <v>2500</v>
      </c>
      <c r="E757" s="25" t="s">
        <v>2636</v>
      </c>
      <c r="F757" t="s">
        <v>1348</v>
      </c>
      <c r="G757" t="s">
        <v>2637</v>
      </c>
      <c r="H757" s="24" t="s">
        <v>2503</v>
      </c>
    </row>
    <row r="758" spans="1:8" s="2" customFormat="1" x14ac:dyDescent="0.25">
      <c r="A758" t="s">
        <v>116</v>
      </c>
      <c r="B758" t="s">
        <v>107</v>
      </c>
      <c r="C758" t="s">
        <v>2621</v>
      </c>
      <c r="D758" s="5" t="s">
        <v>2500</v>
      </c>
      <c r="E758" s="25" t="s">
        <v>2633</v>
      </c>
      <c r="F758" t="s">
        <v>118</v>
      </c>
      <c r="G758" t="s">
        <v>2638</v>
      </c>
      <c r="H758" s="24" t="s">
        <v>2503</v>
      </c>
    </row>
    <row r="759" spans="1:8" s="3" customFormat="1" x14ac:dyDescent="0.25">
      <c r="A759" t="s">
        <v>643</v>
      </c>
      <c r="B759" t="s">
        <v>107</v>
      </c>
      <c r="C759" t="s">
        <v>2639</v>
      </c>
      <c r="D759" s="5" t="s">
        <v>2500</v>
      </c>
      <c r="E759" s="25" t="s">
        <v>2640</v>
      </c>
      <c r="F759" t="s">
        <v>108</v>
      </c>
      <c r="G759" t="s">
        <v>2641</v>
      </c>
      <c r="H759" s="24" t="s">
        <v>2503</v>
      </c>
    </row>
    <row r="760" spans="1:8" s="2" customFormat="1" x14ac:dyDescent="0.25">
      <c r="A760" t="s">
        <v>634</v>
      </c>
      <c r="B760" t="s">
        <v>105</v>
      </c>
      <c r="C760" t="s">
        <v>2621</v>
      </c>
      <c r="D760" s="5" t="s">
        <v>2500</v>
      </c>
      <c r="E760" s="25" t="s">
        <v>2642</v>
      </c>
      <c r="F760" t="s">
        <v>638</v>
      </c>
      <c r="G760" t="s">
        <v>2643</v>
      </c>
      <c r="H760" s="24" t="s">
        <v>2503</v>
      </c>
    </row>
    <row r="761" spans="1:8" s="3" customFormat="1" x14ac:dyDescent="0.25">
      <c r="A761" t="s">
        <v>2644</v>
      </c>
      <c r="B761" t="s">
        <v>107</v>
      </c>
      <c r="C761" t="s">
        <v>2645</v>
      </c>
      <c r="D761" s="5" t="s">
        <v>2500</v>
      </c>
      <c r="E761" s="25" t="s">
        <v>2646</v>
      </c>
      <c r="F761" t="s">
        <v>1824</v>
      </c>
      <c r="G761" t="s">
        <v>2647</v>
      </c>
      <c r="H761" s="24" t="s">
        <v>2503</v>
      </c>
    </row>
    <row r="762" spans="1:8" s="2" customFormat="1" x14ac:dyDescent="0.25">
      <c r="A762" t="s">
        <v>1847</v>
      </c>
      <c r="B762" t="s">
        <v>107</v>
      </c>
      <c r="C762" t="s">
        <v>2648</v>
      </c>
      <c r="D762" s="5" t="s">
        <v>2500</v>
      </c>
      <c r="E762" s="25" t="s">
        <v>2649</v>
      </c>
      <c r="F762" t="s">
        <v>1728</v>
      </c>
      <c r="G762" t="s">
        <v>2650</v>
      </c>
      <c r="H762" s="24" t="s">
        <v>2503</v>
      </c>
    </row>
    <row r="763" spans="1:8" s="3" customFormat="1" x14ac:dyDescent="0.25">
      <c r="A763" t="s">
        <v>1914</v>
      </c>
      <c r="B763" t="s">
        <v>105</v>
      </c>
      <c r="C763" t="s">
        <v>2621</v>
      </c>
      <c r="D763" s="5" t="s">
        <v>2500</v>
      </c>
      <c r="E763" s="25" t="s">
        <v>2651</v>
      </c>
      <c r="F763" t="s">
        <v>1916</v>
      </c>
      <c r="G763" t="s">
        <v>2652</v>
      </c>
      <c r="H763" s="24" t="s">
        <v>2503</v>
      </c>
    </row>
    <row r="764" spans="1:8" s="2" customFormat="1" x14ac:dyDescent="0.25">
      <c r="A764" t="s">
        <v>1902</v>
      </c>
      <c r="B764" t="s">
        <v>107</v>
      </c>
      <c r="C764" t="s">
        <v>2621</v>
      </c>
      <c r="D764" s="5" t="s">
        <v>2500</v>
      </c>
      <c r="E764" s="25" t="s">
        <v>2653</v>
      </c>
      <c r="F764" t="s">
        <v>1903</v>
      </c>
      <c r="G764" t="s">
        <v>2654</v>
      </c>
      <c r="H764" s="24" t="s">
        <v>2503</v>
      </c>
    </row>
    <row r="765" spans="1:8" s="3" customFormat="1" x14ac:dyDescent="0.25">
      <c r="A765" t="s">
        <v>1298</v>
      </c>
      <c r="B765" t="s">
        <v>107</v>
      </c>
      <c r="C765" t="s">
        <v>2655</v>
      </c>
      <c r="D765" s="5" t="s">
        <v>2500</v>
      </c>
      <c r="E765" s="25" t="s">
        <v>2656</v>
      </c>
      <c r="F765" t="s">
        <v>1301</v>
      </c>
      <c r="G765" t="s">
        <v>2657</v>
      </c>
      <c r="H765" s="24" t="s">
        <v>2503</v>
      </c>
    </row>
    <row r="766" spans="1:8" s="2" customFormat="1" x14ac:dyDescent="0.25">
      <c r="A766" t="s">
        <v>1898</v>
      </c>
      <c r="B766" t="s">
        <v>107</v>
      </c>
      <c r="C766" t="s">
        <v>2621</v>
      </c>
      <c r="D766" s="5" t="s">
        <v>2500</v>
      </c>
      <c r="E766" s="25" t="s">
        <v>2658</v>
      </c>
      <c r="F766" t="s">
        <v>1900</v>
      </c>
      <c r="G766" t="s">
        <v>2659</v>
      </c>
      <c r="H766" s="24" t="s">
        <v>2503</v>
      </c>
    </row>
    <row r="767" spans="1:8" s="3" customFormat="1" x14ac:dyDescent="0.25">
      <c r="A767" t="s">
        <v>113</v>
      </c>
      <c r="B767" t="s">
        <v>105</v>
      </c>
      <c r="C767" t="s">
        <v>2621</v>
      </c>
      <c r="D767" s="5" t="s">
        <v>2500</v>
      </c>
      <c r="E767" s="25" t="s">
        <v>2660</v>
      </c>
      <c r="F767" t="s">
        <v>114</v>
      </c>
      <c r="G767" t="s">
        <v>2661</v>
      </c>
      <c r="H767" s="24" t="s">
        <v>2503</v>
      </c>
    </row>
    <row r="768" spans="1:8" s="2" customFormat="1" x14ac:dyDescent="0.25">
      <c r="A768" t="s">
        <v>1374</v>
      </c>
      <c r="B768" t="s">
        <v>105</v>
      </c>
      <c r="C768" t="s">
        <v>2621</v>
      </c>
      <c r="D768" s="5" t="s">
        <v>2500</v>
      </c>
      <c r="E768" s="25" t="s">
        <v>2662</v>
      </c>
      <c r="F768" t="s">
        <v>1376</v>
      </c>
      <c r="G768" t="s">
        <v>2663</v>
      </c>
      <c r="H768" s="24" t="s">
        <v>2503</v>
      </c>
    </row>
    <row r="769" spans="1:8" s="3" customFormat="1" x14ac:dyDescent="0.25">
      <c r="A769" t="s">
        <v>931</v>
      </c>
      <c r="B769" t="s">
        <v>107</v>
      </c>
      <c r="C769" t="s">
        <v>2645</v>
      </c>
      <c r="D769" s="5" t="s">
        <v>2500</v>
      </c>
      <c r="E769" s="25" t="s">
        <v>2664</v>
      </c>
      <c r="F769" t="s">
        <v>934</v>
      </c>
      <c r="G769" t="s">
        <v>2665</v>
      </c>
      <c r="H769" s="24" t="s">
        <v>2503</v>
      </c>
    </row>
    <row r="770" spans="1:8" s="2" customFormat="1" x14ac:dyDescent="0.25">
      <c r="A770" t="s">
        <v>106</v>
      </c>
      <c r="B770" t="s">
        <v>107</v>
      </c>
      <c r="C770" t="s">
        <v>2666</v>
      </c>
      <c r="D770" s="5" t="s">
        <v>2500</v>
      </c>
      <c r="E770" s="25" t="s">
        <v>2667</v>
      </c>
      <c r="F770" t="s">
        <v>108</v>
      </c>
      <c r="G770" t="s">
        <v>2668</v>
      </c>
      <c r="H770" s="24" t="s">
        <v>2503</v>
      </c>
    </row>
    <row r="771" spans="1:8" s="3" customFormat="1" x14ac:dyDescent="0.25">
      <c r="A771" t="s">
        <v>1381</v>
      </c>
      <c r="B771" t="s">
        <v>107</v>
      </c>
      <c r="C771" t="s">
        <v>2669</v>
      </c>
      <c r="D771" s="5" t="s">
        <v>2500</v>
      </c>
      <c r="E771" s="25" t="s">
        <v>2670</v>
      </c>
      <c r="F771" t="s">
        <v>1383</v>
      </c>
      <c r="G771" t="s">
        <v>2671</v>
      </c>
      <c r="H771" s="24" t="s">
        <v>2503</v>
      </c>
    </row>
    <row r="772" spans="1:8" s="2" customFormat="1" x14ac:dyDescent="0.25">
      <c r="A772" t="s">
        <v>1838</v>
      </c>
      <c r="B772" t="s">
        <v>107</v>
      </c>
      <c r="C772" t="s">
        <v>2669</v>
      </c>
      <c r="D772" s="5" t="s">
        <v>2500</v>
      </c>
      <c r="E772" s="25" t="s">
        <v>2672</v>
      </c>
      <c r="F772" t="s">
        <v>1840</v>
      </c>
      <c r="G772" t="s">
        <v>2673</v>
      </c>
      <c r="H772" s="24" t="s">
        <v>2503</v>
      </c>
    </row>
    <row r="773" spans="1:8" s="3" customFormat="1" x14ac:dyDescent="0.25">
      <c r="A773" t="s">
        <v>1907</v>
      </c>
      <c r="B773" t="s">
        <v>105</v>
      </c>
      <c r="C773" t="s">
        <v>2621</v>
      </c>
      <c r="D773" s="5" t="s">
        <v>2500</v>
      </c>
      <c r="E773" s="25" t="s">
        <v>2674</v>
      </c>
      <c r="F773" t="s">
        <v>1908</v>
      </c>
      <c r="G773" t="s">
        <v>2675</v>
      </c>
      <c r="H773" s="24" t="s">
        <v>2503</v>
      </c>
    </row>
    <row r="774" spans="1:8" s="2" customFormat="1" x14ac:dyDescent="0.25">
      <c r="A774" t="s">
        <v>1400</v>
      </c>
      <c r="B774" t="s">
        <v>107</v>
      </c>
      <c r="C774" t="s">
        <v>2669</v>
      </c>
      <c r="D774" s="5" t="s">
        <v>2500</v>
      </c>
      <c r="E774" s="25" t="s">
        <v>2672</v>
      </c>
      <c r="F774" t="s">
        <v>1403</v>
      </c>
      <c r="G774" t="s">
        <v>2676</v>
      </c>
      <c r="H774" s="24" t="s">
        <v>2503</v>
      </c>
    </row>
    <row r="775" spans="1:8" s="3" customFormat="1" x14ac:dyDescent="0.25">
      <c r="A775" t="s">
        <v>122</v>
      </c>
      <c r="B775" t="s">
        <v>107</v>
      </c>
      <c r="C775" t="s">
        <v>2677</v>
      </c>
      <c r="D775" s="5" t="s">
        <v>2500</v>
      </c>
      <c r="E775" s="25" t="s">
        <v>2672</v>
      </c>
      <c r="F775" t="s">
        <v>123</v>
      </c>
      <c r="G775" t="s">
        <v>2678</v>
      </c>
      <c r="H775" s="24" t="s">
        <v>2503</v>
      </c>
    </row>
    <row r="776" spans="1:8" s="2" customFormat="1" x14ac:dyDescent="0.25">
      <c r="A776" t="s">
        <v>1871</v>
      </c>
      <c r="B776" t="s">
        <v>107</v>
      </c>
      <c r="C776" t="s">
        <v>2621</v>
      </c>
      <c r="D776" s="5" t="s">
        <v>2500</v>
      </c>
      <c r="E776" s="25" t="s">
        <v>2679</v>
      </c>
      <c r="F776" t="s">
        <v>1873</v>
      </c>
      <c r="G776" t="s">
        <v>2680</v>
      </c>
      <c r="H776" s="24" t="s">
        <v>2503</v>
      </c>
    </row>
    <row r="777" spans="1:8" s="3" customFormat="1" x14ac:dyDescent="0.25">
      <c r="A777" t="s">
        <v>1785</v>
      </c>
      <c r="B777" t="s">
        <v>107</v>
      </c>
      <c r="C777" t="s">
        <v>2655</v>
      </c>
      <c r="D777" s="5" t="s">
        <v>2500</v>
      </c>
      <c r="E777" s="25" t="s">
        <v>2681</v>
      </c>
      <c r="F777" t="s">
        <v>1788</v>
      </c>
      <c r="G777" t="s">
        <v>2682</v>
      </c>
      <c r="H777" s="24" t="s">
        <v>2503</v>
      </c>
    </row>
    <row r="778" spans="1:8" s="2" customFormat="1" x14ac:dyDescent="0.25">
      <c r="A778" t="s">
        <v>11</v>
      </c>
      <c r="B778" t="s">
        <v>12</v>
      </c>
      <c r="C778" t="s">
        <v>2683</v>
      </c>
      <c r="D778" s="5" t="s">
        <v>2500</v>
      </c>
      <c r="E778" s="25" t="s">
        <v>2684</v>
      </c>
      <c r="F778" t="s">
        <v>8</v>
      </c>
      <c r="G778" t="s">
        <v>2685</v>
      </c>
      <c r="H778" s="24" t="s">
        <v>2503</v>
      </c>
    </row>
    <row r="779" spans="1:8" s="3" customFormat="1" x14ac:dyDescent="0.25">
      <c r="A779" t="s">
        <v>1856</v>
      </c>
      <c r="B779" t="s">
        <v>2686</v>
      </c>
      <c r="C779" t="s">
        <v>2687</v>
      </c>
      <c r="D779" s="5" t="s">
        <v>2500</v>
      </c>
      <c r="E779" s="25" t="s">
        <v>2688</v>
      </c>
      <c r="F779" t="s">
        <v>13</v>
      </c>
      <c r="G779" t="s">
        <v>2689</v>
      </c>
      <c r="H779" s="24" t="s">
        <v>2503</v>
      </c>
    </row>
    <row r="780" spans="1:8" s="2" customFormat="1" x14ac:dyDescent="0.25">
      <c r="A780" t="s">
        <v>14</v>
      </c>
      <c r="B780" t="s">
        <v>2686</v>
      </c>
      <c r="C780" t="s">
        <v>2690</v>
      </c>
      <c r="D780" s="5" t="s">
        <v>2500</v>
      </c>
      <c r="E780" s="25" t="s">
        <v>2691</v>
      </c>
      <c r="F780" t="s">
        <v>13</v>
      </c>
      <c r="G780" t="s">
        <v>2692</v>
      </c>
      <c r="H780" s="24" t="s">
        <v>2503</v>
      </c>
    </row>
    <row r="781" spans="1:8" s="3" customFormat="1" x14ac:dyDescent="0.25">
      <c r="A781" t="s">
        <v>1350</v>
      </c>
      <c r="B781" t="s">
        <v>107</v>
      </c>
      <c r="C781" t="s">
        <v>2693</v>
      </c>
      <c r="D781" s="5" t="s">
        <v>2500</v>
      </c>
      <c r="E781" s="25" t="s">
        <v>2694</v>
      </c>
      <c r="F781" t="s">
        <v>1353</v>
      </c>
      <c r="G781" t="s">
        <v>2695</v>
      </c>
      <c r="H781" s="24" t="s">
        <v>2503</v>
      </c>
    </row>
    <row r="782" spans="1:8" s="2" customFormat="1" x14ac:dyDescent="0.25">
      <c r="A782" t="s">
        <v>2014</v>
      </c>
      <c r="B782" t="s">
        <v>105</v>
      </c>
      <c r="C782" t="s">
        <v>2696</v>
      </c>
      <c r="D782" s="5" t="s">
        <v>2500</v>
      </c>
      <c r="E782" s="25" t="s">
        <v>2697</v>
      </c>
      <c r="F782" t="s">
        <v>2016</v>
      </c>
      <c r="G782" t="s">
        <v>2698</v>
      </c>
      <c r="H782" s="24" t="s">
        <v>2503</v>
      </c>
    </row>
    <row r="783" spans="1:8" s="3" customFormat="1" x14ac:dyDescent="0.25">
      <c r="A783" t="s">
        <v>1902</v>
      </c>
      <c r="B783" t="s">
        <v>107</v>
      </c>
      <c r="C783" t="s">
        <v>2696</v>
      </c>
      <c r="D783" s="5" t="s">
        <v>2500</v>
      </c>
      <c r="E783" s="25" t="s">
        <v>2699</v>
      </c>
      <c r="F783" t="s">
        <v>1903</v>
      </c>
      <c r="G783" t="s">
        <v>2700</v>
      </c>
      <c r="H783" s="24" t="s">
        <v>2503</v>
      </c>
    </row>
    <row r="784" spans="1:8" s="2" customFormat="1" x14ac:dyDescent="0.25">
      <c r="A784" t="s">
        <v>110</v>
      </c>
      <c r="B784" t="s">
        <v>111</v>
      </c>
      <c r="C784" t="s">
        <v>2701</v>
      </c>
      <c r="D784" s="5" t="s">
        <v>2702</v>
      </c>
      <c r="E784" s="25" t="s">
        <v>2703</v>
      </c>
      <c r="F784" t="s">
        <v>112</v>
      </c>
      <c r="G784" t="s">
        <v>2704</v>
      </c>
      <c r="H784" s="24" t="s">
        <v>2705</v>
      </c>
    </row>
    <row r="785" spans="1:8" s="3" customFormat="1" x14ac:dyDescent="0.25">
      <c r="A785" t="s">
        <v>102</v>
      </c>
      <c r="B785" t="s">
        <v>103</v>
      </c>
      <c r="C785" t="s">
        <v>2706</v>
      </c>
      <c r="D785" s="5" t="s">
        <v>2702</v>
      </c>
      <c r="E785" s="25" t="s">
        <v>2707</v>
      </c>
      <c r="F785" t="s">
        <v>104</v>
      </c>
      <c r="G785" t="s">
        <v>2708</v>
      </c>
      <c r="H785" s="24" t="s">
        <v>2705</v>
      </c>
    </row>
    <row r="786" spans="1:8" s="2" customFormat="1" x14ac:dyDescent="0.25">
      <c r="A786" t="s">
        <v>102</v>
      </c>
      <c r="B786" t="s">
        <v>103</v>
      </c>
      <c r="C786" t="s">
        <v>2709</v>
      </c>
      <c r="D786" s="5" t="s">
        <v>2702</v>
      </c>
      <c r="E786" s="25" t="s">
        <v>2710</v>
      </c>
      <c r="F786" t="s">
        <v>8</v>
      </c>
      <c r="G786" t="s">
        <v>2711</v>
      </c>
      <c r="H786" s="24" t="s">
        <v>2705</v>
      </c>
    </row>
    <row r="787" spans="1:8" s="3" customFormat="1" x14ac:dyDescent="0.25">
      <c r="A787" t="s">
        <v>1458</v>
      </c>
      <c r="B787" t="s">
        <v>2712</v>
      </c>
      <c r="C787" t="s">
        <v>2713</v>
      </c>
      <c r="D787" s="5" t="s">
        <v>2702</v>
      </c>
      <c r="E787" s="25" t="s">
        <v>2714</v>
      </c>
      <c r="F787" t="s">
        <v>119</v>
      </c>
      <c r="G787" t="s">
        <v>2715</v>
      </c>
      <c r="H787" s="24" t="s">
        <v>2705</v>
      </c>
    </row>
    <row r="788" spans="1:8" s="2" customFormat="1" x14ac:dyDescent="0.25">
      <c r="A788" t="s">
        <v>110</v>
      </c>
      <c r="B788" t="s">
        <v>115</v>
      </c>
      <c r="C788" t="s">
        <v>2716</v>
      </c>
      <c r="D788" s="5" t="s">
        <v>2702</v>
      </c>
      <c r="E788" s="25" t="s">
        <v>2717</v>
      </c>
      <c r="F788" t="s">
        <v>112</v>
      </c>
      <c r="G788" t="s">
        <v>2718</v>
      </c>
      <c r="H788" s="24" t="s">
        <v>2705</v>
      </c>
    </row>
    <row r="789" spans="1:8" s="3" customFormat="1" x14ac:dyDescent="0.25">
      <c r="A789" t="s">
        <v>11</v>
      </c>
      <c r="B789" t="s">
        <v>12</v>
      </c>
      <c r="C789" t="s">
        <v>2719</v>
      </c>
      <c r="D789" s="5" t="s">
        <v>2702</v>
      </c>
      <c r="E789" s="25" t="s">
        <v>2720</v>
      </c>
      <c r="F789" t="s">
        <v>104</v>
      </c>
      <c r="G789" t="s">
        <v>2721</v>
      </c>
      <c r="H789" s="24" t="s">
        <v>2705</v>
      </c>
    </row>
    <row r="790" spans="1:8" s="2" customFormat="1" x14ac:dyDescent="0.25">
      <c r="A790" t="s">
        <v>102</v>
      </c>
      <c r="B790" t="s">
        <v>103</v>
      </c>
      <c r="C790" t="s">
        <v>2722</v>
      </c>
      <c r="D790" s="5" t="s">
        <v>2702</v>
      </c>
      <c r="E790" s="25" t="s">
        <v>2723</v>
      </c>
      <c r="F790" t="s">
        <v>104</v>
      </c>
      <c r="G790" t="s">
        <v>2724</v>
      </c>
      <c r="H790" s="24" t="s">
        <v>2705</v>
      </c>
    </row>
    <row r="791" spans="1:8" s="3" customFormat="1" x14ac:dyDescent="0.25">
      <c r="A791" t="s">
        <v>102</v>
      </c>
      <c r="B791" t="s">
        <v>103</v>
      </c>
      <c r="C791" t="s">
        <v>2725</v>
      </c>
      <c r="D791" s="5" t="s">
        <v>2702</v>
      </c>
      <c r="E791" s="25" t="s">
        <v>2726</v>
      </c>
      <c r="F791" t="s">
        <v>8</v>
      </c>
      <c r="G791" t="s">
        <v>2727</v>
      </c>
      <c r="H791" s="24" t="s">
        <v>2705</v>
      </c>
    </row>
    <row r="792" spans="1:8" s="2" customFormat="1" x14ac:dyDescent="0.25">
      <c r="A792" t="s">
        <v>120</v>
      </c>
      <c r="B792" t="s">
        <v>410</v>
      </c>
      <c r="C792" t="s">
        <v>2728</v>
      </c>
      <c r="D792" s="5" t="s">
        <v>2702</v>
      </c>
      <c r="E792" s="25" t="s">
        <v>2729</v>
      </c>
      <c r="F792" t="s">
        <v>121</v>
      </c>
      <c r="G792" t="s">
        <v>2730</v>
      </c>
      <c r="H792" s="24" t="s">
        <v>2705</v>
      </c>
    </row>
    <row r="793" spans="1:8" s="3" customFormat="1" x14ac:dyDescent="0.25">
      <c r="A793" t="s">
        <v>122</v>
      </c>
      <c r="B793" t="s">
        <v>107</v>
      </c>
      <c r="C793" t="s">
        <v>2731</v>
      </c>
      <c r="D793" s="5" t="s">
        <v>2702</v>
      </c>
      <c r="E793" s="25" t="s">
        <v>2732</v>
      </c>
      <c r="F793" t="s">
        <v>123</v>
      </c>
      <c r="G793" t="s">
        <v>2733</v>
      </c>
      <c r="H793" s="24" t="s">
        <v>2705</v>
      </c>
    </row>
    <row r="794" spans="1:8" s="2" customFormat="1" x14ac:dyDescent="0.25">
      <c r="A794" t="s">
        <v>102</v>
      </c>
      <c r="B794" t="s">
        <v>103</v>
      </c>
      <c r="C794" t="s">
        <v>2734</v>
      </c>
      <c r="D794" s="5" t="s">
        <v>2702</v>
      </c>
      <c r="E794" s="25" t="s">
        <v>2735</v>
      </c>
      <c r="F794" t="s">
        <v>104</v>
      </c>
      <c r="G794" t="s">
        <v>2736</v>
      </c>
      <c r="H794" s="24" t="s">
        <v>2705</v>
      </c>
    </row>
    <row r="795" spans="1:8" s="3" customFormat="1" x14ac:dyDescent="0.25">
      <c r="A795" t="s">
        <v>102</v>
      </c>
      <c r="B795" t="s">
        <v>103</v>
      </c>
      <c r="C795" t="s">
        <v>2737</v>
      </c>
      <c r="D795" s="5" t="s">
        <v>2702</v>
      </c>
      <c r="E795" s="25" t="s">
        <v>2738</v>
      </c>
      <c r="F795" t="s">
        <v>8</v>
      </c>
      <c r="G795" t="s">
        <v>2739</v>
      </c>
      <c r="H795" s="24" t="s">
        <v>2705</v>
      </c>
    </row>
    <row r="796" spans="1:8" s="2" customFormat="1" x14ac:dyDescent="0.25">
      <c r="A796" t="s">
        <v>102</v>
      </c>
      <c r="B796" t="s">
        <v>103</v>
      </c>
      <c r="C796" t="s">
        <v>2740</v>
      </c>
      <c r="D796" s="5" t="s">
        <v>2702</v>
      </c>
      <c r="E796" s="25" t="s">
        <v>2741</v>
      </c>
      <c r="F796" t="s">
        <v>104</v>
      </c>
      <c r="G796" t="s">
        <v>2742</v>
      </c>
      <c r="H796" s="24" t="s">
        <v>2705</v>
      </c>
    </row>
    <row r="797" spans="1:8" s="3" customFormat="1" x14ac:dyDescent="0.25">
      <c r="A797" t="s">
        <v>102</v>
      </c>
      <c r="B797" t="s">
        <v>103</v>
      </c>
      <c r="C797" t="s">
        <v>2743</v>
      </c>
      <c r="D797" s="5" t="s">
        <v>2702</v>
      </c>
      <c r="E797" s="25" t="s">
        <v>2744</v>
      </c>
      <c r="F797" t="s">
        <v>8</v>
      </c>
      <c r="G797" t="s">
        <v>2745</v>
      </c>
      <c r="H797" s="24" t="s">
        <v>2705</v>
      </c>
    </row>
    <row r="798" spans="1:8" s="2" customFormat="1" x14ac:dyDescent="0.25">
      <c r="A798" t="s">
        <v>2582</v>
      </c>
      <c r="B798" t="s">
        <v>2587</v>
      </c>
      <c r="C798" t="s">
        <v>2746</v>
      </c>
      <c r="D798" s="5" t="s">
        <v>2702</v>
      </c>
      <c r="E798" s="25" t="s">
        <v>2747</v>
      </c>
      <c r="F798" t="s">
        <v>127</v>
      </c>
      <c r="G798" t="s">
        <v>2748</v>
      </c>
      <c r="H798" s="24" t="s">
        <v>2705</v>
      </c>
    </row>
    <row r="799" spans="1:8" s="3" customFormat="1" x14ac:dyDescent="0.25">
      <c r="A799" t="s">
        <v>125</v>
      </c>
      <c r="B799" t="s">
        <v>2749</v>
      </c>
      <c r="C799" t="s">
        <v>2750</v>
      </c>
      <c r="D799" s="5" t="s">
        <v>2702</v>
      </c>
      <c r="E799" s="25" t="s">
        <v>2751</v>
      </c>
      <c r="F799" t="s">
        <v>126</v>
      </c>
      <c r="G799" t="s">
        <v>2752</v>
      </c>
      <c r="H799" s="24" t="s">
        <v>2705</v>
      </c>
    </row>
    <row r="800" spans="1:8" s="2" customFormat="1" x14ac:dyDescent="0.25">
      <c r="A800" t="s">
        <v>125</v>
      </c>
      <c r="B800" t="s">
        <v>2753</v>
      </c>
      <c r="C800" t="s">
        <v>2754</v>
      </c>
      <c r="D800" s="5" t="s">
        <v>2702</v>
      </c>
      <c r="E800" s="25" t="s">
        <v>2755</v>
      </c>
      <c r="F800" t="s">
        <v>126</v>
      </c>
      <c r="G800" t="s">
        <v>2756</v>
      </c>
      <c r="H800" s="24" t="s">
        <v>2705</v>
      </c>
    </row>
    <row r="801" spans="1:8" s="3" customFormat="1" x14ac:dyDescent="0.25">
      <c r="A801" t="s">
        <v>125</v>
      </c>
      <c r="B801" t="s">
        <v>2753</v>
      </c>
      <c r="C801" t="s">
        <v>2757</v>
      </c>
      <c r="D801" s="5" t="s">
        <v>2702</v>
      </c>
      <c r="E801" s="25" t="s">
        <v>2758</v>
      </c>
      <c r="F801" t="s">
        <v>127</v>
      </c>
      <c r="G801" t="s">
        <v>2759</v>
      </c>
      <c r="H801" s="24" t="s">
        <v>2705</v>
      </c>
    </row>
    <row r="802" spans="1:8" s="2" customFormat="1" x14ac:dyDescent="0.25">
      <c r="A802" t="s">
        <v>125</v>
      </c>
      <c r="B802" t="s">
        <v>2749</v>
      </c>
      <c r="C802" t="s">
        <v>2760</v>
      </c>
      <c r="D802" s="5" t="s">
        <v>2702</v>
      </c>
      <c r="E802" s="25" t="s">
        <v>2309</v>
      </c>
      <c r="F802" t="s">
        <v>127</v>
      </c>
      <c r="G802" t="s">
        <v>2761</v>
      </c>
      <c r="H802" s="24" t="s">
        <v>2705</v>
      </c>
    </row>
    <row r="803" spans="1:8" s="3" customFormat="1" x14ac:dyDescent="0.25">
      <c r="A803" t="s">
        <v>125</v>
      </c>
      <c r="B803" t="s">
        <v>2762</v>
      </c>
      <c r="C803" t="s">
        <v>2763</v>
      </c>
      <c r="D803" s="5" t="s">
        <v>2702</v>
      </c>
      <c r="E803" s="25" t="s">
        <v>2764</v>
      </c>
      <c r="F803" t="s">
        <v>126</v>
      </c>
      <c r="G803" t="s">
        <v>2765</v>
      </c>
      <c r="H803" s="24" t="s">
        <v>2705</v>
      </c>
    </row>
    <row r="804" spans="1:8" s="2" customFormat="1" x14ac:dyDescent="0.25">
      <c r="A804" t="s">
        <v>2582</v>
      </c>
      <c r="B804" t="s">
        <v>2583</v>
      </c>
      <c r="C804" t="s">
        <v>2766</v>
      </c>
      <c r="D804" s="5" t="s">
        <v>2702</v>
      </c>
      <c r="E804" s="25" t="s">
        <v>2767</v>
      </c>
      <c r="F804" t="s">
        <v>127</v>
      </c>
      <c r="G804" t="s">
        <v>2768</v>
      </c>
      <c r="H804" s="24" t="s">
        <v>2705</v>
      </c>
    </row>
    <row r="805" spans="1:8" s="3" customFormat="1" x14ac:dyDescent="0.25">
      <c r="A805" t="s">
        <v>2582</v>
      </c>
      <c r="B805" t="s">
        <v>2591</v>
      </c>
      <c r="C805" t="s">
        <v>2769</v>
      </c>
      <c r="D805" s="5" t="s">
        <v>2702</v>
      </c>
      <c r="E805" s="25" t="s">
        <v>2770</v>
      </c>
      <c r="F805" t="s">
        <v>127</v>
      </c>
      <c r="G805" t="s">
        <v>2771</v>
      </c>
      <c r="H805" s="24" t="s">
        <v>2705</v>
      </c>
    </row>
    <row r="806" spans="1:8" s="2" customFormat="1" x14ac:dyDescent="0.25">
      <c r="A806" t="s">
        <v>116</v>
      </c>
      <c r="B806" t="s">
        <v>117</v>
      </c>
      <c r="C806" t="s">
        <v>2772</v>
      </c>
      <c r="D806" s="5" t="s">
        <v>2702</v>
      </c>
      <c r="E806" s="25" t="s">
        <v>2773</v>
      </c>
      <c r="F806" t="s">
        <v>118</v>
      </c>
      <c r="G806" t="s">
        <v>2774</v>
      </c>
      <c r="H806" s="24" t="s">
        <v>2705</v>
      </c>
    </row>
    <row r="807" spans="1:8" s="3" customFormat="1" x14ac:dyDescent="0.25">
      <c r="A807" t="s">
        <v>102</v>
      </c>
      <c r="B807" t="s">
        <v>103</v>
      </c>
      <c r="C807" t="s">
        <v>2775</v>
      </c>
      <c r="D807" s="5" t="s">
        <v>2702</v>
      </c>
      <c r="E807" s="25" t="s">
        <v>2776</v>
      </c>
      <c r="F807" t="s">
        <v>104</v>
      </c>
      <c r="G807" t="s">
        <v>2777</v>
      </c>
      <c r="H807" s="24" t="s">
        <v>2705</v>
      </c>
    </row>
    <row r="808" spans="1:8" s="2" customFormat="1" x14ac:dyDescent="0.25">
      <c r="A808" t="s">
        <v>102</v>
      </c>
      <c r="B808" t="s">
        <v>103</v>
      </c>
      <c r="C808" t="s">
        <v>2778</v>
      </c>
      <c r="D808" s="5" t="s">
        <v>2702</v>
      </c>
      <c r="E808" s="25" t="s">
        <v>2779</v>
      </c>
      <c r="F808" t="s">
        <v>8</v>
      </c>
      <c r="G808" t="s">
        <v>2780</v>
      </c>
      <c r="H808" s="24" t="s">
        <v>2705</v>
      </c>
    </row>
    <row r="809" spans="1:8" s="3" customFormat="1" x14ac:dyDescent="0.25">
      <c r="A809" t="s">
        <v>102</v>
      </c>
      <c r="B809" t="s">
        <v>103</v>
      </c>
      <c r="C809" t="s">
        <v>2781</v>
      </c>
      <c r="D809" s="5" t="s">
        <v>2702</v>
      </c>
      <c r="E809" s="25" t="s">
        <v>2782</v>
      </c>
      <c r="F809" t="s">
        <v>104</v>
      </c>
      <c r="G809" t="s">
        <v>2783</v>
      </c>
      <c r="H809" s="24" t="s">
        <v>2705</v>
      </c>
    </row>
    <row r="810" spans="1:8" s="2" customFormat="1" x14ac:dyDescent="0.25">
      <c r="A810" t="s">
        <v>102</v>
      </c>
      <c r="B810" t="s">
        <v>103</v>
      </c>
      <c r="C810" t="s">
        <v>2784</v>
      </c>
      <c r="D810" s="5" t="s">
        <v>2702</v>
      </c>
      <c r="E810" s="25" t="s">
        <v>2785</v>
      </c>
      <c r="F810" t="s">
        <v>8</v>
      </c>
      <c r="G810" t="s">
        <v>2786</v>
      </c>
      <c r="H810" s="24" t="s">
        <v>2705</v>
      </c>
    </row>
    <row r="811" spans="1:8" s="3" customFormat="1" x14ac:dyDescent="0.25">
      <c r="A811" t="s">
        <v>1769</v>
      </c>
      <c r="B811" t="s">
        <v>105</v>
      </c>
      <c r="C811" t="s">
        <v>2787</v>
      </c>
      <c r="D811" s="5" t="s">
        <v>2702</v>
      </c>
      <c r="E811" s="25" t="s">
        <v>2788</v>
      </c>
      <c r="F811" t="s">
        <v>1771</v>
      </c>
      <c r="G811" t="s">
        <v>2789</v>
      </c>
      <c r="H811" s="24" t="s">
        <v>2705</v>
      </c>
    </row>
    <row r="812" spans="1:8" s="2" customFormat="1" x14ac:dyDescent="0.25">
      <c r="A812" t="s">
        <v>106</v>
      </c>
      <c r="B812" t="s">
        <v>107</v>
      </c>
      <c r="C812" t="s">
        <v>2790</v>
      </c>
      <c r="D812" s="5" t="s">
        <v>2702</v>
      </c>
      <c r="E812" s="25" t="s">
        <v>2791</v>
      </c>
      <c r="F812" t="s">
        <v>108</v>
      </c>
      <c r="G812" t="s">
        <v>2792</v>
      </c>
      <c r="H812" s="24" t="s">
        <v>2705</v>
      </c>
    </row>
    <row r="813" spans="1:8" s="3" customFormat="1" x14ac:dyDescent="0.25">
      <c r="A813" t="s">
        <v>102</v>
      </c>
      <c r="B813" t="s">
        <v>103</v>
      </c>
      <c r="C813" t="s">
        <v>2793</v>
      </c>
      <c r="D813" s="5" t="s">
        <v>2702</v>
      </c>
      <c r="E813" s="25" t="s">
        <v>2794</v>
      </c>
      <c r="F813" t="s">
        <v>104</v>
      </c>
      <c r="G813" t="s">
        <v>2795</v>
      </c>
      <c r="H813" s="24" t="s">
        <v>2705</v>
      </c>
    </row>
    <row r="814" spans="1:8" s="2" customFormat="1" x14ac:dyDescent="0.25">
      <c r="A814" t="s">
        <v>102</v>
      </c>
      <c r="B814" t="s">
        <v>103</v>
      </c>
      <c r="C814" t="s">
        <v>2796</v>
      </c>
      <c r="D814" s="5" t="s">
        <v>2702</v>
      </c>
      <c r="E814" s="25" t="s">
        <v>2797</v>
      </c>
      <c r="F814" t="s">
        <v>8</v>
      </c>
      <c r="G814" t="s">
        <v>2798</v>
      </c>
      <c r="H814" s="24" t="s">
        <v>2705</v>
      </c>
    </row>
    <row r="815" spans="1:8" s="3" customFormat="1" x14ac:dyDescent="0.25">
      <c r="A815" t="s">
        <v>11</v>
      </c>
      <c r="B815" t="s">
        <v>12</v>
      </c>
      <c r="C815" t="s">
        <v>2799</v>
      </c>
      <c r="D815" s="5" t="s">
        <v>2702</v>
      </c>
      <c r="E815" s="25" t="s">
        <v>109</v>
      </c>
      <c r="F815" t="s">
        <v>8</v>
      </c>
      <c r="G815" t="s">
        <v>2800</v>
      </c>
      <c r="H815" s="24" t="s">
        <v>2705</v>
      </c>
    </row>
    <row r="816" spans="1:8" s="2" customFormat="1" x14ac:dyDescent="0.25">
      <c r="A816" t="s">
        <v>14</v>
      </c>
      <c r="B816" t="s">
        <v>15</v>
      </c>
      <c r="C816" t="s">
        <v>2801</v>
      </c>
      <c r="D816" s="5" t="s">
        <v>2702</v>
      </c>
      <c r="E816" s="25" t="s">
        <v>2802</v>
      </c>
      <c r="F816" t="s">
        <v>13</v>
      </c>
      <c r="G816" t="s">
        <v>2803</v>
      </c>
      <c r="H816" s="24" t="s">
        <v>2705</v>
      </c>
    </row>
    <row r="817" spans="1:8" s="3" customFormat="1" x14ac:dyDescent="0.25">
      <c r="A817" t="s">
        <v>102</v>
      </c>
      <c r="B817" t="s">
        <v>103</v>
      </c>
      <c r="C817" t="s">
        <v>2804</v>
      </c>
      <c r="D817" s="5" t="s">
        <v>2805</v>
      </c>
      <c r="E817" s="25" t="s">
        <v>2806</v>
      </c>
      <c r="F817" t="s">
        <v>104</v>
      </c>
      <c r="G817" t="s">
        <v>2807</v>
      </c>
      <c r="H817" s="24" t="s">
        <v>2808</v>
      </c>
    </row>
    <row r="818" spans="1:8" s="2" customFormat="1" x14ac:dyDescent="0.25">
      <c r="A818" t="s">
        <v>102</v>
      </c>
      <c r="B818" t="s">
        <v>103</v>
      </c>
      <c r="C818" t="s">
        <v>2809</v>
      </c>
      <c r="D818" s="5" t="s">
        <v>2805</v>
      </c>
      <c r="E818" s="25" t="s">
        <v>2810</v>
      </c>
      <c r="F818" t="s">
        <v>8</v>
      </c>
      <c r="G818" t="s">
        <v>2811</v>
      </c>
      <c r="H818" s="24" t="s">
        <v>2808</v>
      </c>
    </row>
    <row r="819" spans="1:8" s="3" customFormat="1" x14ac:dyDescent="0.25">
      <c r="A819" t="s">
        <v>110</v>
      </c>
      <c r="B819" t="s">
        <v>111</v>
      </c>
      <c r="C819" t="s">
        <v>2812</v>
      </c>
      <c r="D819" s="5" t="s">
        <v>2805</v>
      </c>
      <c r="E819" s="25" t="s">
        <v>2813</v>
      </c>
      <c r="F819" t="s">
        <v>112</v>
      </c>
      <c r="G819" t="s">
        <v>2814</v>
      </c>
      <c r="H819" s="24" t="s">
        <v>2808</v>
      </c>
    </row>
    <row r="820" spans="1:8" s="2" customFormat="1" x14ac:dyDescent="0.25">
      <c r="A820" t="s">
        <v>113</v>
      </c>
      <c r="B820" t="s">
        <v>105</v>
      </c>
      <c r="C820" t="s">
        <v>2815</v>
      </c>
      <c r="D820" s="5" t="s">
        <v>2805</v>
      </c>
      <c r="E820" s="25" t="s">
        <v>2816</v>
      </c>
      <c r="F820" t="s">
        <v>114</v>
      </c>
      <c r="G820" t="s">
        <v>2817</v>
      </c>
      <c r="H820" s="24" t="s">
        <v>2808</v>
      </c>
    </row>
    <row r="821" spans="1:8" s="3" customFormat="1" x14ac:dyDescent="0.25">
      <c r="A821" t="s">
        <v>110</v>
      </c>
      <c r="B821" t="s">
        <v>115</v>
      </c>
      <c r="C821" t="s">
        <v>2818</v>
      </c>
      <c r="D821" s="5" t="s">
        <v>2805</v>
      </c>
      <c r="E821" s="25" t="s">
        <v>2819</v>
      </c>
      <c r="F821" t="s">
        <v>112</v>
      </c>
      <c r="G821" t="s">
        <v>2820</v>
      </c>
      <c r="H821" s="24" t="s">
        <v>2808</v>
      </c>
    </row>
    <row r="822" spans="1:8" s="2" customFormat="1" x14ac:dyDescent="0.25">
      <c r="A822" t="s">
        <v>116</v>
      </c>
      <c r="B822" t="s">
        <v>117</v>
      </c>
      <c r="C822" t="s">
        <v>2821</v>
      </c>
      <c r="D822" s="5" t="s">
        <v>2805</v>
      </c>
      <c r="E822" s="25" t="s">
        <v>2822</v>
      </c>
      <c r="F822" t="s">
        <v>118</v>
      </c>
      <c r="G822" t="s">
        <v>2823</v>
      </c>
      <c r="H822" s="24" t="s">
        <v>2808</v>
      </c>
    </row>
    <row r="823" spans="1:8" s="3" customFormat="1" x14ac:dyDescent="0.25">
      <c r="A823" t="s">
        <v>102</v>
      </c>
      <c r="B823" t="s">
        <v>103</v>
      </c>
      <c r="C823" t="s">
        <v>2824</v>
      </c>
      <c r="D823" s="5" t="s">
        <v>2805</v>
      </c>
      <c r="E823" s="25" t="s">
        <v>2825</v>
      </c>
      <c r="F823" t="s">
        <v>104</v>
      </c>
      <c r="G823" t="s">
        <v>2826</v>
      </c>
      <c r="H823" s="24" t="s">
        <v>2808</v>
      </c>
    </row>
    <row r="824" spans="1:8" s="2" customFormat="1" x14ac:dyDescent="0.25">
      <c r="A824" t="s">
        <v>102</v>
      </c>
      <c r="B824" t="s">
        <v>103</v>
      </c>
      <c r="C824" t="s">
        <v>2827</v>
      </c>
      <c r="D824" s="5" t="s">
        <v>2805</v>
      </c>
      <c r="E824" s="25" t="s">
        <v>2054</v>
      </c>
      <c r="F824" t="s">
        <v>8</v>
      </c>
      <c r="G824" t="s">
        <v>2828</v>
      </c>
      <c r="H824" s="24" t="s">
        <v>2808</v>
      </c>
    </row>
    <row r="825" spans="1:8" s="3" customFormat="1" x14ac:dyDescent="0.25">
      <c r="A825" t="s">
        <v>102</v>
      </c>
      <c r="B825" t="s">
        <v>103</v>
      </c>
      <c r="C825" t="s">
        <v>2829</v>
      </c>
      <c r="D825" s="5" t="s">
        <v>2805</v>
      </c>
      <c r="E825" s="25" t="s">
        <v>2830</v>
      </c>
      <c r="F825" t="s">
        <v>104</v>
      </c>
      <c r="G825" t="s">
        <v>2831</v>
      </c>
      <c r="H825" s="24" t="s">
        <v>2808</v>
      </c>
    </row>
    <row r="826" spans="1:8" s="2" customFormat="1" x14ac:dyDescent="0.25">
      <c r="A826" t="s">
        <v>102</v>
      </c>
      <c r="B826" t="s">
        <v>103</v>
      </c>
      <c r="C826" t="s">
        <v>2832</v>
      </c>
      <c r="D826" s="5" t="s">
        <v>2805</v>
      </c>
      <c r="E826" s="25" t="s">
        <v>2833</v>
      </c>
      <c r="F826" t="s">
        <v>8</v>
      </c>
      <c r="G826" t="s">
        <v>2834</v>
      </c>
      <c r="H826" s="24" t="s">
        <v>2808</v>
      </c>
    </row>
    <row r="827" spans="1:8" s="3" customFormat="1" x14ac:dyDescent="0.25">
      <c r="A827" t="s">
        <v>113</v>
      </c>
      <c r="B827" t="s">
        <v>105</v>
      </c>
      <c r="C827" t="s">
        <v>2835</v>
      </c>
      <c r="D827" s="5" t="s">
        <v>2805</v>
      </c>
      <c r="E827" s="25" t="s">
        <v>2836</v>
      </c>
      <c r="F827" t="s">
        <v>114</v>
      </c>
      <c r="G827" t="s">
        <v>2837</v>
      </c>
      <c r="H827" s="24" t="s">
        <v>2808</v>
      </c>
    </row>
    <row r="828" spans="1:8" s="2" customFormat="1" x14ac:dyDescent="0.25">
      <c r="A828" t="s">
        <v>1336</v>
      </c>
      <c r="B828" t="s">
        <v>410</v>
      </c>
      <c r="C828" t="s">
        <v>2838</v>
      </c>
      <c r="D828" s="5" t="s">
        <v>2805</v>
      </c>
      <c r="E828" s="25" t="s">
        <v>2839</v>
      </c>
      <c r="F828" t="s">
        <v>1338</v>
      </c>
      <c r="G828" t="s">
        <v>2840</v>
      </c>
      <c r="H828" s="24" t="s">
        <v>2808</v>
      </c>
    </row>
    <row r="829" spans="1:8" s="3" customFormat="1" x14ac:dyDescent="0.25">
      <c r="A829" t="s">
        <v>2841</v>
      </c>
      <c r="B829" t="s">
        <v>2842</v>
      </c>
      <c r="C829" t="s">
        <v>2843</v>
      </c>
      <c r="D829" s="5" t="s">
        <v>2805</v>
      </c>
      <c r="E829" s="25" t="s">
        <v>2844</v>
      </c>
      <c r="F829" t="s">
        <v>2845</v>
      </c>
      <c r="G829" t="s">
        <v>2846</v>
      </c>
      <c r="H829" s="24" t="s">
        <v>2808</v>
      </c>
    </row>
    <row r="830" spans="1:8" s="2" customFormat="1" x14ac:dyDescent="0.25">
      <c r="A830" t="s">
        <v>116</v>
      </c>
      <c r="B830" t="s">
        <v>117</v>
      </c>
      <c r="C830" t="s">
        <v>2847</v>
      </c>
      <c r="D830" s="5" t="s">
        <v>2805</v>
      </c>
      <c r="E830" s="25" t="s">
        <v>2848</v>
      </c>
      <c r="F830" t="s">
        <v>118</v>
      </c>
      <c r="G830" t="s">
        <v>2849</v>
      </c>
      <c r="H830" s="24" t="s">
        <v>2808</v>
      </c>
    </row>
    <row r="831" spans="1:8" s="3" customFormat="1" x14ac:dyDescent="0.25">
      <c r="A831" t="s">
        <v>102</v>
      </c>
      <c r="B831" t="s">
        <v>103</v>
      </c>
      <c r="C831" t="s">
        <v>2850</v>
      </c>
      <c r="D831" s="5" t="s">
        <v>2805</v>
      </c>
      <c r="E831" s="25" t="s">
        <v>2851</v>
      </c>
      <c r="F831" t="s">
        <v>104</v>
      </c>
      <c r="G831" t="s">
        <v>2852</v>
      </c>
      <c r="H831" s="24" t="s">
        <v>2808</v>
      </c>
    </row>
    <row r="832" spans="1:8" s="2" customFormat="1" x14ac:dyDescent="0.25">
      <c r="A832" t="s">
        <v>102</v>
      </c>
      <c r="B832" t="s">
        <v>103</v>
      </c>
      <c r="C832" t="s">
        <v>2853</v>
      </c>
      <c r="D832" s="5" t="s">
        <v>2805</v>
      </c>
      <c r="E832" s="25" t="s">
        <v>2854</v>
      </c>
      <c r="F832" t="s">
        <v>8</v>
      </c>
      <c r="G832" t="s">
        <v>2855</v>
      </c>
      <c r="H832" s="24" t="s">
        <v>2808</v>
      </c>
    </row>
    <row r="833" spans="1:8" s="3" customFormat="1" x14ac:dyDescent="0.25">
      <c r="A833" t="s">
        <v>1765</v>
      </c>
      <c r="B833" t="s">
        <v>2856</v>
      </c>
      <c r="C833" t="s">
        <v>2857</v>
      </c>
      <c r="D833" s="5" t="s">
        <v>2805</v>
      </c>
      <c r="E833" s="25" t="s">
        <v>2858</v>
      </c>
      <c r="F833" t="s">
        <v>1767</v>
      </c>
      <c r="G833" t="s">
        <v>2859</v>
      </c>
      <c r="H833" s="24" t="s">
        <v>2808</v>
      </c>
    </row>
    <row r="834" spans="1:8" s="2" customFormat="1" x14ac:dyDescent="0.25">
      <c r="A834" t="s">
        <v>113</v>
      </c>
      <c r="B834" t="s">
        <v>105</v>
      </c>
      <c r="C834" t="s">
        <v>2860</v>
      </c>
      <c r="D834" s="5" t="s">
        <v>2805</v>
      </c>
      <c r="E834" s="25" t="s">
        <v>2861</v>
      </c>
      <c r="F834" t="s">
        <v>114</v>
      </c>
      <c r="G834" t="s">
        <v>2862</v>
      </c>
      <c r="H834" s="24" t="s">
        <v>2808</v>
      </c>
    </row>
    <row r="835" spans="1:8" s="3" customFormat="1" x14ac:dyDescent="0.25">
      <c r="A835" t="s">
        <v>113</v>
      </c>
      <c r="B835" t="s">
        <v>105</v>
      </c>
      <c r="C835" t="s">
        <v>2863</v>
      </c>
      <c r="D835" s="5" t="s">
        <v>2805</v>
      </c>
      <c r="E835" s="25" t="s">
        <v>2864</v>
      </c>
      <c r="F835" t="s">
        <v>114</v>
      </c>
      <c r="G835" t="s">
        <v>2865</v>
      </c>
      <c r="H835" s="24" t="s">
        <v>2808</v>
      </c>
    </row>
    <row r="836" spans="1:8" s="2" customFormat="1" x14ac:dyDescent="0.25">
      <c r="A836" t="s">
        <v>102</v>
      </c>
      <c r="B836" t="s">
        <v>103</v>
      </c>
      <c r="C836" t="s">
        <v>2866</v>
      </c>
      <c r="D836" s="5" t="s">
        <v>2805</v>
      </c>
      <c r="E836" s="25" t="s">
        <v>2867</v>
      </c>
      <c r="F836" t="s">
        <v>104</v>
      </c>
      <c r="G836" t="s">
        <v>2868</v>
      </c>
      <c r="H836" s="24" t="s">
        <v>2808</v>
      </c>
    </row>
    <row r="837" spans="1:8" s="3" customFormat="1" x14ac:dyDescent="0.25">
      <c r="A837" t="s">
        <v>102</v>
      </c>
      <c r="B837" t="s">
        <v>103</v>
      </c>
      <c r="C837" t="s">
        <v>2869</v>
      </c>
      <c r="D837" s="5" t="s">
        <v>2805</v>
      </c>
      <c r="E837" s="25" t="s">
        <v>2870</v>
      </c>
      <c r="F837" t="s">
        <v>8</v>
      </c>
      <c r="G837" t="s">
        <v>2871</v>
      </c>
      <c r="H837" s="24" t="s">
        <v>2808</v>
      </c>
    </row>
    <row r="838" spans="1:8" s="2" customFormat="1" x14ac:dyDescent="0.25">
      <c r="A838" t="s">
        <v>102</v>
      </c>
      <c r="B838" t="s">
        <v>103</v>
      </c>
      <c r="C838" t="s">
        <v>2872</v>
      </c>
      <c r="D838" s="5" t="s">
        <v>2805</v>
      </c>
      <c r="E838" s="25" t="s">
        <v>2873</v>
      </c>
      <c r="F838" t="s">
        <v>104</v>
      </c>
      <c r="G838" t="s">
        <v>2874</v>
      </c>
      <c r="H838" s="24" t="s">
        <v>2808</v>
      </c>
    </row>
    <row r="839" spans="1:8" s="3" customFormat="1" x14ac:dyDescent="0.25">
      <c r="A839" t="s">
        <v>102</v>
      </c>
      <c r="B839" t="s">
        <v>103</v>
      </c>
      <c r="C839" t="s">
        <v>2875</v>
      </c>
      <c r="D839" s="5" t="s">
        <v>2805</v>
      </c>
      <c r="E839" s="25" t="s">
        <v>2876</v>
      </c>
      <c r="F839" t="s">
        <v>8</v>
      </c>
      <c r="G839" t="s">
        <v>2877</v>
      </c>
      <c r="H839" s="24" t="s">
        <v>2808</v>
      </c>
    </row>
    <row r="840" spans="1:8" s="2" customFormat="1" x14ac:dyDescent="0.25">
      <c r="A840" t="s">
        <v>749</v>
      </c>
      <c r="B840" t="s">
        <v>2878</v>
      </c>
      <c r="C840" t="s">
        <v>2879</v>
      </c>
      <c r="D840" s="5" t="s">
        <v>2805</v>
      </c>
      <c r="E840" s="25" t="s">
        <v>2880</v>
      </c>
      <c r="F840" t="s">
        <v>752</v>
      </c>
      <c r="G840" t="s">
        <v>2881</v>
      </c>
      <c r="H840" s="24" t="s">
        <v>2808</v>
      </c>
    </row>
    <row r="841" spans="1:8" s="3" customFormat="1" x14ac:dyDescent="0.25">
      <c r="A841" t="s">
        <v>14</v>
      </c>
      <c r="B841" t="s">
        <v>15</v>
      </c>
      <c r="C841" t="s">
        <v>2882</v>
      </c>
      <c r="D841" s="5" t="s">
        <v>2805</v>
      </c>
      <c r="E841" s="25" t="s">
        <v>2883</v>
      </c>
      <c r="F841" t="s">
        <v>13</v>
      </c>
      <c r="G841" t="s">
        <v>2884</v>
      </c>
      <c r="H841" s="24" t="s">
        <v>2808</v>
      </c>
    </row>
    <row r="842" spans="1:8" s="2" customFormat="1" x14ac:dyDescent="0.25">
      <c r="A842" t="s">
        <v>1458</v>
      </c>
      <c r="B842" t="s">
        <v>1459</v>
      </c>
      <c r="C842" t="s">
        <v>2885</v>
      </c>
      <c r="D842" s="5" t="s">
        <v>2805</v>
      </c>
      <c r="E842" s="25" t="s">
        <v>2886</v>
      </c>
      <c r="F842" t="s">
        <v>119</v>
      </c>
      <c r="G842" t="s">
        <v>2887</v>
      </c>
      <c r="H842" s="24" t="s">
        <v>2808</v>
      </c>
    </row>
    <row r="843" spans="1:8" s="3" customFormat="1" x14ac:dyDescent="0.25">
      <c r="A843" t="s">
        <v>1847</v>
      </c>
      <c r="B843" t="s">
        <v>2878</v>
      </c>
      <c r="C843" t="s">
        <v>2888</v>
      </c>
      <c r="D843" s="5" t="s">
        <v>2805</v>
      </c>
      <c r="E843" s="25" t="s">
        <v>2889</v>
      </c>
      <c r="F843" t="s">
        <v>1728</v>
      </c>
      <c r="G843" t="s">
        <v>2890</v>
      </c>
      <c r="H843" s="24" t="s">
        <v>2808</v>
      </c>
    </row>
    <row r="844" spans="1:8" s="2" customFormat="1" x14ac:dyDescent="0.25">
      <c r="A844" t="s">
        <v>102</v>
      </c>
      <c r="B844" t="s">
        <v>103</v>
      </c>
      <c r="C844" t="s">
        <v>2891</v>
      </c>
      <c r="D844" s="5" t="s">
        <v>2805</v>
      </c>
      <c r="E844" s="25" t="s">
        <v>2892</v>
      </c>
      <c r="F844" t="s">
        <v>104</v>
      </c>
      <c r="G844" t="s">
        <v>2893</v>
      </c>
      <c r="H844" s="24" t="s">
        <v>2808</v>
      </c>
    </row>
    <row r="845" spans="1:8" s="3" customFormat="1" x14ac:dyDescent="0.25">
      <c r="A845" t="s">
        <v>102</v>
      </c>
      <c r="B845" t="s">
        <v>103</v>
      </c>
      <c r="C845" t="s">
        <v>2894</v>
      </c>
      <c r="D845" s="5" t="s">
        <v>2805</v>
      </c>
      <c r="E845" s="25" t="s">
        <v>2895</v>
      </c>
      <c r="F845" t="s">
        <v>8</v>
      </c>
      <c r="G845" t="s">
        <v>2896</v>
      </c>
      <c r="H845" s="24" t="s">
        <v>2808</v>
      </c>
    </row>
    <row r="846" spans="1:8" s="2" customFormat="1" x14ac:dyDescent="0.25">
      <c r="A846" t="s">
        <v>1847</v>
      </c>
      <c r="B846" t="s">
        <v>2878</v>
      </c>
      <c r="C846" t="s">
        <v>2897</v>
      </c>
      <c r="D846" s="5" t="s">
        <v>2898</v>
      </c>
      <c r="E846" s="25" t="s">
        <v>2899</v>
      </c>
      <c r="F846" t="s">
        <v>1728</v>
      </c>
      <c r="G846" t="s">
        <v>2900</v>
      </c>
      <c r="H846" s="24" t="s">
        <v>2901</v>
      </c>
    </row>
    <row r="847" spans="1:8" s="3" customFormat="1" x14ac:dyDescent="0.25">
      <c r="A847" t="s">
        <v>110</v>
      </c>
      <c r="B847" t="s">
        <v>115</v>
      </c>
      <c r="C847" t="s">
        <v>2902</v>
      </c>
      <c r="D847" s="5" t="s">
        <v>2898</v>
      </c>
      <c r="E847" s="25" t="s">
        <v>2903</v>
      </c>
      <c r="F847" t="s">
        <v>112</v>
      </c>
      <c r="G847" t="s">
        <v>2904</v>
      </c>
      <c r="H847" s="24" t="s">
        <v>2901</v>
      </c>
    </row>
    <row r="848" spans="1:8" s="2" customFormat="1" x14ac:dyDescent="0.25">
      <c r="A848" t="s">
        <v>110</v>
      </c>
      <c r="B848" t="s">
        <v>111</v>
      </c>
      <c r="C848" t="s">
        <v>2905</v>
      </c>
      <c r="D848" s="5" t="s">
        <v>2898</v>
      </c>
      <c r="E848" s="25" t="s">
        <v>2906</v>
      </c>
      <c r="F848" t="s">
        <v>112</v>
      </c>
      <c r="G848" t="s">
        <v>2907</v>
      </c>
      <c r="H848" s="24" t="s">
        <v>2901</v>
      </c>
    </row>
    <row r="849" spans="1:8" s="3" customFormat="1" x14ac:dyDescent="0.25">
      <c r="A849" t="s">
        <v>1298</v>
      </c>
      <c r="B849" t="s">
        <v>2878</v>
      </c>
      <c r="C849" t="s">
        <v>2908</v>
      </c>
      <c r="D849" s="5" t="s">
        <v>2898</v>
      </c>
      <c r="E849" s="25" t="s">
        <v>2909</v>
      </c>
      <c r="F849" t="s">
        <v>1301</v>
      </c>
      <c r="G849" t="s">
        <v>2910</v>
      </c>
      <c r="H849" s="24" t="s">
        <v>2901</v>
      </c>
    </row>
    <row r="850" spans="1:8" s="2" customFormat="1" x14ac:dyDescent="0.25">
      <c r="A850" t="s">
        <v>120</v>
      </c>
      <c r="B850" t="s">
        <v>410</v>
      </c>
      <c r="C850" t="s">
        <v>2911</v>
      </c>
      <c r="D850" s="5" t="s">
        <v>2898</v>
      </c>
      <c r="E850" s="25" t="s">
        <v>2912</v>
      </c>
      <c r="F850" t="s">
        <v>121</v>
      </c>
      <c r="G850" t="s">
        <v>2913</v>
      </c>
      <c r="H850" s="24" t="s">
        <v>2901</v>
      </c>
    </row>
    <row r="851" spans="1:8" s="3" customFormat="1" x14ac:dyDescent="0.25">
      <c r="A851" t="s">
        <v>1336</v>
      </c>
      <c r="B851" t="s">
        <v>410</v>
      </c>
      <c r="C851" t="s">
        <v>2914</v>
      </c>
      <c r="D851" s="5" t="s">
        <v>2898</v>
      </c>
      <c r="E851" s="25" t="s">
        <v>2915</v>
      </c>
      <c r="F851" t="s">
        <v>1338</v>
      </c>
      <c r="G851" t="s">
        <v>2916</v>
      </c>
      <c r="H851" s="24" t="s">
        <v>2901</v>
      </c>
    </row>
    <row r="852" spans="1:8" s="2" customFormat="1" x14ac:dyDescent="0.25">
      <c r="A852" t="s">
        <v>1350</v>
      </c>
      <c r="B852" t="s">
        <v>107</v>
      </c>
      <c r="C852" t="s">
        <v>2917</v>
      </c>
      <c r="D852" s="5" t="s">
        <v>2898</v>
      </c>
      <c r="E852" s="25" t="s">
        <v>2918</v>
      </c>
      <c r="F852" t="s">
        <v>1353</v>
      </c>
      <c r="G852" t="s">
        <v>2919</v>
      </c>
      <c r="H852" s="24" t="s">
        <v>2901</v>
      </c>
    </row>
    <row r="853" spans="1:8" s="3" customFormat="1" x14ac:dyDescent="0.25">
      <c r="A853" t="s">
        <v>1340</v>
      </c>
      <c r="B853" t="s">
        <v>410</v>
      </c>
      <c r="C853" t="s">
        <v>2920</v>
      </c>
      <c r="D853" s="5" t="s">
        <v>2898</v>
      </c>
      <c r="E853" s="25" t="s">
        <v>2921</v>
      </c>
      <c r="F853" t="s">
        <v>1343</v>
      </c>
      <c r="G853" t="s">
        <v>2922</v>
      </c>
      <c r="H853" s="24" t="s">
        <v>2901</v>
      </c>
    </row>
    <row r="854" spans="1:8" s="2" customFormat="1" x14ac:dyDescent="0.25">
      <c r="A854" t="s">
        <v>11</v>
      </c>
      <c r="B854" t="s">
        <v>12</v>
      </c>
      <c r="C854" t="s">
        <v>2923</v>
      </c>
      <c r="D854" s="5" t="s">
        <v>2898</v>
      </c>
      <c r="E854" s="25" t="s">
        <v>2924</v>
      </c>
      <c r="F854" t="s">
        <v>104</v>
      </c>
      <c r="G854" t="s">
        <v>2925</v>
      </c>
      <c r="H854" s="24" t="s">
        <v>2901</v>
      </c>
    </row>
    <row r="855" spans="1:8" s="3" customFormat="1" x14ac:dyDescent="0.25">
      <c r="A855" t="s">
        <v>749</v>
      </c>
      <c r="B855" t="s">
        <v>2926</v>
      </c>
      <c r="C855" t="s">
        <v>2927</v>
      </c>
      <c r="D855" s="5" t="s">
        <v>2898</v>
      </c>
      <c r="E855" s="25" t="s">
        <v>2249</v>
      </c>
      <c r="F855" t="s">
        <v>752</v>
      </c>
      <c r="G855" t="s">
        <v>2928</v>
      </c>
      <c r="H855" s="24" t="s">
        <v>2901</v>
      </c>
    </row>
    <row r="856" spans="1:8" s="2" customFormat="1" x14ac:dyDescent="0.25">
      <c r="A856" t="s">
        <v>1907</v>
      </c>
      <c r="B856" t="s">
        <v>2929</v>
      </c>
      <c r="C856" t="s">
        <v>2930</v>
      </c>
      <c r="D856" s="5" t="s">
        <v>2898</v>
      </c>
      <c r="E856" s="25" t="s">
        <v>437</v>
      </c>
      <c r="F856" t="s">
        <v>1908</v>
      </c>
      <c r="G856" t="s">
        <v>2931</v>
      </c>
      <c r="H856" s="24" t="s">
        <v>2901</v>
      </c>
    </row>
    <row r="857" spans="1:8" s="3" customFormat="1" x14ac:dyDescent="0.25">
      <c r="A857" t="s">
        <v>1298</v>
      </c>
      <c r="B857" t="s">
        <v>2926</v>
      </c>
      <c r="C857" t="s">
        <v>2927</v>
      </c>
      <c r="D857" s="5" t="s">
        <v>2898</v>
      </c>
      <c r="E857" s="25" t="s">
        <v>911</v>
      </c>
      <c r="F857" t="s">
        <v>1301</v>
      </c>
      <c r="G857" t="s">
        <v>2932</v>
      </c>
      <c r="H857" s="24" t="s">
        <v>2901</v>
      </c>
    </row>
    <row r="858" spans="1:8" s="2" customFormat="1" x14ac:dyDescent="0.25">
      <c r="A858" t="s">
        <v>1914</v>
      </c>
      <c r="B858" t="s">
        <v>2842</v>
      </c>
      <c r="C858" t="s">
        <v>2930</v>
      </c>
      <c r="D858" s="5" t="s">
        <v>2898</v>
      </c>
      <c r="E858" s="25" t="s">
        <v>2366</v>
      </c>
      <c r="F858" t="s">
        <v>1916</v>
      </c>
      <c r="G858" t="s">
        <v>2933</v>
      </c>
      <c r="H858" s="24" t="s">
        <v>2901</v>
      </c>
    </row>
    <row r="859" spans="1:8" s="3" customFormat="1" x14ac:dyDescent="0.25">
      <c r="A859" t="s">
        <v>102</v>
      </c>
      <c r="B859" t="s">
        <v>103</v>
      </c>
      <c r="C859" t="s">
        <v>2934</v>
      </c>
      <c r="D859" s="5" t="s">
        <v>2898</v>
      </c>
      <c r="E859" s="25" t="s">
        <v>2935</v>
      </c>
      <c r="F859" t="s">
        <v>104</v>
      </c>
      <c r="G859" t="s">
        <v>2936</v>
      </c>
      <c r="H859" s="24" t="s">
        <v>2901</v>
      </c>
    </row>
    <row r="860" spans="1:8" s="2" customFormat="1" x14ac:dyDescent="0.25">
      <c r="A860" t="s">
        <v>102</v>
      </c>
      <c r="B860" t="s">
        <v>103</v>
      </c>
      <c r="C860" t="s">
        <v>2937</v>
      </c>
      <c r="D860" s="5" t="s">
        <v>2898</v>
      </c>
      <c r="E860" s="25" t="s">
        <v>2938</v>
      </c>
      <c r="F860" t="s">
        <v>8</v>
      </c>
      <c r="G860" t="s">
        <v>2939</v>
      </c>
      <c r="H860" s="24" t="s">
        <v>2901</v>
      </c>
    </row>
    <row r="861" spans="1:8" s="3" customFormat="1" x14ac:dyDescent="0.25">
      <c r="A861" t="s">
        <v>102</v>
      </c>
      <c r="B861" t="s">
        <v>103</v>
      </c>
      <c r="C861" t="s">
        <v>2940</v>
      </c>
      <c r="D861" s="5" t="s">
        <v>2898</v>
      </c>
      <c r="E861" s="25" t="s">
        <v>2941</v>
      </c>
      <c r="F861" t="s">
        <v>104</v>
      </c>
      <c r="G861" t="s">
        <v>2942</v>
      </c>
      <c r="H861" s="24" t="s">
        <v>2901</v>
      </c>
    </row>
    <row r="862" spans="1:8" s="2" customFormat="1" x14ac:dyDescent="0.25">
      <c r="A862" t="s">
        <v>102</v>
      </c>
      <c r="B862" t="s">
        <v>103</v>
      </c>
      <c r="C862" t="s">
        <v>2943</v>
      </c>
      <c r="D862" s="5" t="s">
        <v>2898</v>
      </c>
      <c r="E862" s="25" t="s">
        <v>2944</v>
      </c>
      <c r="F862" t="s">
        <v>8</v>
      </c>
      <c r="G862" t="s">
        <v>2945</v>
      </c>
      <c r="H862" s="24" t="s">
        <v>2901</v>
      </c>
    </row>
    <row r="863" spans="1:8" s="3" customFormat="1" x14ac:dyDescent="0.25">
      <c r="A863" t="s">
        <v>102</v>
      </c>
      <c r="B863" t="s">
        <v>103</v>
      </c>
      <c r="C863" t="s">
        <v>2946</v>
      </c>
      <c r="D863" s="5" t="s">
        <v>2898</v>
      </c>
      <c r="E863" s="25" t="s">
        <v>2947</v>
      </c>
      <c r="F863" t="s">
        <v>104</v>
      </c>
      <c r="G863" t="s">
        <v>2948</v>
      </c>
      <c r="H863" s="24" t="s">
        <v>2901</v>
      </c>
    </row>
    <row r="864" spans="1:8" s="2" customFormat="1" x14ac:dyDescent="0.25">
      <c r="A864" t="s">
        <v>102</v>
      </c>
      <c r="B864" t="s">
        <v>103</v>
      </c>
      <c r="C864" t="s">
        <v>2949</v>
      </c>
      <c r="D864" s="5" t="s">
        <v>2898</v>
      </c>
      <c r="E864" s="25" t="s">
        <v>1284</v>
      </c>
      <c r="F864" t="s">
        <v>8</v>
      </c>
      <c r="G864" t="s">
        <v>2950</v>
      </c>
      <c r="H864" s="24" t="s">
        <v>2901</v>
      </c>
    </row>
    <row r="865" spans="1:8" s="3" customFormat="1" x14ac:dyDescent="0.25">
      <c r="A865" t="s">
        <v>102</v>
      </c>
      <c r="B865" t="s">
        <v>103</v>
      </c>
      <c r="C865" t="s">
        <v>2951</v>
      </c>
      <c r="D865" s="5" t="s">
        <v>2898</v>
      </c>
      <c r="E865" s="25" t="s">
        <v>2952</v>
      </c>
      <c r="F865" t="s">
        <v>104</v>
      </c>
      <c r="G865" t="s">
        <v>2953</v>
      </c>
      <c r="H865" s="24" t="s">
        <v>2901</v>
      </c>
    </row>
    <row r="866" spans="1:8" s="2" customFormat="1" x14ac:dyDescent="0.25">
      <c r="A866" t="s">
        <v>102</v>
      </c>
      <c r="B866" t="s">
        <v>103</v>
      </c>
      <c r="C866" t="s">
        <v>2954</v>
      </c>
      <c r="D866" s="5" t="s">
        <v>2898</v>
      </c>
      <c r="E866" s="25" t="s">
        <v>2955</v>
      </c>
      <c r="F866" t="s">
        <v>8</v>
      </c>
      <c r="G866" t="s">
        <v>2956</v>
      </c>
      <c r="H866" s="24" t="s">
        <v>2901</v>
      </c>
    </row>
    <row r="867" spans="1:8" s="3" customFormat="1" x14ac:dyDescent="0.25">
      <c r="A867" t="s">
        <v>643</v>
      </c>
      <c r="B867" t="s">
        <v>107</v>
      </c>
      <c r="C867" t="s">
        <v>2957</v>
      </c>
      <c r="D867" s="5" t="s">
        <v>2898</v>
      </c>
      <c r="E867" s="25" t="s">
        <v>2958</v>
      </c>
      <c r="F867" t="s">
        <v>108</v>
      </c>
      <c r="G867" t="s">
        <v>2959</v>
      </c>
      <c r="H867" s="24" t="s">
        <v>2901</v>
      </c>
    </row>
    <row r="868" spans="1:8" s="2" customFormat="1" x14ac:dyDescent="0.25">
      <c r="A868" t="s">
        <v>106</v>
      </c>
      <c r="B868" t="s">
        <v>107</v>
      </c>
      <c r="C868" t="s">
        <v>2960</v>
      </c>
      <c r="D868" s="5" t="s">
        <v>2898</v>
      </c>
      <c r="E868" s="25" t="s">
        <v>2961</v>
      </c>
      <c r="F868" t="s">
        <v>108</v>
      </c>
      <c r="G868" t="s">
        <v>2962</v>
      </c>
      <c r="H868" s="24" t="s">
        <v>2901</v>
      </c>
    </row>
    <row r="869" spans="1:8" s="3" customFormat="1" x14ac:dyDescent="0.25">
      <c r="A869" t="s">
        <v>116</v>
      </c>
      <c r="B869" t="s">
        <v>117</v>
      </c>
      <c r="C869" t="s">
        <v>2963</v>
      </c>
      <c r="D869" s="5" t="s">
        <v>2898</v>
      </c>
      <c r="E869" s="25" t="s">
        <v>2964</v>
      </c>
      <c r="F869" t="s">
        <v>118</v>
      </c>
      <c r="G869" t="s">
        <v>2965</v>
      </c>
      <c r="H869" s="24" t="s">
        <v>2901</v>
      </c>
    </row>
    <row r="870" spans="1:8" s="2" customFormat="1" x14ac:dyDescent="0.25">
      <c r="A870" t="s">
        <v>102</v>
      </c>
      <c r="B870" t="s">
        <v>103</v>
      </c>
      <c r="C870" t="s">
        <v>2966</v>
      </c>
      <c r="D870" s="5" t="s">
        <v>2898</v>
      </c>
      <c r="E870" s="25" t="s">
        <v>2967</v>
      </c>
      <c r="F870" t="s">
        <v>104</v>
      </c>
      <c r="G870" t="s">
        <v>2968</v>
      </c>
      <c r="H870" s="24" t="s">
        <v>2901</v>
      </c>
    </row>
    <row r="871" spans="1:8" s="3" customFormat="1" x14ac:dyDescent="0.25">
      <c r="A871" t="s">
        <v>102</v>
      </c>
      <c r="B871" t="s">
        <v>103</v>
      </c>
      <c r="C871" t="s">
        <v>2969</v>
      </c>
      <c r="D871" s="5" t="s">
        <v>2898</v>
      </c>
      <c r="E871" s="25" t="s">
        <v>2970</v>
      </c>
      <c r="F871" t="s">
        <v>8</v>
      </c>
      <c r="G871" t="s">
        <v>2971</v>
      </c>
      <c r="H871" s="24" t="s">
        <v>2901</v>
      </c>
    </row>
    <row r="872" spans="1:8" s="2" customFormat="1" x14ac:dyDescent="0.25">
      <c r="A872" t="s">
        <v>120</v>
      </c>
      <c r="B872" t="s">
        <v>410</v>
      </c>
      <c r="C872" t="s">
        <v>2972</v>
      </c>
      <c r="D872" s="5" t="s">
        <v>2898</v>
      </c>
      <c r="E872" s="25" t="s">
        <v>2973</v>
      </c>
      <c r="F872" t="s">
        <v>121</v>
      </c>
      <c r="G872" t="s">
        <v>2974</v>
      </c>
      <c r="H872" s="24" t="s">
        <v>2901</v>
      </c>
    </row>
    <row r="873" spans="1:8" s="3" customFormat="1" x14ac:dyDescent="0.25">
      <c r="A873" t="s">
        <v>102</v>
      </c>
      <c r="B873" t="s">
        <v>103</v>
      </c>
      <c r="C873" t="s">
        <v>2975</v>
      </c>
      <c r="D873" s="5" t="s">
        <v>2898</v>
      </c>
      <c r="E873" s="25" t="s">
        <v>2976</v>
      </c>
      <c r="F873" t="s">
        <v>104</v>
      </c>
      <c r="G873" t="s">
        <v>2977</v>
      </c>
      <c r="H873" s="24" t="s">
        <v>2901</v>
      </c>
    </row>
    <row r="874" spans="1:8" s="2" customFormat="1" x14ac:dyDescent="0.25">
      <c r="A874" t="s">
        <v>102</v>
      </c>
      <c r="B874" t="s">
        <v>103</v>
      </c>
      <c r="C874" t="s">
        <v>2978</v>
      </c>
      <c r="D874" s="5" t="s">
        <v>2898</v>
      </c>
      <c r="E874" s="25" t="s">
        <v>2979</v>
      </c>
      <c r="F874" t="s">
        <v>8</v>
      </c>
      <c r="G874" t="s">
        <v>2980</v>
      </c>
      <c r="H874" s="24" t="s">
        <v>2901</v>
      </c>
    </row>
    <row r="875" spans="1:8" s="3" customFormat="1" x14ac:dyDescent="0.25">
      <c r="A875" t="s">
        <v>102</v>
      </c>
      <c r="B875" t="s">
        <v>103</v>
      </c>
      <c r="C875" t="s">
        <v>2975</v>
      </c>
      <c r="D875" s="5" t="s">
        <v>2898</v>
      </c>
      <c r="E875" s="25" t="s">
        <v>2981</v>
      </c>
      <c r="F875" t="s">
        <v>104</v>
      </c>
      <c r="G875" t="s">
        <v>2982</v>
      </c>
      <c r="H875" s="24" t="s">
        <v>2901</v>
      </c>
    </row>
    <row r="876" spans="1:8" s="2" customFormat="1" x14ac:dyDescent="0.25">
      <c r="A876" t="s">
        <v>102</v>
      </c>
      <c r="B876" t="s">
        <v>103</v>
      </c>
      <c r="C876" t="s">
        <v>2978</v>
      </c>
      <c r="D876" s="5" t="s">
        <v>2898</v>
      </c>
      <c r="E876" s="25" t="s">
        <v>2983</v>
      </c>
      <c r="F876" t="s">
        <v>8</v>
      </c>
      <c r="G876" t="s">
        <v>2984</v>
      </c>
      <c r="H876" s="24" t="s">
        <v>2901</v>
      </c>
    </row>
    <row r="877" spans="1:8" s="3" customFormat="1" x14ac:dyDescent="0.25">
      <c r="A877" t="s">
        <v>113</v>
      </c>
      <c r="B877" t="s">
        <v>105</v>
      </c>
      <c r="C877" t="s">
        <v>2985</v>
      </c>
      <c r="D877" s="5" t="s">
        <v>2898</v>
      </c>
      <c r="E877" s="25" t="s">
        <v>2986</v>
      </c>
      <c r="F877" t="s">
        <v>114</v>
      </c>
      <c r="G877" t="s">
        <v>2987</v>
      </c>
      <c r="H877" s="24" t="s">
        <v>2901</v>
      </c>
    </row>
    <row r="878" spans="1:8" s="2" customFormat="1" x14ac:dyDescent="0.25">
      <c r="A878" t="s">
        <v>122</v>
      </c>
      <c r="B878" t="s">
        <v>107</v>
      </c>
      <c r="C878" t="s">
        <v>2988</v>
      </c>
      <c r="D878" s="5" t="s">
        <v>2898</v>
      </c>
      <c r="E878" s="25" t="s">
        <v>2989</v>
      </c>
      <c r="F878" t="s">
        <v>123</v>
      </c>
      <c r="G878" t="s">
        <v>2990</v>
      </c>
      <c r="H878" s="24" t="s">
        <v>2901</v>
      </c>
    </row>
    <row r="879" spans="1:8" s="3" customFormat="1" x14ac:dyDescent="0.25">
      <c r="A879" t="s">
        <v>11</v>
      </c>
      <c r="B879" t="s">
        <v>12</v>
      </c>
      <c r="C879" t="s">
        <v>2991</v>
      </c>
      <c r="D879" s="5" t="s">
        <v>2898</v>
      </c>
      <c r="E879" s="25" t="s">
        <v>124</v>
      </c>
      <c r="F879" t="s">
        <v>8</v>
      </c>
      <c r="G879" t="s">
        <v>2992</v>
      </c>
      <c r="H879" s="24" t="s">
        <v>2901</v>
      </c>
    </row>
    <row r="880" spans="1:8" s="2" customFormat="1" x14ac:dyDescent="0.25">
      <c r="A880" t="s">
        <v>574</v>
      </c>
      <c r="B880" t="s">
        <v>575</v>
      </c>
      <c r="C880" t="s">
        <v>2993</v>
      </c>
      <c r="D880" s="5" t="s">
        <v>2898</v>
      </c>
      <c r="E880" s="25" t="s">
        <v>2994</v>
      </c>
      <c r="F880" t="s">
        <v>578</v>
      </c>
      <c r="G880" t="s">
        <v>2995</v>
      </c>
      <c r="H880" s="24" t="s">
        <v>2901</v>
      </c>
    </row>
    <row r="881" spans="1:8" s="3" customFormat="1" x14ac:dyDescent="0.25">
      <c r="A881" t="s">
        <v>102</v>
      </c>
      <c r="B881" t="s">
        <v>103</v>
      </c>
      <c r="C881" t="s">
        <v>2996</v>
      </c>
      <c r="D881" s="5" t="s">
        <v>2898</v>
      </c>
      <c r="E881" s="25" t="s">
        <v>2997</v>
      </c>
      <c r="F881" t="s">
        <v>104</v>
      </c>
      <c r="G881" t="s">
        <v>2998</v>
      </c>
      <c r="H881" s="24" t="s">
        <v>2901</v>
      </c>
    </row>
    <row r="882" spans="1:8" s="2" customFormat="1" x14ac:dyDescent="0.25">
      <c r="A882" t="s">
        <v>102</v>
      </c>
      <c r="B882" t="s">
        <v>103</v>
      </c>
      <c r="C882" t="s">
        <v>2999</v>
      </c>
      <c r="D882" s="5" t="s">
        <v>2898</v>
      </c>
      <c r="E882" s="25" t="s">
        <v>3000</v>
      </c>
      <c r="F882" t="s">
        <v>8</v>
      </c>
      <c r="G882" t="s">
        <v>3001</v>
      </c>
      <c r="H882" s="24" t="s">
        <v>2901</v>
      </c>
    </row>
    <row r="883" spans="1:8" s="3" customFormat="1" x14ac:dyDescent="0.25">
      <c r="A883" t="s">
        <v>14</v>
      </c>
      <c r="B883" t="s">
        <v>15</v>
      </c>
      <c r="C883" t="s">
        <v>3002</v>
      </c>
      <c r="D883" s="5" t="s">
        <v>2898</v>
      </c>
      <c r="E883" s="25" t="s">
        <v>3003</v>
      </c>
      <c r="F883" t="s">
        <v>13</v>
      </c>
      <c r="G883" t="s">
        <v>3004</v>
      </c>
      <c r="H883" s="24" t="s">
        <v>2901</v>
      </c>
    </row>
    <row r="884" spans="1:8" s="2" customFormat="1" x14ac:dyDescent="0.25">
      <c r="A884" t="s">
        <v>574</v>
      </c>
      <c r="B884" t="s">
        <v>575</v>
      </c>
      <c r="C884" t="s">
        <v>3005</v>
      </c>
      <c r="D884" s="5" t="s">
        <v>2898</v>
      </c>
      <c r="E884" s="25" t="s">
        <v>1589</v>
      </c>
      <c r="F884" t="s">
        <v>578</v>
      </c>
      <c r="G884" t="s">
        <v>3006</v>
      </c>
      <c r="H884" s="24" t="s">
        <v>2901</v>
      </c>
    </row>
    <row r="885" spans="1:8" s="3" customFormat="1" x14ac:dyDescent="0.25">
      <c r="A885" t="s">
        <v>102</v>
      </c>
      <c r="B885" t="s">
        <v>103</v>
      </c>
      <c r="C885" t="s">
        <v>3007</v>
      </c>
      <c r="D885" s="5" t="s">
        <v>2898</v>
      </c>
      <c r="E885" s="25" t="s">
        <v>3008</v>
      </c>
      <c r="F885" t="s">
        <v>104</v>
      </c>
      <c r="G885" t="s">
        <v>3009</v>
      </c>
      <c r="H885" s="24" t="s">
        <v>2901</v>
      </c>
    </row>
    <row r="886" spans="1:8" s="2" customFormat="1" x14ac:dyDescent="0.25">
      <c r="A886" t="s">
        <v>102</v>
      </c>
      <c r="B886" t="s">
        <v>103</v>
      </c>
      <c r="C886" t="s">
        <v>3010</v>
      </c>
      <c r="D886" s="5" t="s">
        <v>2898</v>
      </c>
      <c r="E886" s="25" t="s">
        <v>3011</v>
      </c>
      <c r="F886" t="s">
        <v>8</v>
      </c>
      <c r="G886" t="s">
        <v>3012</v>
      </c>
      <c r="H886" s="24" t="s">
        <v>2901</v>
      </c>
    </row>
    <row r="887" spans="1:8" s="3" customFormat="1" x14ac:dyDescent="0.25">
      <c r="A887" t="s">
        <v>102</v>
      </c>
      <c r="B887" t="s">
        <v>103</v>
      </c>
      <c r="C887" t="s">
        <v>3013</v>
      </c>
      <c r="D887" s="5" t="s">
        <v>3014</v>
      </c>
      <c r="E887" s="25" t="s">
        <v>3015</v>
      </c>
      <c r="F887" t="s">
        <v>104</v>
      </c>
      <c r="G887" t="s">
        <v>3016</v>
      </c>
      <c r="H887" s="24" t="s">
        <v>3017</v>
      </c>
    </row>
    <row r="888" spans="1:8" s="2" customFormat="1" x14ac:dyDescent="0.25">
      <c r="A888" t="s">
        <v>102</v>
      </c>
      <c r="B888" t="s">
        <v>103</v>
      </c>
      <c r="C888" t="s">
        <v>3018</v>
      </c>
      <c r="D888" s="5" t="s">
        <v>3014</v>
      </c>
      <c r="E888" s="25" t="s">
        <v>3019</v>
      </c>
      <c r="F888" t="s">
        <v>8</v>
      </c>
      <c r="G888" t="s">
        <v>3020</v>
      </c>
      <c r="H888" s="24" t="s">
        <v>3017</v>
      </c>
    </row>
    <row r="889" spans="1:8" s="3" customFormat="1" x14ac:dyDescent="0.25">
      <c r="A889" t="s">
        <v>110</v>
      </c>
      <c r="B889" t="s">
        <v>111</v>
      </c>
      <c r="C889" t="s">
        <v>3021</v>
      </c>
      <c r="D889" s="5" t="s">
        <v>3014</v>
      </c>
      <c r="E889" s="25" t="s">
        <v>3022</v>
      </c>
      <c r="F889" t="s">
        <v>112</v>
      </c>
      <c r="G889" t="s">
        <v>3023</v>
      </c>
      <c r="H889" s="24" t="s">
        <v>3017</v>
      </c>
    </row>
    <row r="890" spans="1:8" s="2" customFormat="1" x14ac:dyDescent="0.25">
      <c r="A890" t="s">
        <v>110</v>
      </c>
      <c r="B890" t="s">
        <v>115</v>
      </c>
      <c r="C890" t="s">
        <v>3024</v>
      </c>
      <c r="D890" s="5" t="s">
        <v>3014</v>
      </c>
      <c r="E890" s="25" t="s">
        <v>3025</v>
      </c>
      <c r="F890" t="s">
        <v>112</v>
      </c>
      <c r="G890" t="s">
        <v>3026</v>
      </c>
      <c r="H890" s="24" t="s">
        <v>3017</v>
      </c>
    </row>
    <row r="891" spans="1:8" s="3" customFormat="1" x14ac:dyDescent="0.25">
      <c r="A891" t="s">
        <v>11</v>
      </c>
      <c r="B891" t="s">
        <v>12</v>
      </c>
      <c r="C891" t="s">
        <v>3027</v>
      </c>
      <c r="D891" s="5" t="s">
        <v>3014</v>
      </c>
      <c r="E891" s="25" t="s">
        <v>2720</v>
      </c>
      <c r="F891" t="s">
        <v>104</v>
      </c>
      <c r="G891" t="s">
        <v>3028</v>
      </c>
      <c r="H891" s="24" t="s">
        <v>3017</v>
      </c>
    </row>
    <row r="892" spans="1:8" s="2" customFormat="1" x14ac:dyDescent="0.25">
      <c r="A892" t="s">
        <v>102</v>
      </c>
      <c r="B892" t="s">
        <v>103</v>
      </c>
      <c r="C892" t="s">
        <v>3029</v>
      </c>
      <c r="D892" s="5" t="s">
        <v>3014</v>
      </c>
      <c r="E892" s="25" t="s">
        <v>3030</v>
      </c>
      <c r="F892" t="s">
        <v>104</v>
      </c>
      <c r="G892" t="s">
        <v>3031</v>
      </c>
      <c r="H892" s="24" t="s">
        <v>3017</v>
      </c>
    </row>
    <row r="893" spans="1:8" s="3" customFormat="1" x14ac:dyDescent="0.25">
      <c r="A893" t="s">
        <v>102</v>
      </c>
      <c r="B893" t="s">
        <v>103</v>
      </c>
      <c r="C893" t="s">
        <v>3032</v>
      </c>
      <c r="D893" s="5" t="s">
        <v>3014</v>
      </c>
      <c r="E893" s="25" t="s">
        <v>3033</v>
      </c>
      <c r="F893" t="s">
        <v>8</v>
      </c>
      <c r="G893" t="s">
        <v>3034</v>
      </c>
      <c r="H893" s="24" t="s">
        <v>3017</v>
      </c>
    </row>
    <row r="894" spans="1:8" s="2" customFormat="1" x14ac:dyDescent="0.25">
      <c r="A894" t="s">
        <v>120</v>
      </c>
      <c r="B894" t="s">
        <v>410</v>
      </c>
      <c r="C894" t="s">
        <v>3035</v>
      </c>
      <c r="D894" s="5" t="s">
        <v>3014</v>
      </c>
      <c r="E894" s="25" t="s">
        <v>3036</v>
      </c>
      <c r="F894" t="s">
        <v>121</v>
      </c>
      <c r="G894" t="s">
        <v>3037</v>
      </c>
      <c r="H894" s="24" t="s">
        <v>3017</v>
      </c>
    </row>
    <row r="895" spans="1:8" s="3" customFormat="1" x14ac:dyDescent="0.25">
      <c r="A895" t="s">
        <v>125</v>
      </c>
      <c r="B895" t="s">
        <v>814</v>
      </c>
      <c r="C895" t="s">
        <v>3038</v>
      </c>
      <c r="D895" s="5" t="s">
        <v>3014</v>
      </c>
      <c r="E895" s="25" t="s">
        <v>3039</v>
      </c>
      <c r="F895" t="s">
        <v>126</v>
      </c>
      <c r="G895" t="s">
        <v>3040</v>
      </c>
      <c r="H895" s="24" t="s">
        <v>3017</v>
      </c>
    </row>
    <row r="896" spans="1:8" s="2" customFormat="1" x14ac:dyDescent="0.25">
      <c r="A896" t="s">
        <v>102</v>
      </c>
      <c r="B896" t="s">
        <v>103</v>
      </c>
      <c r="C896" t="s">
        <v>3041</v>
      </c>
      <c r="D896" s="5" t="s">
        <v>3014</v>
      </c>
      <c r="E896" s="25" t="s">
        <v>3042</v>
      </c>
      <c r="F896" t="s">
        <v>104</v>
      </c>
      <c r="G896" t="s">
        <v>3043</v>
      </c>
      <c r="H896" s="24" t="s">
        <v>3017</v>
      </c>
    </row>
    <row r="897" spans="1:8" s="3" customFormat="1" x14ac:dyDescent="0.25">
      <c r="A897" t="s">
        <v>102</v>
      </c>
      <c r="B897" t="s">
        <v>103</v>
      </c>
      <c r="C897" t="s">
        <v>3044</v>
      </c>
      <c r="D897" s="5" t="s">
        <v>3014</v>
      </c>
      <c r="E897" s="25" t="s">
        <v>3045</v>
      </c>
      <c r="F897" t="s">
        <v>8</v>
      </c>
      <c r="G897" t="s">
        <v>3046</v>
      </c>
      <c r="H897" s="24" t="s">
        <v>3017</v>
      </c>
    </row>
    <row r="898" spans="1:8" s="2" customFormat="1" x14ac:dyDescent="0.25">
      <c r="A898" t="s">
        <v>125</v>
      </c>
      <c r="B898" t="s">
        <v>814</v>
      </c>
      <c r="C898" t="s">
        <v>3047</v>
      </c>
      <c r="D898" s="5" t="s">
        <v>3014</v>
      </c>
      <c r="E898" s="25" t="s">
        <v>3048</v>
      </c>
      <c r="F898" t="s">
        <v>127</v>
      </c>
      <c r="G898" t="s">
        <v>3049</v>
      </c>
      <c r="H898" s="24" t="s">
        <v>3017</v>
      </c>
    </row>
    <row r="899" spans="1:8" s="3" customFormat="1" x14ac:dyDescent="0.25">
      <c r="A899" t="s">
        <v>102</v>
      </c>
      <c r="B899" t="s">
        <v>103</v>
      </c>
      <c r="C899" t="s">
        <v>3050</v>
      </c>
      <c r="D899" s="5" t="s">
        <v>3014</v>
      </c>
      <c r="E899" s="25" t="s">
        <v>3051</v>
      </c>
      <c r="F899" t="s">
        <v>104</v>
      </c>
      <c r="G899" t="s">
        <v>3052</v>
      </c>
      <c r="H899" s="24" t="s">
        <v>3017</v>
      </c>
    </row>
    <row r="900" spans="1:8" s="2" customFormat="1" x14ac:dyDescent="0.25">
      <c r="A900" t="s">
        <v>102</v>
      </c>
      <c r="B900" t="s">
        <v>103</v>
      </c>
      <c r="C900" t="s">
        <v>3053</v>
      </c>
      <c r="D900" s="5" t="s">
        <v>3014</v>
      </c>
      <c r="E900" s="25" t="s">
        <v>3054</v>
      </c>
      <c r="F900" t="s">
        <v>8</v>
      </c>
      <c r="G900" t="s">
        <v>3055</v>
      </c>
      <c r="H900" s="24" t="s">
        <v>3017</v>
      </c>
    </row>
    <row r="901" spans="1:8" s="3" customFormat="1" x14ac:dyDescent="0.25">
      <c r="A901" t="s">
        <v>122</v>
      </c>
      <c r="B901" t="s">
        <v>107</v>
      </c>
      <c r="C901" t="s">
        <v>3056</v>
      </c>
      <c r="D901" s="5" t="s">
        <v>3014</v>
      </c>
      <c r="E901" s="25" t="s">
        <v>3057</v>
      </c>
      <c r="F901" t="s">
        <v>123</v>
      </c>
      <c r="G901" t="s">
        <v>3058</v>
      </c>
      <c r="H901" s="24" t="s">
        <v>3017</v>
      </c>
    </row>
    <row r="902" spans="1:8" s="2" customFormat="1" x14ac:dyDescent="0.25">
      <c r="A902" t="s">
        <v>102</v>
      </c>
      <c r="B902" t="s">
        <v>103</v>
      </c>
      <c r="C902" t="s">
        <v>3059</v>
      </c>
      <c r="D902" s="5" t="s">
        <v>3014</v>
      </c>
      <c r="E902" s="25" t="s">
        <v>3060</v>
      </c>
      <c r="F902" t="s">
        <v>104</v>
      </c>
      <c r="G902" t="s">
        <v>3061</v>
      </c>
      <c r="H902" s="24" t="s">
        <v>3017</v>
      </c>
    </row>
    <row r="903" spans="1:8" s="3" customFormat="1" x14ac:dyDescent="0.25">
      <c r="A903" t="s">
        <v>102</v>
      </c>
      <c r="B903" t="s">
        <v>103</v>
      </c>
      <c r="C903" t="s">
        <v>3062</v>
      </c>
      <c r="D903" s="5" t="s">
        <v>3014</v>
      </c>
      <c r="E903" s="25" t="s">
        <v>3063</v>
      </c>
      <c r="F903" t="s">
        <v>8</v>
      </c>
      <c r="G903" t="s">
        <v>3064</v>
      </c>
      <c r="H903" s="24" t="s">
        <v>3017</v>
      </c>
    </row>
    <row r="904" spans="1:8" s="2" customFormat="1" x14ac:dyDescent="0.25">
      <c r="A904" t="s">
        <v>102</v>
      </c>
      <c r="B904" t="s">
        <v>103</v>
      </c>
      <c r="C904" t="s">
        <v>3065</v>
      </c>
      <c r="D904" s="5" t="s">
        <v>3014</v>
      </c>
      <c r="E904" s="25" t="s">
        <v>3066</v>
      </c>
      <c r="F904" t="s">
        <v>104</v>
      </c>
      <c r="G904" t="s">
        <v>3067</v>
      </c>
      <c r="H904" s="24" t="s">
        <v>3017</v>
      </c>
    </row>
    <row r="905" spans="1:8" s="3" customFormat="1" x14ac:dyDescent="0.25">
      <c r="A905" t="s">
        <v>102</v>
      </c>
      <c r="B905" t="s">
        <v>103</v>
      </c>
      <c r="C905" t="s">
        <v>3068</v>
      </c>
      <c r="D905" s="5" t="s">
        <v>3014</v>
      </c>
      <c r="E905" s="25" t="s">
        <v>3069</v>
      </c>
      <c r="F905" t="s">
        <v>8</v>
      </c>
      <c r="G905" t="s">
        <v>3070</v>
      </c>
      <c r="H905" s="24" t="s">
        <v>3017</v>
      </c>
    </row>
    <row r="906" spans="1:8" s="2" customFormat="1" x14ac:dyDescent="0.25">
      <c r="A906" t="s">
        <v>102</v>
      </c>
      <c r="B906" t="s">
        <v>103</v>
      </c>
      <c r="C906" t="s">
        <v>3071</v>
      </c>
      <c r="D906" s="5" t="s">
        <v>3014</v>
      </c>
      <c r="E906" s="25" t="s">
        <v>3072</v>
      </c>
      <c r="F906" t="s">
        <v>104</v>
      </c>
      <c r="G906" t="s">
        <v>3073</v>
      </c>
      <c r="H906" s="24" t="s">
        <v>3017</v>
      </c>
    </row>
    <row r="907" spans="1:8" s="3" customFormat="1" x14ac:dyDescent="0.25">
      <c r="A907" t="s">
        <v>102</v>
      </c>
      <c r="B907" t="s">
        <v>103</v>
      </c>
      <c r="C907" t="s">
        <v>3074</v>
      </c>
      <c r="D907" s="5" t="s">
        <v>3014</v>
      </c>
      <c r="E907" s="25" t="s">
        <v>3075</v>
      </c>
      <c r="F907" t="s">
        <v>8</v>
      </c>
      <c r="G907" t="s">
        <v>3076</v>
      </c>
      <c r="H907" s="24" t="s">
        <v>3017</v>
      </c>
    </row>
    <row r="908" spans="1:8" s="2" customFormat="1" x14ac:dyDescent="0.25">
      <c r="A908" t="s">
        <v>102</v>
      </c>
      <c r="B908" t="s">
        <v>103</v>
      </c>
      <c r="C908" t="s">
        <v>3077</v>
      </c>
      <c r="D908" s="5" t="s">
        <v>3014</v>
      </c>
      <c r="E908" s="25" t="s">
        <v>3078</v>
      </c>
      <c r="F908" t="s">
        <v>104</v>
      </c>
      <c r="G908" t="s">
        <v>3079</v>
      </c>
      <c r="H908" s="24" t="s">
        <v>3017</v>
      </c>
    </row>
    <row r="909" spans="1:8" s="3" customFormat="1" x14ac:dyDescent="0.25">
      <c r="A909" t="s">
        <v>102</v>
      </c>
      <c r="B909" t="s">
        <v>103</v>
      </c>
      <c r="C909" t="s">
        <v>3080</v>
      </c>
      <c r="D909" s="5" t="s">
        <v>3014</v>
      </c>
      <c r="E909" s="25" t="s">
        <v>3081</v>
      </c>
      <c r="F909" t="s">
        <v>8</v>
      </c>
      <c r="G909" t="s">
        <v>3082</v>
      </c>
      <c r="H909" s="24" t="s">
        <v>3017</v>
      </c>
    </row>
    <row r="910" spans="1:8" s="2" customFormat="1" x14ac:dyDescent="0.25">
      <c r="A910" t="s">
        <v>122</v>
      </c>
      <c r="B910" t="s">
        <v>107</v>
      </c>
      <c r="C910" t="s">
        <v>3083</v>
      </c>
      <c r="D910" s="5" t="s">
        <v>3014</v>
      </c>
      <c r="E910" s="25" t="s">
        <v>3084</v>
      </c>
      <c r="F910" t="s">
        <v>123</v>
      </c>
      <c r="G910" t="s">
        <v>3085</v>
      </c>
      <c r="H910" s="24" t="s">
        <v>3017</v>
      </c>
    </row>
    <row r="911" spans="1:8" s="3" customFormat="1" x14ac:dyDescent="0.25">
      <c r="A911" t="s">
        <v>102</v>
      </c>
      <c r="B911" t="s">
        <v>103</v>
      </c>
      <c r="C911" t="s">
        <v>3086</v>
      </c>
      <c r="D911" s="5" t="s">
        <v>3014</v>
      </c>
      <c r="E911" s="25" t="s">
        <v>3087</v>
      </c>
      <c r="F911" t="s">
        <v>104</v>
      </c>
      <c r="G911" t="s">
        <v>3088</v>
      </c>
      <c r="H911" s="24" t="s">
        <v>3017</v>
      </c>
    </row>
    <row r="912" spans="1:8" s="2" customFormat="1" x14ac:dyDescent="0.25">
      <c r="A912" t="s">
        <v>102</v>
      </c>
      <c r="B912" t="s">
        <v>103</v>
      </c>
      <c r="C912" t="s">
        <v>3089</v>
      </c>
      <c r="D912" s="5" t="s">
        <v>3014</v>
      </c>
      <c r="E912" s="25" t="s">
        <v>3090</v>
      </c>
      <c r="F912" t="s">
        <v>8</v>
      </c>
      <c r="G912" t="s">
        <v>3091</v>
      </c>
      <c r="H912" s="24" t="s">
        <v>3017</v>
      </c>
    </row>
    <row r="913" spans="1:8" s="3" customFormat="1" x14ac:dyDescent="0.25">
      <c r="A913" t="s">
        <v>11</v>
      </c>
      <c r="B913" t="s">
        <v>12</v>
      </c>
      <c r="C913" t="s">
        <v>3092</v>
      </c>
      <c r="D913" s="5" t="s">
        <v>3014</v>
      </c>
      <c r="E913" s="25" t="s">
        <v>3093</v>
      </c>
      <c r="F913" t="s">
        <v>8</v>
      </c>
      <c r="G913" t="s">
        <v>3094</v>
      </c>
      <c r="H913" s="24" t="s">
        <v>3017</v>
      </c>
    </row>
    <row r="914" spans="1:8" s="2" customFormat="1" x14ac:dyDescent="0.25">
      <c r="A914" t="s">
        <v>1350</v>
      </c>
      <c r="B914" t="s">
        <v>107</v>
      </c>
      <c r="C914" t="s">
        <v>3095</v>
      </c>
      <c r="D914" s="5" t="s">
        <v>3014</v>
      </c>
      <c r="E914" s="25" t="s">
        <v>3096</v>
      </c>
      <c r="F914" t="s">
        <v>1353</v>
      </c>
      <c r="G914" t="s">
        <v>3097</v>
      </c>
      <c r="H914" s="24" t="s">
        <v>3017</v>
      </c>
    </row>
    <row r="915" spans="1:8" s="3" customFormat="1" x14ac:dyDescent="0.25">
      <c r="A915" t="s">
        <v>102</v>
      </c>
      <c r="B915" t="s">
        <v>103</v>
      </c>
      <c r="C915" t="s">
        <v>3098</v>
      </c>
      <c r="D915" s="5" t="s">
        <v>3099</v>
      </c>
      <c r="E915" s="25" t="s">
        <v>3100</v>
      </c>
      <c r="F915" t="s">
        <v>104</v>
      </c>
      <c r="G915" t="s">
        <v>3101</v>
      </c>
      <c r="H915" s="24" t="s">
        <v>3102</v>
      </c>
    </row>
    <row r="916" spans="1:8" s="2" customFormat="1" x14ac:dyDescent="0.25">
      <c r="A916" t="s">
        <v>102</v>
      </c>
      <c r="B916" t="s">
        <v>103</v>
      </c>
      <c r="C916" t="s">
        <v>3103</v>
      </c>
      <c r="D916" s="5" t="s">
        <v>3099</v>
      </c>
      <c r="E916" s="25" t="s">
        <v>3104</v>
      </c>
      <c r="F916" t="s">
        <v>8</v>
      </c>
      <c r="G916" t="s">
        <v>3105</v>
      </c>
      <c r="H916" s="24" t="s">
        <v>3102</v>
      </c>
    </row>
    <row r="917" spans="1:8" s="3" customFormat="1" x14ac:dyDescent="0.25">
      <c r="A917" t="s">
        <v>110</v>
      </c>
      <c r="B917" t="s">
        <v>111</v>
      </c>
      <c r="C917" t="s">
        <v>3106</v>
      </c>
      <c r="D917" s="5" t="s">
        <v>3099</v>
      </c>
      <c r="E917" s="25" t="s">
        <v>3107</v>
      </c>
      <c r="F917" t="s">
        <v>112</v>
      </c>
      <c r="G917" t="s">
        <v>3108</v>
      </c>
      <c r="H917" s="24" t="s">
        <v>3102</v>
      </c>
    </row>
    <row r="918" spans="1:8" s="2" customFormat="1" x14ac:dyDescent="0.25">
      <c r="A918" t="s">
        <v>110</v>
      </c>
      <c r="B918" t="s">
        <v>115</v>
      </c>
      <c r="C918" t="s">
        <v>3109</v>
      </c>
      <c r="D918" s="5" t="s">
        <v>3099</v>
      </c>
      <c r="E918" s="25" t="s">
        <v>2819</v>
      </c>
      <c r="F918" t="s">
        <v>112</v>
      </c>
      <c r="G918" t="s">
        <v>3110</v>
      </c>
      <c r="H918" s="24" t="s">
        <v>3102</v>
      </c>
    </row>
    <row r="919" spans="1:8" s="3" customFormat="1" x14ac:dyDescent="0.25">
      <c r="A919" t="s">
        <v>120</v>
      </c>
      <c r="B919" t="s">
        <v>410</v>
      </c>
      <c r="C919" t="s">
        <v>3111</v>
      </c>
      <c r="D919" s="5" t="s">
        <v>3099</v>
      </c>
      <c r="E919" s="25" t="s">
        <v>3112</v>
      </c>
      <c r="F919" t="s">
        <v>121</v>
      </c>
      <c r="G919" t="s">
        <v>3113</v>
      </c>
      <c r="H919" s="24" t="s">
        <v>3102</v>
      </c>
    </row>
    <row r="920" spans="1:8" s="2" customFormat="1" x14ac:dyDescent="0.25">
      <c r="A920" t="s">
        <v>11</v>
      </c>
      <c r="B920" t="s">
        <v>12</v>
      </c>
      <c r="C920" t="s">
        <v>3114</v>
      </c>
      <c r="D920" s="5" t="s">
        <v>3099</v>
      </c>
      <c r="E920" s="25" t="s">
        <v>2720</v>
      </c>
      <c r="F920" t="s">
        <v>104</v>
      </c>
      <c r="G920" t="s">
        <v>3115</v>
      </c>
      <c r="H920" s="24" t="s">
        <v>3102</v>
      </c>
    </row>
    <row r="921" spans="1:8" s="3" customFormat="1" x14ac:dyDescent="0.25">
      <c r="A921" t="s">
        <v>116</v>
      </c>
      <c r="B921" t="s">
        <v>117</v>
      </c>
      <c r="C921" t="s">
        <v>3116</v>
      </c>
      <c r="D921" s="5" t="s">
        <v>3099</v>
      </c>
      <c r="E921" s="25" t="s">
        <v>3117</v>
      </c>
      <c r="F921" t="s">
        <v>118</v>
      </c>
      <c r="G921" t="s">
        <v>3118</v>
      </c>
      <c r="H921" s="24" t="s">
        <v>3102</v>
      </c>
    </row>
    <row r="922" spans="1:8" s="2" customFormat="1" x14ac:dyDescent="0.25">
      <c r="A922" t="s">
        <v>574</v>
      </c>
      <c r="B922" t="s">
        <v>575</v>
      </c>
      <c r="C922" t="s">
        <v>3119</v>
      </c>
      <c r="D922" s="5" t="s">
        <v>3099</v>
      </c>
      <c r="E922" s="25" t="s">
        <v>3120</v>
      </c>
      <c r="F922" t="s">
        <v>578</v>
      </c>
      <c r="G922" t="s">
        <v>3121</v>
      </c>
      <c r="H922" s="24" t="s">
        <v>3102</v>
      </c>
    </row>
    <row r="923" spans="1:8" s="3" customFormat="1" x14ac:dyDescent="0.25">
      <c r="A923" t="s">
        <v>120</v>
      </c>
      <c r="B923" t="s">
        <v>410</v>
      </c>
      <c r="C923" t="s">
        <v>3111</v>
      </c>
      <c r="D923" s="5" t="s">
        <v>3099</v>
      </c>
      <c r="E923" s="25" t="s">
        <v>3122</v>
      </c>
      <c r="F923" t="s">
        <v>121</v>
      </c>
      <c r="G923" t="s">
        <v>3123</v>
      </c>
      <c r="H923" s="24" t="s">
        <v>3102</v>
      </c>
    </row>
    <row r="924" spans="1:8" s="2" customFormat="1" x14ac:dyDescent="0.25">
      <c r="A924" t="s">
        <v>120</v>
      </c>
      <c r="B924" t="s">
        <v>410</v>
      </c>
      <c r="C924" t="s">
        <v>3124</v>
      </c>
      <c r="D924" s="5" t="s">
        <v>3099</v>
      </c>
      <c r="E924" s="25" t="s">
        <v>3125</v>
      </c>
      <c r="F924" t="s">
        <v>121</v>
      </c>
      <c r="G924" t="s">
        <v>3126</v>
      </c>
      <c r="H924" s="24" t="s">
        <v>3102</v>
      </c>
    </row>
    <row r="925" spans="1:8" s="3" customFormat="1" x14ac:dyDescent="0.25">
      <c r="A925" t="s">
        <v>102</v>
      </c>
      <c r="B925" t="s">
        <v>103</v>
      </c>
      <c r="C925" t="s">
        <v>3127</v>
      </c>
      <c r="D925" s="5" t="s">
        <v>3099</v>
      </c>
      <c r="E925" s="25" t="s">
        <v>3128</v>
      </c>
      <c r="F925" t="s">
        <v>104</v>
      </c>
      <c r="G925" t="s">
        <v>3129</v>
      </c>
      <c r="H925" s="24" t="s">
        <v>3102</v>
      </c>
    </row>
    <row r="926" spans="1:8" s="2" customFormat="1" x14ac:dyDescent="0.25">
      <c r="A926" t="s">
        <v>102</v>
      </c>
      <c r="B926" t="s">
        <v>103</v>
      </c>
      <c r="C926" t="s">
        <v>3130</v>
      </c>
      <c r="D926" s="5" t="s">
        <v>3099</v>
      </c>
      <c r="E926" s="25" t="s">
        <v>3131</v>
      </c>
      <c r="F926" t="s">
        <v>8</v>
      </c>
      <c r="G926" t="s">
        <v>3132</v>
      </c>
      <c r="H926" s="24" t="s">
        <v>3102</v>
      </c>
    </row>
    <row r="927" spans="1:8" s="3" customFormat="1" x14ac:dyDescent="0.25">
      <c r="A927" t="s">
        <v>125</v>
      </c>
      <c r="B927" t="s">
        <v>3133</v>
      </c>
      <c r="C927" t="s">
        <v>3134</v>
      </c>
      <c r="D927" s="5" t="s">
        <v>3099</v>
      </c>
      <c r="E927" s="25" t="s">
        <v>3135</v>
      </c>
      <c r="F927" t="s">
        <v>126</v>
      </c>
      <c r="G927" t="s">
        <v>3136</v>
      </c>
      <c r="H927" s="24" t="s">
        <v>3102</v>
      </c>
    </row>
    <row r="928" spans="1:8" s="2" customFormat="1" x14ac:dyDescent="0.25">
      <c r="A928" t="s">
        <v>102</v>
      </c>
      <c r="B928" t="s">
        <v>103</v>
      </c>
      <c r="C928" t="s">
        <v>3137</v>
      </c>
      <c r="D928" s="5" t="s">
        <v>3099</v>
      </c>
      <c r="E928" s="25" t="s">
        <v>3138</v>
      </c>
      <c r="F928" t="s">
        <v>104</v>
      </c>
      <c r="G928" t="s">
        <v>3139</v>
      </c>
      <c r="H928" s="24" t="s">
        <v>3102</v>
      </c>
    </row>
    <row r="929" spans="1:8" s="3" customFormat="1" x14ac:dyDescent="0.25">
      <c r="A929" t="s">
        <v>102</v>
      </c>
      <c r="B929" t="s">
        <v>103</v>
      </c>
      <c r="C929" t="s">
        <v>3140</v>
      </c>
      <c r="D929" s="5" t="s">
        <v>3099</v>
      </c>
      <c r="E929" s="25" t="s">
        <v>3141</v>
      </c>
      <c r="F929" t="s">
        <v>8</v>
      </c>
      <c r="G929" t="s">
        <v>3142</v>
      </c>
      <c r="H929" s="24" t="s">
        <v>3102</v>
      </c>
    </row>
    <row r="930" spans="1:8" s="2" customFormat="1" x14ac:dyDescent="0.25">
      <c r="A930" t="s">
        <v>125</v>
      </c>
      <c r="B930" t="s">
        <v>3143</v>
      </c>
      <c r="C930" t="s">
        <v>3144</v>
      </c>
      <c r="D930" s="5" t="s">
        <v>3099</v>
      </c>
      <c r="E930" s="25" t="s">
        <v>3145</v>
      </c>
      <c r="F930" t="s">
        <v>126</v>
      </c>
      <c r="G930" t="s">
        <v>3146</v>
      </c>
      <c r="H930" s="24" t="s">
        <v>3102</v>
      </c>
    </row>
    <row r="931" spans="1:8" s="3" customFormat="1" x14ac:dyDescent="0.25">
      <c r="A931" t="s">
        <v>125</v>
      </c>
      <c r="B931" t="s">
        <v>3143</v>
      </c>
      <c r="C931" t="s">
        <v>3147</v>
      </c>
      <c r="D931" s="5" t="s">
        <v>3099</v>
      </c>
      <c r="E931" s="25" t="s">
        <v>3148</v>
      </c>
      <c r="F931" t="s">
        <v>127</v>
      </c>
      <c r="G931" t="s">
        <v>3149</v>
      </c>
      <c r="H931" s="24" t="s">
        <v>3102</v>
      </c>
    </row>
    <row r="932" spans="1:8" s="2" customFormat="1" x14ac:dyDescent="0.25">
      <c r="A932" t="s">
        <v>125</v>
      </c>
      <c r="B932" t="s">
        <v>3143</v>
      </c>
      <c r="C932" t="s">
        <v>3150</v>
      </c>
      <c r="D932" s="5" t="s">
        <v>3099</v>
      </c>
      <c r="E932" s="25" t="s">
        <v>3151</v>
      </c>
      <c r="F932" t="s">
        <v>126</v>
      </c>
      <c r="G932" t="s">
        <v>3152</v>
      </c>
      <c r="H932" s="24" t="s">
        <v>3102</v>
      </c>
    </row>
    <row r="933" spans="1:8" s="3" customFormat="1" x14ac:dyDescent="0.25">
      <c r="A933" t="s">
        <v>125</v>
      </c>
      <c r="B933" t="s">
        <v>3143</v>
      </c>
      <c r="C933" t="s">
        <v>3147</v>
      </c>
      <c r="D933" s="5" t="s">
        <v>3099</v>
      </c>
      <c r="E933" s="25" t="s">
        <v>3153</v>
      </c>
      <c r="F933" t="s">
        <v>127</v>
      </c>
      <c r="G933" t="s">
        <v>3154</v>
      </c>
      <c r="H933" s="24" t="s">
        <v>3102</v>
      </c>
    </row>
    <row r="934" spans="1:8" s="2" customFormat="1" x14ac:dyDescent="0.25">
      <c r="A934" t="s">
        <v>102</v>
      </c>
      <c r="B934" t="s">
        <v>103</v>
      </c>
      <c r="C934" t="s">
        <v>3155</v>
      </c>
      <c r="D934" s="5" t="s">
        <v>3099</v>
      </c>
      <c r="E934" s="25" t="s">
        <v>3156</v>
      </c>
      <c r="F934" t="s">
        <v>104</v>
      </c>
      <c r="G934" t="s">
        <v>3157</v>
      </c>
      <c r="H934" s="24" t="s">
        <v>3102</v>
      </c>
    </row>
    <row r="935" spans="1:8" s="3" customFormat="1" x14ac:dyDescent="0.25">
      <c r="A935" t="s">
        <v>102</v>
      </c>
      <c r="B935" t="s">
        <v>103</v>
      </c>
      <c r="C935" t="s">
        <v>3158</v>
      </c>
      <c r="D935" s="5" t="s">
        <v>3099</v>
      </c>
      <c r="E935" s="25" t="s">
        <v>3159</v>
      </c>
      <c r="F935" t="s">
        <v>8</v>
      </c>
      <c r="G935" t="s">
        <v>3160</v>
      </c>
      <c r="H935" s="24" t="s">
        <v>3102</v>
      </c>
    </row>
    <row r="936" spans="1:8" s="2" customFormat="1" x14ac:dyDescent="0.25">
      <c r="A936" t="s">
        <v>113</v>
      </c>
      <c r="B936" t="s">
        <v>410</v>
      </c>
      <c r="C936" t="s">
        <v>3161</v>
      </c>
      <c r="D936" s="5" t="s">
        <v>3099</v>
      </c>
      <c r="E936" s="25" t="s">
        <v>3162</v>
      </c>
      <c r="F936" t="s">
        <v>114</v>
      </c>
      <c r="G936" t="s">
        <v>3163</v>
      </c>
      <c r="H936" s="24" t="s">
        <v>3102</v>
      </c>
    </row>
    <row r="937" spans="1:8" s="3" customFormat="1" x14ac:dyDescent="0.25">
      <c r="A937" t="s">
        <v>113</v>
      </c>
      <c r="B937" t="s">
        <v>128</v>
      </c>
      <c r="C937" t="s">
        <v>3164</v>
      </c>
      <c r="D937" s="5" t="s">
        <v>3099</v>
      </c>
      <c r="E937" s="25" t="s">
        <v>3165</v>
      </c>
      <c r="F937" t="s">
        <v>114</v>
      </c>
      <c r="G937" t="s">
        <v>3166</v>
      </c>
      <c r="H937" s="24" t="s">
        <v>3102</v>
      </c>
    </row>
    <row r="938" spans="1:8" s="2" customFormat="1" x14ac:dyDescent="0.25">
      <c r="A938" t="s">
        <v>102</v>
      </c>
      <c r="B938" t="s">
        <v>103</v>
      </c>
      <c r="C938" t="s">
        <v>3167</v>
      </c>
      <c r="D938" s="5" t="s">
        <v>3099</v>
      </c>
      <c r="E938" s="25" t="s">
        <v>3168</v>
      </c>
      <c r="F938" t="s">
        <v>104</v>
      </c>
      <c r="G938" t="s">
        <v>3169</v>
      </c>
      <c r="H938" s="24" t="s">
        <v>3102</v>
      </c>
    </row>
    <row r="939" spans="1:8" s="3" customFormat="1" x14ac:dyDescent="0.25">
      <c r="A939" t="s">
        <v>102</v>
      </c>
      <c r="B939" t="s">
        <v>103</v>
      </c>
      <c r="C939" t="s">
        <v>3170</v>
      </c>
      <c r="D939" s="5" t="s">
        <v>3099</v>
      </c>
      <c r="E939" s="25" t="s">
        <v>3171</v>
      </c>
      <c r="F939" t="s">
        <v>8</v>
      </c>
      <c r="G939" t="s">
        <v>3172</v>
      </c>
      <c r="H939" s="24" t="s">
        <v>3102</v>
      </c>
    </row>
    <row r="940" spans="1:8" s="2" customFormat="1" x14ac:dyDescent="0.25">
      <c r="A940" t="s">
        <v>116</v>
      </c>
      <c r="B940" t="s">
        <v>117</v>
      </c>
      <c r="C940" t="s">
        <v>3173</v>
      </c>
      <c r="D940" s="5" t="s">
        <v>3099</v>
      </c>
      <c r="E940" s="25" t="s">
        <v>3174</v>
      </c>
      <c r="F940" t="s">
        <v>118</v>
      </c>
      <c r="G940" t="s">
        <v>3175</v>
      </c>
      <c r="H940" s="24" t="s">
        <v>3102</v>
      </c>
    </row>
    <row r="941" spans="1:8" s="3" customFormat="1" x14ac:dyDescent="0.25">
      <c r="A941" t="s">
        <v>102</v>
      </c>
      <c r="B941" t="s">
        <v>103</v>
      </c>
      <c r="C941" t="s">
        <v>3176</v>
      </c>
      <c r="D941" s="5" t="s">
        <v>3099</v>
      </c>
      <c r="E941" s="25" t="s">
        <v>3177</v>
      </c>
      <c r="F941" t="s">
        <v>104</v>
      </c>
      <c r="G941" t="s">
        <v>3178</v>
      </c>
      <c r="H941" s="24" t="s">
        <v>3102</v>
      </c>
    </row>
    <row r="942" spans="1:8" s="2" customFormat="1" x14ac:dyDescent="0.25">
      <c r="A942" t="s">
        <v>102</v>
      </c>
      <c r="B942" t="s">
        <v>103</v>
      </c>
      <c r="C942" t="s">
        <v>3179</v>
      </c>
      <c r="D942" s="5" t="s">
        <v>3099</v>
      </c>
      <c r="E942" s="25" t="s">
        <v>3180</v>
      </c>
      <c r="F942" t="s">
        <v>8</v>
      </c>
      <c r="G942" t="s">
        <v>3181</v>
      </c>
      <c r="H942" s="24" t="s">
        <v>3102</v>
      </c>
    </row>
    <row r="943" spans="1:8" s="3" customFormat="1" x14ac:dyDescent="0.25">
      <c r="A943" t="s">
        <v>102</v>
      </c>
      <c r="B943" t="s">
        <v>103</v>
      </c>
      <c r="C943" t="s">
        <v>3182</v>
      </c>
      <c r="D943" s="5" t="s">
        <v>3099</v>
      </c>
      <c r="E943" s="25" t="s">
        <v>2429</v>
      </c>
      <c r="F943" t="s">
        <v>104</v>
      </c>
      <c r="G943" t="s">
        <v>3183</v>
      </c>
      <c r="H943" s="24" t="s">
        <v>3102</v>
      </c>
    </row>
    <row r="944" spans="1:8" s="2" customFormat="1" x14ac:dyDescent="0.25">
      <c r="A944" t="s">
        <v>102</v>
      </c>
      <c r="B944" t="s">
        <v>103</v>
      </c>
      <c r="C944" t="s">
        <v>3184</v>
      </c>
      <c r="D944" s="5" t="s">
        <v>3099</v>
      </c>
      <c r="E944" s="25" t="s">
        <v>3185</v>
      </c>
      <c r="F944" t="s">
        <v>8</v>
      </c>
      <c r="G944" t="s">
        <v>3186</v>
      </c>
      <c r="H944" s="24" t="s">
        <v>3102</v>
      </c>
    </row>
    <row r="945" spans="1:8" s="3" customFormat="1" x14ac:dyDescent="0.25">
      <c r="A945" t="s">
        <v>102</v>
      </c>
      <c r="B945" t="s">
        <v>103</v>
      </c>
      <c r="C945" t="s">
        <v>3182</v>
      </c>
      <c r="D945" s="5" t="s">
        <v>3099</v>
      </c>
      <c r="E945" s="25" t="s">
        <v>3187</v>
      </c>
      <c r="F945" t="s">
        <v>104</v>
      </c>
      <c r="G945" t="s">
        <v>3188</v>
      </c>
      <c r="H945" s="24" t="s">
        <v>3102</v>
      </c>
    </row>
    <row r="946" spans="1:8" s="2" customFormat="1" x14ac:dyDescent="0.25">
      <c r="A946" t="s">
        <v>102</v>
      </c>
      <c r="B946" t="s">
        <v>103</v>
      </c>
      <c r="C946" t="s">
        <v>3184</v>
      </c>
      <c r="D946" s="5" t="s">
        <v>3099</v>
      </c>
      <c r="E946" s="25" t="s">
        <v>3189</v>
      </c>
      <c r="F946" t="s">
        <v>8</v>
      </c>
      <c r="G946" t="s">
        <v>3190</v>
      </c>
      <c r="H946" s="24" t="s">
        <v>3102</v>
      </c>
    </row>
    <row r="947" spans="1:8" s="3" customFormat="1" x14ac:dyDescent="0.25">
      <c r="A947" t="s">
        <v>122</v>
      </c>
      <c r="B947" t="s">
        <v>107</v>
      </c>
      <c r="C947" t="s">
        <v>3191</v>
      </c>
      <c r="D947" s="5" t="s">
        <v>3099</v>
      </c>
      <c r="E947" s="25" t="s">
        <v>3192</v>
      </c>
      <c r="F947" t="s">
        <v>123</v>
      </c>
      <c r="G947" t="s">
        <v>3193</v>
      </c>
      <c r="H947" s="24" t="s">
        <v>3102</v>
      </c>
    </row>
    <row r="948" spans="1:8" s="2" customFormat="1" x14ac:dyDescent="0.25">
      <c r="A948" t="s">
        <v>122</v>
      </c>
      <c r="B948" t="s">
        <v>107</v>
      </c>
      <c r="C948" t="s">
        <v>3191</v>
      </c>
      <c r="D948" s="5" t="s">
        <v>3099</v>
      </c>
      <c r="E948" s="25" t="s">
        <v>3194</v>
      </c>
      <c r="F948" t="s">
        <v>123</v>
      </c>
      <c r="G948" t="s">
        <v>3195</v>
      </c>
      <c r="H948" s="24" t="s">
        <v>3102</v>
      </c>
    </row>
    <row r="949" spans="1:8" s="3" customFormat="1" x14ac:dyDescent="0.25">
      <c r="A949" t="s">
        <v>125</v>
      </c>
      <c r="B949" t="s">
        <v>129</v>
      </c>
      <c r="C949" t="s">
        <v>3196</v>
      </c>
      <c r="D949" s="5" t="s">
        <v>3099</v>
      </c>
      <c r="E949" s="25" t="s">
        <v>3197</v>
      </c>
      <c r="F949" t="s">
        <v>126</v>
      </c>
      <c r="G949" t="s">
        <v>3198</v>
      </c>
      <c r="H949" s="24" t="s">
        <v>3102</v>
      </c>
    </row>
    <row r="950" spans="1:8" s="2" customFormat="1" x14ac:dyDescent="0.25">
      <c r="A950" t="s">
        <v>125</v>
      </c>
      <c r="B950" t="s">
        <v>129</v>
      </c>
      <c r="C950" t="s">
        <v>3199</v>
      </c>
      <c r="D950" s="5" t="s">
        <v>3099</v>
      </c>
      <c r="E950" s="25" t="s">
        <v>3200</v>
      </c>
      <c r="F950" t="s">
        <v>127</v>
      </c>
      <c r="G950" t="s">
        <v>3201</v>
      </c>
      <c r="H950" s="24" t="s">
        <v>3102</v>
      </c>
    </row>
    <row r="951" spans="1:8" s="3" customFormat="1" x14ac:dyDescent="0.25">
      <c r="A951" t="s">
        <v>1713</v>
      </c>
      <c r="B951" t="s">
        <v>3202</v>
      </c>
      <c r="C951" t="s">
        <v>3203</v>
      </c>
      <c r="D951" s="5" t="s">
        <v>3099</v>
      </c>
      <c r="E951" s="25" t="s">
        <v>3204</v>
      </c>
      <c r="F951" t="s">
        <v>8</v>
      </c>
      <c r="G951" t="s">
        <v>3205</v>
      </c>
      <c r="H951" s="24" t="s">
        <v>3102</v>
      </c>
    </row>
    <row r="952" spans="1:8" s="2" customFormat="1" x14ac:dyDescent="0.25">
      <c r="A952" t="s">
        <v>1713</v>
      </c>
      <c r="B952" t="s">
        <v>3202</v>
      </c>
      <c r="C952" t="s">
        <v>3206</v>
      </c>
      <c r="D952" s="5" t="s">
        <v>3099</v>
      </c>
      <c r="E952" s="25" t="s">
        <v>3207</v>
      </c>
      <c r="F952" t="s">
        <v>104</v>
      </c>
      <c r="G952" t="s">
        <v>3208</v>
      </c>
      <c r="H952" s="24" t="s">
        <v>3102</v>
      </c>
    </row>
    <row r="953" spans="1:8" s="3" customFormat="1" x14ac:dyDescent="0.25">
      <c r="A953" t="s">
        <v>102</v>
      </c>
      <c r="B953" t="s">
        <v>103</v>
      </c>
      <c r="C953" t="s">
        <v>3209</v>
      </c>
      <c r="D953" s="5" t="s">
        <v>3099</v>
      </c>
      <c r="E953" s="25" t="s">
        <v>3210</v>
      </c>
      <c r="F953" t="s">
        <v>104</v>
      </c>
      <c r="G953" t="s">
        <v>3211</v>
      </c>
      <c r="H953" s="24" t="s">
        <v>3102</v>
      </c>
    </row>
    <row r="954" spans="1:8" s="2" customFormat="1" x14ac:dyDescent="0.25">
      <c r="A954" t="s">
        <v>102</v>
      </c>
      <c r="B954" t="s">
        <v>103</v>
      </c>
      <c r="C954" t="s">
        <v>3212</v>
      </c>
      <c r="D954" s="5" t="s">
        <v>3099</v>
      </c>
      <c r="E954" s="25" t="s">
        <v>3213</v>
      </c>
      <c r="F954" t="s">
        <v>8</v>
      </c>
      <c r="G954" t="s">
        <v>3214</v>
      </c>
      <c r="H954" s="24" t="s">
        <v>3102</v>
      </c>
    </row>
    <row r="955" spans="1:8" s="3" customFormat="1" x14ac:dyDescent="0.25">
      <c r="A955" t="s">
        <v>11</v>
      </c>
      <c r="B955" t="s">
        <v>12</v>
      </c>
      <c r="C955" t="s">
        <v>3215</v>
      </c>
      <c r="D955" s="5" t="s">
        <v>3099</v>
      </c>
      <c r="E955" s="25" t="s">
        <v>510</v>
      </c>
      <c r="F955" t="s">
        <v>8</v>
      </c>
      <c r="G955" t="s">
        <v>3216</v>
      </c>
      <c r="H955" s="24" t="s">
        <v>3102</v>
      </c>
    </row>
    <row r="956" spans="1:8" s="2" customFormat="1" x14ac:dyDescent="0.25">
      <c r="A956" t="s">
        <v>1298</v>
      </c>
      <c r="B956" t="s">
        <v>410</v>
      </c>
      <c r="C956" t="s">
        <v>3217</v>
      </c>
      <c r="D956" s="5" t="s">
        <v>3099</v>
      </c>
      <c r="E956" s="25" t="s">
        <v>3218</v>
      </c>
      <c r="F956" t="s">
        <v>1301</v>
      </c>
      <c r="G956" t="s">
        <v>3219</v>
      </c>
      <c r="H956" s="24" t="s">
        <v>3102</v>
      </c>
    </row>
    <row r="957" spans="1:8" s="3" customFormat="1" x14ac:dyDescent="0.25">
      <c r="A957" t="s">
        <v>125</v>
      </c>
      <c r="B957" t="s">
        <v>3133</v>
      </c>
      <c r="C957" t="s">
        <v>3220</v>
      </c>
      <c r="D957" s="5" t="s">
        <v>3099</v>
      </c>
      <c r="E957" s="25" t="s">
        <v>3221</v>
      </c>
      <c r="F957" t="s">
        <v>127</v>
      </c>
      <c r="G957" t="s">
        <v>3222</v>
      </c>
      <c r="H957" s="24" t="s">
        <v>3102</v>
      </c>
    </row>
    <row r="958" spans="1:8" s="2" customFormat="1" x14ac:dyDescent="0.25">
      <c r="A958" t="s">
        <v>102</v>
      </c>
      <c r="B958" t="s">
        <v>103</v>
      </c>
      <c r="C958" t="s">
        <v>3223</v>
      </c>
      <c r="D958" s="5" t="s">
        <v>3224</v>
      </c>
      <c r="E958" s="25" t="s">
        <v>3225</v>
      </c>
      <c r="F958" t="s">
        <v>104</v>
      </c>
      <c r="G958" t="s">
        <v>3226</v>
      </c>
      <c r="H958" s="24">
        <v>46364</v>
      </c>
    </row>
    <row r="959" spans="1:8" s="3" customFormat="1" x14ac:dyDescent="0.25">
      <c r="A959" t="s">
        <v>102</v>
      </c>
      <c r="B959" t="s">
        <v>103</v>
      </c>
      <c r="C959" t="s">
        <v>3227</v>
      </c>
      <c r="D959" s="5" t="s">
        <v>3224</v>
      </c>
      <c r="E959" s="25" t="s">
        <v>3228</v>
      </c>
      <c r="F959" t="s">
        <v>8</v>
      </c>
      <c r="G959" t="s">
        <v>3229</v>
      </c>
      <c r="H959" s="24">
        <v>46364</v>
      </c>
    </row>
    <row r="960" spans="1:8" s="2" customFormat="1" x14ac:dyDescent="0.25">
      <c r="A960" t="s">
        <v>110</v>
      </c>
      <c r="B960" t="s">
        <v>111</v>
      </c>
      <c r="C960" t="s">
        <v>3230</v>
      </c>
      <c r="D960" s="5" t="s">
        <v>3224</v>
      </c>
      <c r="E960" s="25" t="s">
        <v>3231</v>
      </c>
      <c r="F960" t="s">
        <v>112</v>
      </c>
      <c r="G960" t="s">
        <v>3232</v>
      </c>
      <c r="H960" s="24">
        <v>46364</v>
      </c>
    </row>
    <row r="961" spans="1:8" s="3" customFormat="1" x14ac:dyDescent="0.25">
      <c r="A961" t="s">
        <v>110</v>
      </c>
      <c r="B961" t="s">
        <v>115</v>
      </c>
      <c r="C961" t="s">
        <v>3233</v>
      </c>
      <c r="D961" s="5" t="s">
        <v>3224</v>
      </c>
      <c r="E961" s="25" t="s">
        <v>3234</v>
      </c>
      <c r="F961" t="s">
        <v>112</v>
      </c>
      <c r="G961" t="s">
        <v>3235</v>
      </c>
      <c r="H961" s="24">
        <v>46364</v>
      </c>
    </row>
    <row r="962" spans="1:8" s="2" customFormat="1" x14ac:dyDescent="0.25">
      <c r="A962" t="s">
        <v>11</v>
      </c>
      <c r="B962" t="s">
        <v>12</v>
      </c>
      <c r="C962" t="s">
        <v>3236</v>
      </c>
      <c r="D962" s="5" t="s">
        <v>3224</v>
      </c>
      <c r="E962" s="25" t="s">
        <v>3237</v>
      </c>
      <c r="F962" t="s">
        <v>104</v>
      </c>
      <c r="G962" t="s">
        <v>3238</v>
      </c>
      <c r="H962" s="24">
        <v>46364</v>
      </c>
    </row>
    <row r="963" spans="1:8" s="3" customFormat="1" x14ac:dyDescent="0.25">
      <c r="A963" t="s">
        <v>120</v>
      </c>
      <c r="B963" t="s">
        <v>410</v>
      </c>
      <c r="C963" t="s">
        <v>3239</v>
      </c>
      <c r="D963" s="5" t="s">
        <v>3224</v>
      </c>
      <c r="E963" s="25" t="s">
        <v>3240</v>
      </c>
      <c r="F963" t="s">
        <v>121</v>
      </c>
      <c r="G963" t="s">
        <v>3241</v>
      </c>
      <c r="H963" s="24">
        <v>46364</v>
      </c>
    </row>
    <row r="964" spans="1:8" s="2" customFormat="1" x14ac:dyDescent="0.25">
      <c r="A964" t="s">
        <v>120</v>
      </c>
      <c r="B964" t="s">
        <v>410</v>
      </c>
      <c r="C964" t="s">
        <v>3242</v>
      </c>
      <c r="D964" s="5" t="s">
        <v>3224</v>
      </c>
      <c r="E964" s="25" t="s">
        <v>3243</v>
      </c>
      <c r="F964" t="s">
        <v>121</v>
      </c>
      <c r="G964" t="s">
        <v>3244</v>
      </c>
      <c r="H964" s="24">
        <v>46364</v>
      </c>
    </row>
    <row r="965" spans="1:8" s="3" customFormat="1" x14ac:dyDescent="0.25">
      <c r="A965" t="s">
        <v>102</v>
      </c>
      <c r="B965" t="s">
        <v>103</v>
      </c>
      <c r="C965" t="s">
        <v>3245</v>
      </c>
      <c r="D965" s="5" t="s">
        <v>3224</v>
      </c>
      <c r="E965" s="25" t="s">
        <v>3246</v>
      </c>
      <c r="F965" t="s">
        <v>104</v>
      </c>
      <c r="G965" t="s">
        <v>3247</v>
      </c>
      <c r="H965" s="24">
        <v>46364</v>
      </c>
    </row>
    <row r="966" spans="1:8" s="2" customFormat="1" x14ac:dyDescent="0.25">
      <c r="A966" t="s">
        <v>102</v>
      </c>
      <c r="B966" t="s">
        <v>103</v>
      </c>
      <c r="C966" t="s">
        <v>3248</v>
      </c>
      <c r="D966" s="5" t="s">
        <v>3224</v>
      </c>
      <c r="E966" s="25" t="s">
        <v>3249</v>
      </c>
      <c r="F966" t="s">
        <v>8</v>
      </c>
      <c r="G966" t="s">
        <v>3250</v>
      </c>
      <c r="H966" s="24">
        <v>46364</v>
      </c>
    </row>
    <row r="967" spans="1:8" s="3" customFormat="1" x14ac:dyDescent="0.25">
      <c r="A967" t="s">
        <v>116</v>
      </c>
      <c r="B967" t="s">
        <v>117</v>
      </c>
      <c r="C967" t="s">
        <v>3251</v>
      </c>
      <c r="D967" s="5" t="s">
        <v>3224</v>
      </c>
      <c r="E967" s="25" t="s">
        <v>3252</v>
      </c>
      <c r="F967" t="s">
        <v>118</v>
      </c>
      <c r="G967" t="s">
        <v>3253</v>
      </c>
      <c r="H967" s="24">
        <v>46364</v>
      </c>
    </row>
    <row r="968" spans="1:8" s="2" customFormat="1" x14ac:dyDescent="0.25">
      <c r="A968" t="s">
        <v>113</v>
      </c>
      <c r="B968" t="s">
        <v>105</v>
      </c>
      <c r="C968" t="s">
        <v>3254</v>
      </c>
      <c r="D968" s="5" t="s">
        <v>3224</v>
      </c>
      <c r="E968" s="25" t="s">
        <v>3255</v>
      </c>
      <c r="F968" t="s">
        <v>114</v>
      </c>
      <c r="G968" t="s">
        <v>3256</v>
      </c>
      <c r="H968" s="24">
        <v>46364</v>
      </c>
    </row>
    <row r="969" spans="1:8" s="3" customFormat="1" x14ac:dyDescent="0.25">
      <c r="A969" t="s">
        <v>116</v>
      </c>
      <c r="B969" t="s">
        <v>117</v>
      </c>
      <c r="C969" t="s">
        <v>3257</v>
      </c>
      <c r="D969" s="5" t="s">
        <v>3224</v>
      </c>
      <c r="E969" s="25" t="s">
        <v>3258</v>
      </c>
      <c r="F969" t="s">
        <v>118</v>
      </c>
      <c r="G969" t="s">
        <v>3259</v>
      </c>
      <c r="H969" s="24">
        <v>46364</v>
      </c>
    </row>
    <row r="970" spans="1:8" s="2" customFormat="1" x14ac:dyDescent="0.25">
      <c r="A970" t="s">
        <v>102</v>
      </c>
      <c r="B970" t="s">
        <v>103</v>
      </c>
      <c r="C970" t="s">
        <v>3260</v>
      </c>
      <c r="D970" s="5" t="s">
        <v>3224</v>
      </c>
      <c r="E970" s="25" t="s">
        <v>3261</v>
      </c>
      <c r="F970" t="s">
        <v>104</v>
      </c>
      <c r="G970" t="s">
        <v>3262</v>
      </c>
      <c r="H970" s="24">
        <v>46364</v>
      </c>
    </row>
    <row r="971" spans="1:8" s="3" customFormat="1" x14ac:dyDescent="0.25">
      <c r="A971" t="s">
        <v>102</v>
      </c>
      <c r="B971" t="s">
        <v>103</v>
      </c>
      <c r="C971" t="s">
        <v>3263</v>
      </c>
      <c r="D971" s="5" t="s">
        <v>3224</v>
      </c>
      <c r="E971" s="25" t="s">
        <v>3264</v>
      </c>
      <c r="F971" t="s">
        <v>8</v>
      </c>
      <c r="G971" t="s">
        <v>3265</v>
      </c>
      <c r="H971" s="24">
        <v>46364</v>
      </c>
    </row>
    <row r="972" spans="1:8" s="2" customFormat="1" x14ac:dyDescent="0.25">
      <c r="A972" t="s">
        <v>102</v>
      </c>
      <c r="B972" t="s">
        <v>103</v>
      </c>
      <c r="C972" t="s">
        <v>3266</v>
      </c>
      <c r="D972" s="5" t="s">
        <v>3224</v>
      </c>
      <c r="E972" s="25" t="s">
        <v>3267</v>
      </c>
      <c r="F972" t="s">
        <v>104</v>
      </c>
      <c r="G972" t="s">
        <v>3268</v>
      </c>
      <c r="H972" s="24">
        <v>46364</v>
      </c>
    </row>
    <row r="973" spans="1:8" s="3" customFormat="1" x14ac:dyDescent="0.25">
      <c r="A973" t="s">
        <v>102</v>
      </c>
      <c r="B973" t="s">
        <v>103</v>
      </c>
      <c r="C973" t="s">
        <v>3269</v>
      </c>
      <c r="D973" s="5" t="s">
        <v>3224</v>
      </c>
      <c r="E973" s="25" t="s">
        <v>3270</v>
      </c>
      <c r="F973" t="s">
        <v>8</v>
      </c>
      <c r="G973" t="s">
        <v>3271</v>
      </c>
      <c r="H973" s="24">
        <v>46364</v>
      </c>
    </row>
    <row r="974" spans="1:8" s="2" customFormat="1" x14ac:dyDescent="0.25">
      <c r="A974" t="s">
        <v>102</v>
      </c>
      <c r="B974" t="s">
        <v>103</v>
      </c>
      <c r="C974" t="s">
        <v>3272</v>
      </c>
      <c r="D974" s="5" t="s">
        <v>3224</v>
      </c>
      <c r="E974" s="25" t="s">
        <v>3273</v>
      </c>
      <c r="F974" t="s">
        <v>104</v>
      </c>
      <c r="G974" t="s">
        <v>3274</v>
      </c>
      <c r="H974" s="24">
        <v>46364</v>
      </c>
    </row>
    <row r="975" spans="1:8" s="3" customFormat="1" x14ac:dyDescent="0.25">
      <c r="A975" t="s">
        <v>102</v>
      </c>
      <c r="B975" t="s">
        <v>103</v>
      </c>
      <c r="C975" t="s">
        <v>3275</v>
      </c>
      <c r="D975" s="5" t="s">
        <v>3224</v>
      </c>
      <c r="E975" s="25" t="s">
        <v>3276</v>
      </c>
      <c r="F975" t="s">
        <v>8</v>
      </c>
      <c r="G975" t="s">
        <v>3277</v>
      </c>
      <c r="H975" s="24">
        <v>46364</v>
      </c>
    </row>
    <row r="976" spans="1:8" s="2" customFormat="1" x14ac:dyDescent="0.25">
      <c r="A976" t="s">
        <v>102</v>
      </c>
      <c r="B976" t="s">
        <v>103</v>
      </c>
      <c r="C976" t="s">
        <v>3278</v>
      </c>
      <c r="D976" s="5" t="s">
        <v>3224</v>
      </c>
      <c r="E976" s="25" t="s">
        <v>3279</v>
      </c>
      <c r="F976" t="s">
        <v>104</v>
      </c>
      <c r="G976" t="s">
        <v>3280</v>
      </c>
      <c r="H976" s="24">
        <v>46364</v>
      </c>
    </row>
    <row r="977" spans="1:8" s="3" customFormat="1" x14ac:dyDescent="0.25">
      <c r="A977" t="s">
        <v>102</v>
      </c>
      <c r="B977" t="s">
        <v>103</v>
      </c>
      <c r="C977" t="s">
        <v>3281</v>
      </c>
      <c r="D977" s="5" t="s">
        <v>3224</v>
      </c>
      <c r="E977" s="25" t="s">
        <v>3282</v>
      </c>
      <c r="F977" t="s">
        <v>8</v>
      </c>
      <c r="G977" t="s">
        <v>3283</v>
      </c>
      <c r="H977" s="24">
        <v>46364</v>
      </c>
    </row>
    <row r="978" spans="1:8" s="2" customFormat="1" x14ac:dyDescent="0.25">
      <c r="A978" t="s">
        <v>1671</v>
      </c>
      <c r="B978" t="s">
        <v>107</v>
      </c>
      <c r="C978" t="s">
        <v>3284</v>
      </c>
      <c r="D978" s="5" t="s">
        <v>3224</v>
      </c>
      <c r="E978" s="25" t="s">
        <v>3285</v>
      </c>
      <c r="F978" t="s">
        <v>1343</v>
      </c>
      <c r="G978" t="s">
        <v>3286</v>
      </c>
      <c r="H978" s="24">
        <v>46364</v>
      </c>
    </row>
    <row r="979" spans="1:8" s="3" customFormat="1" x14ac:dyDescent="0.25">
      <c r="A979" t="s">
        <v>102</v>
      </c>
      <c r="B979" t="s">
        <v>103</v>
      </c>
      <c r="C979" t="s">
        <v>3287</v>
      </c>
      <c r="D979" s="5" t="s">
        <v>3224</v>
      </c>
      <c r="E979" s="25" t="s">
        <v>3288</v>
      </c>
      <c r="F979" t="s">
        <v>104</v>
      </c>
      <c r="G979" t="s">
        <v>3289</v>
      </c>
      <c r="H979" s="24">
        <v>46364</v>
      </c>
    </row>
    <row r="980" spans="1:8" s="2" customFormat="1" x14ac:dyDescent="0.25">
      <c r="A980" t="s">
        <v>102</v>
      </c>
      <c r="B980" t="s">
        <v>103</v>
      </c>
      <c r="C980" t="s">
        <v>3290</v>
      </c>
      <c r="D980" s="5" t="s">
        <v>3224</v>
      </c>
      <c r="E980" s="25" t="s">
        <v>3291</v>
      </c>
      <c r="F980" t="s">
        <v>8</v>
      </c>
      <c r="G980" t="s">
        <v>3292</v>
      </c>
      <c r="H980" s="24">
        <v>46364</v>
      </c>
    </row>
    <row r="981" spans="1:8" s="3" customFormat="1" x14ac:dyDescent="0.25">
      <c r="A981" t="s">
        <v>102</v>
      </c>
      <c r="B981" t="s">
        <v>103</v>
      </c>
      <c r="C981" t="s">
        <v>3293</v>
      </c>
      <c r="D981" s="5" t="s">
        <v>3224</v>
      </c>
      <c r="E981" s="25" t="s">
        <v>3294</v>
      </c>
      <c r="F981" t="s">
        <v>104</v>
      </c>
      <c r="G981" t="s">
        <v>3295</v>
      </c>
      <c r="H981" s="24">
        <v>46364</v>
      </c>
    </row>
    <row r="982" spans="1:8" s="2" customFormat="1" x14ac:dyDescent="0.25">
      <c r="A982" t="s">
        <v>102</v>
      </c>
      <c r="B982" t="s">
        <v>103</v>
      </c>
      <c r="C982" t="s">
        <v>3296</v>
      </c>
      <c r="D982" s="5" t="s">
        <v>3224</v>
      </c>
      <c r="E982" s="25" t="s">
        <v>3297</v>
      </c>
      <c r="F982" t="s">
        <v>8</v>
      </c>
      <c r="G982" t="s">
        <v>3298</v>
      </c>
      <c r="H982" s="24">
        <v>46364</v>
      </c>
    </row>
    <row r="983" spans="1:8" s="3" customFormat="1" x14ac:dyDescent="0.25">
      <c r="A983" t="s">
        <v>11</v>
      </c>
      <c r="B983" t="s">
        <v>12</v>
      </c>
      <c r="C983" t="s">
        <v>3299</v>
      </c>
      <c r="D983" s="5" t="s">
        <v>3224</v>
      </c>
      <c r="E983" s="25" t="s">
        <v>3300</v>
      </c>
      <c r="F983" t="s">
        <v>8</v>
      </c>
      <c r="G983" t="s">
        <v>3301</v>
      </c>
      <c r="H983" s="24">
        <v>46364</v>
      </c>
    </row>
    <row r="984" spans="1:8" s="2" customFormat="1" x14ac:dyDescent="0.25">
      <c r="A984" t="s">
        <v>102</v>
      </c>
      <c r="B984" t="s">
        <v>103</v>
      </c>
      <c r="C984" t="s">
        <v>3302</v>
      </c>
      <c r="D984" s="5" t="s">
        <v>3224</v>
      </c>
      <c r="E984" s="25" t="s">
        <v>3303</v>
      </c>
      <c r="F984" t="s">
        <v>104</v>
      </c>
      <c r="G984" t="s">
        <v>3304</v>
      </c>
      <c r="H984" s="24">
        <v>46364</v>
      </c>
    </row>
    <row r="985" spans="1:8" s="3" customFormat="1" x14ac:dyDescent="0.25">
      <c r="A985" t="s">
        <v>102</v>
      </c>
      <c r="B985" t="s">
        <v>103</v>
      </c>
      <c r="C985" t="s">
        <v>3305</v>
      </c>
      <c r="D985" s="5" t="s">
        <v>3224</v>
      </c>
      <c r="E985" s="25" t="s">
        <v>3306</v>
      </c>
      <c r="F985" t="s">
        <v>8</v>
      </c>
      <c r="G985" t="s">
        <v>3307</v>
      </c>
      <c r="H985" s="24">
        <v>46364</v>
      </c>
    </row>
    <row r="986" spans="1:8" s="2" customFormat="1" x14ac:dyDescent="0.25">
      <c r="A986" t="s">
        <v>110</v>
      </c>
      <c r="B986" t="s">
        <v>111</v>
      </c>
      <c r="C986" t="s">
        <v>3308</v>
      </c>
      <c r="D986" s="5" t="s">
        <v>3309</v>
      </c>
      <c r="E986" s="25" t="s">
        <v>3310</v>
      </c>
      <c r="F986" t="s">
        <v>112</v>
      </c>
      <c r="G986" t="s">
        <v>3311</v>
      </c>
      <c r="H986" s="24">
        <v>46334</v>
      </c>
    </row>
    <row r="987" spans="1:8" s="3" customFormat="1" x14ac:dyDescent="0.25">
      <c r="A987" t="s">
        <v>102</v>
      </c>
      <c r="B987" t="s">
        <v>103</v>
      </c>
      <c r="C987" t="s">
        <v>3312</v>
      </c>
      <c r="D987" s="5" t="s">
        <v>3309</v>
      </c>
      <c r="E987" s="25" t="s">
        <v>3313</v>
      </c>
      <c r="F987" t="s">
        <v>104</v>
      </c>
      <c r="G987" t="s">
        <v>3314</v>
      </c>
      <c r="H987" s="24">
        <v>46334</v>
      </c>
    </row>
    <row r="988" spans="1:8" s="2" customFormat="1" x14ac:dyDescent="0.25">
      <c r="A988" t="s">
        <v>102</v>
      </c>
      <c r="B988" t="s">
        <v>103</v>
      </c>
      <c r="C988" t="s">
        <v>3315</v>
      </c>
      <c r="D988" s="5" t="s">
        <v>3309</v>
      </c>
      <c r="E988" s="25" t="s">
        <v>3316</v>
      </c>
      <c r="F988" t="s">
        <v>8</v>
      </c>
      <c r="G988" t="s">
        <v>3317</v>
      </c>
      <c r="H988" s="24">
        <v>46334</v>
      </c>
    </row>
    <row r="989" spans="1:8" s="3" customFormat="1" x14ac:dyDescent="0.25">
      <c r="A989" t="s">
        <v>110</v>
      </c>
      <c r="B989" t="s">
        <v>115</v>
      </c>
      <c r="C989" t="s">
        <v>3318</v>
      </c>
      <c r="D989" s="5" t="s">
        <v>3309</v>
      </c>
      <c r="E989" s="25" t="s">
        <v>3319</v>
      </c>
      <c r="F989" t="s">
        <v>112</v>
      </c>
      <c r="G989" t="s">
        <v>3320</v>
      </c>
      <c r="H989" s="24">
        <v>46334</v>
      </c>
    </row>
    <row r="990" spans="1:8" s="2" customFormat="1" x14ac:dyDescent="0.25">
      <c r="A990" t="s">
        <v>11</v>
      </c>
      <c r="B990" t="s">
        <v>12</v>
      </c>
      <c r="C990" t="s">
        <v>3321</v>
      </c>
      <c r="D990" s="5" t="s">
        <v>3309</v>
      </c>
      <c r="E990" s="25" t="s">
        <v>3322</v>
      </c>
      <c r="F990" t="s">
        <v>104</v>
      </c>
      <c r="G990" t="s">
        <v>3323</v>
      </c>
      <c r="H990" s="24">
        <v>46334</v>
      </c>
    </row>
    <row r="991" spans="1:8" s="3" customFormat="1" x14ac:dyDescent="0.25">
      <c r="A991" t="s">
        <v>120</v>
      </c>
      <c r="B991" t="s">
        <v>410</v>
      </c>
      <c r="C991" t="s">
        <v>3324</v>
      </c>
      <c r="D991" s="5" t="s">
        <v>3309</v>
      </c>
      <c r="E991" s="25" t="s">
        <v>3325</v>
      </c>
      <c r="F991" t="s">
        <v>121</v>
      </c>
      <c r="G991" t="s">
        <v>3326</v>
      </c>
      <c r="H991" s="24">
        <v>46334</v>
      </c>
    </row>
    <row r="992" spans="1:8" s="2" customFormat="1" x14ac:dyDescent="0.25">
      <c r="A992" t="s">
        <v>102</v>
      </c>
      <c r="B992" t="s">
        <v>103</v>
      </c>
      <c r="C992" t="s">
        <v>3327</v>
      </c>
      <c r="D992" s="5" t="s">
        <v>3309</v>
      </c>
      <c r="E992" s="25" t="s">
        <v>3328</v>
      </c>
      <c r="F992" t="s">
        <v>104</v>
      </c>
      <c r="G992" t="s">
        <v>3329</v>
      </c>
      <c r="H992" s="24">
        <v>46334</v>
      </c>
    </row>
    <row r="993" spans="1:8" s="3" customFormat="1" x14ac:dyDescent="0.25">
      <c r="A993" t="s">
        <v>102</v>
      </c>
      <c r="B993" t="s">
        <v>103</v>
      </c>
      <c r="C993" t="s">
        <v>3330</v>
      </c>
      <c r="D993" s="5" t="s">
        <v>3309</v>
      </c>
      <c r="E993" s="25" t="s">
        <v>3331</v>
      </c>
      <c r="F993" t="s">
        <v>8</v>
      </c>
      <c r="G993" t="s">
        <v>3332</v>
      </c>
      <c r="H993" s="24">
        <v>46334</v>
      </c>
    </row>
    <row r="994" spans="1:8" s="2" customFormat="1" x14ac:dyDescent="0.25">
      <c r="A994" t="s">
        <v>116</v>
      </c>
      <c r="B994" t="s">
        <v>117</v>
      </c>
      <c r="C994" t="s">
        <v>3333</v>
      </c>
      <c r="D994" s="5" t="s">
        <v>3309</v>
      </c>
      <c r="E994" s="25" t="s">
        <v>3334</v>
      </c>
      <c r="F994" t="s">
        <v>118</v>
      </c>
      <c r="G994" t="s">
        <v>3335</v>
      </c>
      <c r="H994" s="24">
        <v>46334</v>
      </c>
    </row>
    <row r="995" spans="1:8" s="3" customFormat="1" x14ac:dyDescent="0.25">
      <c r="A995" t="s">
        <v>102</v>
      </c>
      <c r="B995" t="s">
        <v>103</v>
      </c>
      <c r="C995" t="s">
        <v>3336</v>
      </c>
      <c r="D995" s="5" t="s">
        <v>3309</v>
      </c>
      <c r="E995" s="25" t="s">
        <v>3337</v>
      </c>
      <c r="F995" t="s">
        <v>104</v>
      </c>
      <c r="G995" t="s">
        <v>3338</v>
      </c>
      <c r="H995" s="24">
        <v>46334</v>
      </c>
    </row>
    <row r="996" spans="1:8" s="2" customFormat="1" x14ac:dyDescent="0.25">
      <c r="A996" t="s">
        <v>102</v>
      </c>
      <c r="B996" t="s">
        <v>103</v>
      </c>
      <c r="C996" t="s">
        <v>3339</v>
      </c>
      <c r="D996" s="5" t="s">
        <v>3309</v>
      </c>
      <c r="E996" s="25" t="s">
        <v>3340</v>
      </c>
      <c r="F996" t="s">
        <v>8</v>
      </c>
      <c r="G996" t="s">
        <v>3341</v>
      </c>
      <c r="H996" s="24">
        <v>46334</v>
      </c>
    </row>
    <row r="997" spans="1:8" s="3" customFormat="1" x14ac:dyDescent="0.25">
      <c r="A997" t="s">
        <v>749</v>
      </c>
      <c r="B997" t="s">
        <v>2878</v>
      </c>
      <c r="C997" t="s">
        <v>3342</v>
      </c>
      <c r="D997" s="5" t="s">
        <v>3309</v>
      </c>
      <c r="E997" s="25" t="s">
        <v>3343</v>
      </c>
      <c r="F997" t="s">
        <v>752</v>
      </c>
      <c r="G997" t="s">
        <v>3344</v>
      </c>
      <c r="H997" s="24">
        <v>46334</v>
      </c>
    </row>
    <row r="998" spans="1:8" s="2" customFormat="1" x14ac:dyDescent="0.25">
      <c r="A998" t="s">
        <v>749</v>
      </c>
      <c r="B998" t="s">
        <v>2878</v>
      </c>
      <c r="C998" t="s">
        <v>3345</v>
      </c>
      <c r="D998" s="5" t="s">
        <v>3309</v>
      </c>
      <c r="E998" s="25" t="s">
        <v>3346</v>
      </c>
      <c r="F998" t="s">
        <v>752</v>
      </c>
      <c r="G998" t="s">
        <v>3347</v>
      </c>
      <c r="H998" s="24">
        <v>46334</v>
      </c>
    </row>
    <row r="999" spans="1:8" s="3" customFormat="1" x14ac:dyDescent="0.25">
      <c r="A999" t="s">
        <v>130</v>
      </c>
      <c r="B999" t="s">
        <v>131</v>
      </c>
      <c r="C999" t="s">
        <v>3348</v>
      </c>
      <c r="D999" s="5" t="s">
        <v>3309</v>
      </c>
      <c r="E999" s="25" t="s">
        <v>3349</v>
      </c>
      <c r="F999" t="s">
        <v>119</v>
      </c>
      <c r="G999" t="s">
        <v>3350</v>
      </c>
      <c r="H999" s="24">
        <v>46334</v>
      </c>
    </row>
    <row r="1000" spans="1:8" s="2" customFormat="1" x14ac:dyDescent="0.25">
      <c r="A1000" t="s">
        <v>116</v>
      </c>
      <c r="B1000" t="s">
        <v>117</v>
      </c>
      <c r="C1000" t="s">
        <v>3351</v>
      </c>
      <c r="D1000" s="5" t="s">
        <v>3309</v>
      </c>
      <c r="E1000" s="25" t="s">
        <v>3352</v>
      </c>
      <c r="F1000" t="s">
        <v>118</v>
      </c>
      <c r="G1000" t="s">
        <v>3353</v>
      </c>
      <c r="H1000" s="24">
        <v>46334</v>
      </c>
    </row>
    <row r="1001" spans="1:8" s="3" customFormat="1" x14ac:dyDescent="0.25">
      <c r="A1001" t="s">
        <v>102</v>
      </c>
      <c r="B1001" t="s">
        <v>103</v>
      </c>
      <c r="C1001" t="s">
        <v>3354</v>
      </c>
      <c r="D1001" s="5" t="s">
        <v>3309</v>
      </c>
      <c r="E1001" s="25" t="s">
        <v>3355</v>
      </c>
      <c r="F1001" t="s">
        <v>104</v>
      </c>
      <c r="G1001" t="s">
        <v>3356</v>
      </c>
      <c r="H1001" s="24">
        <v>46334</v>
      </c>
    </row>
    <row r="1002" spans="1:8" s="2" customFormat="1" x14ac:dyDescent="0.25">
      <c r="A1002" t="s">
        <v>102</v>
      </c>
      <c r="B1002" t="s">
        <v>103</v>
      </c>
      <c r="C1002" t="s">
        <v>3357</v>
      </c>
      <c r="D1002" s="5" t="s">
        <v>3309</v>
      </c>
      <c r="E1002" s="25" t="s">
        <v>3358</v>
      </c>
      <c r="F1002" t="s">
        <v>8</v>
      </c>
      <c r="G1002" t="s">
        <v>3359</v>
      </c>
      <c r="H1002" s="24">
        <v>46334</v>
      </c>
    </row>
    <row r="1003" spans="1:8" s="3" customFormat="1" x14ac:dyDescent="0.25">
      <c r="A1003" t="s">
        <v>102</v>
      </c>
      <c r="B1003" t="s">
        <v>103</v>
      </c>
      <c r="C1003" t="s">
        <v>3354</v>
      </c>
      <c r="D1003" s="5" t="s">
        <v>3309</v>
      </c>
      <c r="E1003" s="25" t="s">
        <v>3360</v>
      </c>
      <c r="F1003" t="s">
        <v>104</v>
      </c>
      <c r="G1003" t="s">
        <v>3361</v>
      </c>
      <c r="H1003" s="24">
        <v>46334</v>
      </c>
    </row>
    <row r="1004" spans="1:8" s="2" customFormat="1" x14ac:dyDescent="0.25">
      <c r="A1004" t="s">
        <v>102</v>
      </c>
      <c r="B1004" t="s">
        <v>103</v>
      </c>
      <c r="C1004" t="s">
        <v>3357</v>
      </c>
      <c r="D1004" s="5" t="s">
        <v>3309</v>
      </c>
      <c r="E1004" s="25" t="s">
        <v>3362</v>
      </c>
      <c r="F1004" t="s">
        <v>8</v>
      </c>
      <c r="G1004" t="s">
        <v>3363</v>
      </c>
      <c r="H1004" s="24">
        <v>46334</v>
      </c>
    </row>
    <row r="1005" spans="1:8" s="3" customFormat="1" x14ac:dyDescent="0.25">
      <c r="A1005" t="s">
        <v>122</v>
      </c>
      <c r="B1005" t="s">
        <v>107</v>
      </c>
      <c r="C1005" t="s">
        <v>3364</v>
      </c>
      <c r="D1005" s="5" t="s">
        <v>3309</v>
      </c>
      <c r="E1005" s="25" t="s">
        <v>3365</v>
      </c>
      <c r="F1005" t="s">
        <v>123</v>
      </c>
      <c r="G1005" t="s">
        <v>3366</v>
      </c>
      <c r="H1005" s="24">
        <v>46334</v>
      </c>
    </row>
    <row r="1006" spans="1:8" s="2" customFormat="1" x14ac:dyDescent="0.25">
      <c r="A1006" t="s">
        <v>3367</v>
      </c>
      <c r="B1006" t="s">
        <v>3368</v>
      </c>
      <c r="C1006" t="s">
        <v>3369</v>
      </c>
      <c r="D1006" s="5" t="s">
        <v>3309</v>
      </c>
      <c r="E1006" s="25" t="s">
        <v>3370</v>
      </c>
      <c r="F1006" t="s">
        <v>8</v>
      </c>
      <c r="G1006" t="s">
        <v>3371</v>
      </c>
      <c r="H1006" s="24">
        <v>46334</v>
      </c>
    </row>
    <row r="1007" spans="1:8" s="3" customFormat="1" x14ac:dyDescent="0.25">
      <c r="A1007" t="s">
        <v>3367</v>
      </c>
      <c r="B1007" t="s">
        <v>3368</v>
      </c>
      <c r="C1007" t="s">
        <v>3372</v>
      </c>
      <c r="D1007" s="5" t="s">
        <v>3309</v>
      </c>
      <c r="E1007" s="25" t="s">
        <v>3373</v>
      </c>
      <c r="F1007" t="s">
        <v>104</v>
      </c>
      <c r="G1007" t="s">
        <v>3374</v>
      </c>
      <c r="H1007" s="24">
        <v>46334</v>
      </c>
    </row>
    <row r="1008" spans="1:8" s="2" customFormat="1" x14ac:dyDescent="0.25">
      <c r="A1008" t="s">
        <v>102</v>
      </c>
      <c r="B1008" t="s">
        <v>103</v>
      </c>
      <c r="C1008" t="s">
        <v>3375</v>
      </c>
      <c r="D1008" s="5" t="s">
        <v>3309</v>
      </c>
      <c r="E1008" s="25" t="s">
        <v>3376</v>
      </c>
      <c r="F1008" t="s">
        <v>104</v>
      </c>
      <c r="G1008" t="s">
        <v>3377</v>
      </c>
      <c r="H1008" s="24">
        <v>46334</v>
      </c>
    </row>
    <row r="1009" spans="1:8" s="3" customFormat="1" x14ac:dyDescent="0.25">
      <c r="A1009" t="s">
        <v>102</v>
      </c>
      <c r="B1009" t="s">
        <v>103</v>
      </c>
      <c r="C1009" t="s">
        <v>3378</v>
      </c>
      <c r="D1009" s="5" t="s">
        <v>3309</v>
      </c>
      <c r="E1009" s="25" t="s">
        <v>3379</v>
      </c>
      <c r="F1009" t="s">
        <v>8</v>
      </c>
      <c r="G1009" t="s">
        <v>3380</v>
      </c>
      <c r="H1009" s="24">
        <v>46334</v>
      </c>
    </row>
    <row r="1010" spans="1:8" s="2" customFormat="1" x14ac:dyDescent="0.25">
      <c r="A1010" t="s">
        <v>1847</v>
      </c>
      <c r="B1010" t="s">
        <v>2878</v>
      </c>
      <c r="C1010" t="s">
        <v>3381</v>
      </c>
      <c r="D1010" s="5" t="s">
        <v>3309</v>
      </c>
      <c r="E1010" s="25" t="s">
        <v>3382</v>
      </c>
      <c r="F1010" t="s">
        <v>1728</v>
      </c>
      <c r="G1010" t="s">
        <v>3383</v>
      </c>
      <c r="H1010" s="24">
        <v>46334</v>
      </c>
    </row>
    <row r="1011" spans="1:8" s="3" customFormat="1" x14ac:dyDescent="0.25">
      <c r="A1011" t="s">
        <v>116</v>
      </c>
      <c r="B1011" t="s">
        <v>117</v>
      </c>
      <c r="C1011" t="s">
        <v>3384</v>
      </c>
      <c r="D1011" s="5" t="s">
        <v>3309</v>
      </c>
      <c r="E1011" s="25" t="s">
        <v>3385</v>
      </c>
      <c r="F1011" t="s">
        <v>118</v>
      </c>
      <c r="G1011" t="s">
        <v>3386</v>
      </c>
      <c r="H1011" s="24">
        <v>46334</v>
      </c>
    </row>
    <row r="1012" spans="1:8" s="2" customFormat="1" x14ac:dyDescent="0.25">
      <c r="A1012" t="s">
        <v>102</v>
      </c>
      <c r="B1012" t="s">
        <v>103</v>
      </c>
      <c r="C1012" t="s">
        <v>3387</v>
      </c>
      <c r="D1012" s="5" t="s">
        <v>3309</v>
      </c>
      <c r="E1012" s="25" t="s">
        <v>3388</v>
      </c>
      <c r="F1012" t="s">
        <v>104</v>
      </c>
      <c r="G1012" t="s">
        <v>3389</v>
      </c>
      <c r="H1012" s="24">
        <v>46334</v>
      </c>
    </row>
    <row r="1013" spans="1:8" s="3" customFormat="1" x14ac:dyDescent="0.25">
      <c r="A1013" t="s">
        <v>102</v>
      </c>
      <c r="B1013" t="s">
        <v>103</v>
      </c>
      <c r="C1013" t="s">
        <v>3390</v>
      </c>
      <c r="D1013" s="5" t="s">
        <v>3309</v>
      </c>
      <c r="E1013" s="25" t="s">
        <v>3391</v>
      </c>
      <c r="F1013" t="s">
        <v>8</v>
      </c>
      <c r="G1013" t="s">
        <v>3392</v>
      </c>
      <c r="H1013" s="24">
        <v>46334</v>
      </c>
    </row>
    <row r="1014" spans="1:8" s="2" customFormat="1" x14ac:dyDescent="0.25">
      <c r="A1014" t="s">
        <v>1298</v>
      </c>
      <c r="B1014" t="s">
        <v>2878</v>
      </c>
      <c r="C1014" t="s">
        <v>3393</v>
      </c>
      <c r="D1014" s="5" t="s">
        <v>3309</v>
      </c>
      <c r="E1014" s="25" t="s">
        <v>3394</v>
      </c>
      <c r="F1014" t="s">
        <v>1301</v>
      </c>
      <c r="G1014" t="s">
        <v>3395</v>
      </c>
      <c r="H1014" s="24">
        <v>46334</v>
      </c>
    </row>
    <row r="1015" spans="1:8" s="3" customFormat="1" x14ac:dyDescent="0.25">
      <c r="A1015" t="s">
        <v>102</v>
      </c>
      <c r="B1015" t="s">
        <v>103</v>
      </c>
      <c r="C1015" t="s">
        <v>3396</v>
      </c>
      <c r="D1015" s="5" t="s">
        <v>3309</v>
      </c>
      <c r="E1015" s="25" t="s">
        <v>3397</v>
      </c>
      <c r="F1015" t="s">
        <v>104</v>
      </c>
      <c r="G1015" t="s">
        <v>3398</v>
      </c>
      <c r="H1015" s="24">
        <v>46334</v>
      </c>
    </row>
    <row r="1016" spans="1:8" s="2" customFormat="1" x14ac:dyDescent="0.25">
      <c r="A1016" t="s">
        <v>102</v>
      </c>
      <c r="B1016" t="s">
        <v>103</v>
      </c>
      <c r="C1016" t="s">
        <v>3399</v>
      </c>
      <c r="D1016" s="5" t="s">
        <v>3309</v>
      </c>
      <c r="E1016" s="25" t="s">
        <v>3400</v>
      </c>
      <c r="F1016" t="s">
        <v>8</v>
      </c>
      <c r="G1016" t="s">
        <v>3401</v>
      </c>
      <c r="H1016" s="24">
        <v>46334</v>
      </c>
    </row>
    <row r="1017" spans="1:8" s="3" customFormat="1" x14ac:dyDescent="0.25">
      <c r="A1017" t="s">
        <v>1617</v>
      </c>
      <c r="B1017" t="s">
        <v>1629</v>
      </c>
      <c r="C1017" t="s">
        <v>3402</v>
      </c>
      <c r="D1017" s="5" t="s">
        <v>3309</v>
      </c>
      <c r="E1017" s="25" t="s">
        <v>3403</v>
      </c>
      <c r="F1017" t="s">
        <v>1621</v>
      </c>
      <c r="G1017" t="s">
        <v>3404</v>
      </c>
      <c r="H1017" s="24">
        <v>46334</v>
      </c>
    </row>
    <row r="1018" spans="1:8" s="2" customFormat="1" x14ac:dyDescent="0.25">
      <c r="A1018" t="s">
        <v>1617</v>
      </c>
      <c r="B1018" t="s">
        <v>1618</v>
      </c>
      <c r="C1018" t="s">
        <v>3405</v>
      </c>
      <c r="D1018" s="5" t="s">
        <v>3309</v>
      </c>
      <c r="E1018" s="25" t="s">
        <v>3406</v>
      </c>
      <c r="F1018" t="s">
        <v>1621</v>
      </c>
      <c r="G1018" t="s">
        <v>3407</v>
      </c>
      <c r="H1018" s="24">
        <v>46334</v>
      </c>
    </row>
    <row r="1019" spans="1:8" s="3" customFormat="1" x14ac:dyDescent="0.25">
      <c r="A1019" t="s">
        <v>113</v>
      </c>
      <c r="B1019" t="s">
        <v>105</v>
      </c>
      <c r="C1019" t="s">
        <v>3408</v>
      </c>
      <c r="D1019" s="5" t="s">
        <v>3309</v>
      </c>
      <c r="E1019" s="25" t="s">
        <v>3409</v>
      </c>
      <c r="F1019" t="s">
        <v>114</v>
      </c>
      <c r="G1019" t="s">
        <v>3410</v>
      </c>
      <c r="H1019" s="24">
        <v>46334</v>
      </c>
    </row>
    <row r="1020" spans="1:8" s="2" customFormat="1" x14ac:dyDescent="0.25">
      <c r="A1020" t="s">
        <v>102</v>
      </c>
      <c r="B1020" t="s">
        <v>103</v>
      </c>
      <c r="C1020" t="s">
        <v>3396</v>
      </c>
      <c r="D1020" s="5" t="s">
        <v>3309</v>
      </c>
      <c r="E1020" s="25" t="s">
        <v>3411</v>
      </c>
      <c r="F1020" t="s">
        <v>104</v>
      </c>
      <c r="G1020" t="s">
        <v>3412</v>
      </c>
      <c r="H1020" s="24">
        <v>46334</v>
      </c>
    </row>
    <row r="1021" spans="1:8" s="3" customFormat="1" x14ac:dyDescent="0.25">
      <c r="A1021" t="s">
        <v>102</v>
      </c>
      <c r="B1021" t="s">
        <v>103</v>
      </c>
      <c r="C1021" t="s">
        <v>3399</v>
      </c>
      <c r="D1021" s="5" t="s">
        <v>3309</v>
      </c>
      <c r="E1021" s="25" t="s">
        <v>3413</v>
      </c>
      <c r="F1021" t="s">
        <v>8</v>
      </c>
      <c r="G1021" t="s">
        <v>3414</v>
      </c>
      <c r="H1021" s="24">
        <v>46334</v>
      </c>
    </row>
    <row r="1022" spans="1:8" s="2" customFormat="1" x14ac:dyDescent="0.25">
      <c r="A1022" t="s">
        <v>1847</v>
      </c>
      <c r="B1022" t="s">
        <v>2878</v>
      </c>
      <c r="C1022" t="s">
        <v>3415</v>
      </c>
      <c r="D1022" s="5" t="s">
        <v>3309</v>
      </c>
      <c r="E1022" s="25" t="s">
        <v>3416</v>
      </c>
      <c r="F1022" t="s">
        <v>1728</v>
      </c>
      <c r="G1022" t="s">
        <v>3417</v>
      </c>
      <c r="H1022" s="24">
        <v>46334</v>
      </c>
    </row>
    <row r="1023" spans="1:8" s="3" customFormat="1" x14ac:dyDescent="0.25">
      <c r="A1023" t="s">
        <v>1298</v>
      </c>
      <c r="B1023" t="s">
        <v>2878</v>
      </c>
      <c r="C1023" t="s">
        <v>3415</v>
      </c>
      <c r="D1023" s="5" t="s">
        <v>3309</v>
      </c>
      <c r="E1023" s="25" t="s">
        <v>3418</v>
      </c>
      <c r="F1023" t="s">
        <v>1301</v>
      </c>
      <c r="G1023" t="s">
        <v>3419</v>
      </c>
      <c r="H1023" s="24">
        <v>46334</v>
      </c>
    </row>
    <row r="1024" spans="1:8" s="2" customFormat="1" x14ac:dyDescent="0.25">
      <c r="A1024" t="s">
        <v>1617</v>
      </c>
      <c r="B1024" t="s">
        <v>105</v>
      </c>
      <c r="C1024" t="s">
        <v>3420</v>
      </c>
      <c r="D1024" s="5" t="s">
        <v>3309</v>
      </c>
      <c r="E1024" s="25" t="s">
        <v>3421</v>
      </c>
      <c r="F1024" t="s">
        <v>1621</v>
      </c>
      <c r="G1024" t="s">
        <v>3422</v>
      </c>
      <c r="H1024" s="24">
        <v>46334</v>
      </c>
    </row>
    <row r="1025" spans="1:8" s="3" customFormat="1" x14ac:dyDescent="0.25">
      <c r="A1025" t="s">
        <v>113</v>
      </c>
      <c r="B1025" t="s">
        <v>105</v>
      </c>
      <c r="C1025" t="s">
        <v>3423</v>
      </c>
      <c r="D1025" s="5" t="s">
        <v>3309</v>
      </c>
      <c r="E1025" s="25" t="s">
        <v>3424</v>
      </c>
      <c r="F1025" t="s">
        <v>114</v>
      </c>
      <c r="G1025" t="s">
        <v>3425</v>
      </c>
      <c r="H1025" s="24">
        <v>46334</v>
      </c>
    </row>
    <row r="1026" spans="1:8" s="2" customFormat="1" x14ac:dyDescent="0.25">
      <c r="A1026" t="s">
        <v>643</v>
      </c>
      <c r="B1026" t="s">
        <v>107</v>
      </c>
      <c r="C1026" t="s">
        <v>3426</v>
      </c>
      <c r="D1026" s="5" t="s">
        <v>3309</v>
      </c>
      <c r="E1026" s="25" t="s">
        <v>3427</v>
      </c>
      <c r="F1026" t="s">
        <v>108</v>
      </c>
      <c r="G1026" t="s">
        <v>3428</v>
      </c>
      <c r="H1026" s="24">
        <v>46334</v>
      </c>
    </row>
    <row r="1027" spans="1:8" s="3" customFormat="1" x14ac:dyDescent="0.25">
      <c r="A1027" t="s">
        <v>1671</v>
      </c>
      <c r="B1027" t="s">
        <v>107</v>
      </c>
      <c r="C1027" t="s">
        <v>3429</v>
      </c>
      <c r="D1027" s="5" t="s">
        <v>3309</v>
      </c>
      <c r="E1027" s="25" t="s">
        <v>3430</v>
      </c>
      <c r="F1027" t="s">
        <v>1343</v>
      </c>
      <c r="G1027" t="s">
        <v>3431</v>
      </c>
      <c r="H1027" s="24">
        <v>46334</v>
      </c>
    </row>
    <row r="1028" spans="1:8" s="2" customFormat="1" x14ac:dyDescent="0.25">
      <c r="A1028" t="s">
        <v>106</v>
      </c>
      <c r="B1028" t="s">
        <v>107</v>
      </c>
      <c r="C1028" t="s">
        <v>3432</v>
      </c>
      <c r="D1028" s="5" t="s">
        <v>3309</v>
      </c>
      <c r="E1028" s="25" t="s">
        <v>3433</v>
      </c>
      <c r="F1028" t="s">
        <v>108</v>
      </c>
      <c r="G1028" t="s">
        <v>3434</v>
      </c>
      <c r="H1028" s="24">
        <v>46334</v>
      </c>
    </row>
    <row r="1029" spans="1:8" s="3" customFormat="1" x14ac:dyDescent="0.25">
      <c r="A1029" t="s">
        <v>11</v>
      </c>
      <c r="B1029" t="s">
        <v>12</v>
      </c>
      <c r="C1029" t="s">
        <v>3435</v>
      </c>
      <c r="D1029" s="5" t="s">
        <v>3309</v>
      </c>
      <c r="E1029" s="25" t="s">
        <v>3436</v>
      </c>
      <c r="F1029" t="s">
        <v>8</v>
      </c>
      <c r="G1029" t="s">
        <v>3437</v>
      </c>
      <c r="H1029" s="24">
        <v>46334</v>
      </c>
    </row>
    <row r="1030" spans="1:8" s="2" customFormat="1" x14ac:dyDescent="0.25">
      <c r="A1030" t="s">
        <v>102</v>
      </c>
      <c r="B1030" t="s">
        <v>103</v>
      </c>
      <c r="C1030" t="s">
        <v>3438</v>
      </c>
      <c r="D1030" s="5" t="s">
        <v>3309</v>
      </c>
      <c r="E1030" s="25" t="s">
        <v>3439</v>
      </c>
      <c r="F1030" t="s">
        <v>8</v>
      </c>
      <c r="G1030" t="s">
        <v>3440</v>
      </c>
      <c r="H1030" s="24">
        <v>46334</v>
      </c>
    </row>
    <row r="1031" spans="1:8" s="3" customFormat="1" x14ac:dyDescent="0.25">
      <c r="A1031" t="s">
        <v>102</v>
      </c>
      <c r="B1031" t="s">
        <v>103</v>
      </c>
      <c r="C1031" t="s">
        <v>3441</v>
      </c>
      <c r="D1031" s="5" t="s">
        <v>3309</v>
      </c>
      <c r="E1031" s="25" t="s">
        <v>3442</v>
      </c>
      <c r="F1031" t="s">
        <v>104</v>
      </c>
      <c r="G1031" t="s">
        <v>3443</v>
      </c>
      <c r="H1031" s="24">
        <v>46334</v>
      </c>
    </row>
    <row r="1032" spans="1:8" s="2" customFormat="1" x14ac:dyDescent="0.25">
      <c r="A1032" t="s">
        <v>14</v>
      </c>
      <c r="B1032" t="s">
        <v>15</v>
      </c>
      <c r="C1032" t="s">
        <v>3444</v>
      </c>
      <c r="D1032" s="5" t="s">
        <v>3309</v>
      </c>
      <c r="E1032" s="25" t="s">
        <v>3445</v>
      </c>
      <c r="F1032" t="s">
        <v>13</v>
      </c>
      <c r="G1032" t="s">
        <v>3446</v>
      </c>
      <c r="H1032" s="24">
        <v>46334</v>
      </c>
    </row>
    <row r="1033" spans="1:8" s="3" customFormat="1" x14ac:dyDescent="0.25">
      <c r="A1033" t="s">
        <v>122</v>
      </c>
      <c r="B1033" t="s">
        <v>107</v>
      </c>
      <c r="C1033" t="s">
        <v>3447</v>
      </c>
      <c r="D1033" s="5" t="s">
        <v>3309</v>
      </c>
      <c r="E1033" s="25" t="s">
        <v>3448</v>
      </c>
      <c r="F1033" t="s">
        <v>123</v>
      </c>
      <c r="G1033" t="s">
        <v>3449</v>
      </c>
      <c r="H1033" s="24">
        <v>46334</v>
      </c>
    </row>
    <row r="1034" spans="1:8" s="2" customFormat="1" x14ac:dyDescent="0.25">
      <c r="A1034" t="s">
        <v>1871</v>
      </c>
      <c r="B1034" t="s">
        <v>107</v>
      </c>
      <c r="C1034" t="s">
        <v>3450</v>
      </c>
      <c r="D1034" s="5" t="s">
        <v>3309</v>
      </c>
      <c r="E1034" s="25" t="s">
        <v>3451</v>
      </c>
      <c r="F1034" t="s">
        <v>1873</v>
      </c>
      <c r="G1034" t="s">
        <v>3452</v>
      </c>
      <c r="H1034" s="24">
        <v>46334</v>
      </c>
    </row>
    <row r="1035" spans="1:8" s="3" customFormat="1" x14ac:dyDescent="0.25">
      <c r="A1035" t="s">
        <v>116</v>
      </c>
      <c r="B1035" t="s">
        <v>117</v>
      </c>
      <c r="C1035" t="s">
        <v>3453</v>
      </c>
      <c r="D1035" s="5" t="s">
        <v>3454</v>
      </c>
      <c r="E1035" s="25" t="s">
        <v>3455</v>
      </c>
      <c r="F1035" t="s">
        <v>118</v>
      </c>
      <c r="G1035" t="s">
        <v>3456</v>
      </c>
      <c r="H1035" s="24">
        <v>46303</v>
      </c>
    </row>
    <row r="1036" spans="1:8" s="2" customFormat="1" x14ac:dyDescent="0.25">
      <c r="A1036" t="s">
        <v>102</v>
      </c>
      <c r="B1036" t="s">
        <v>103</v>
      </c>
      <c r="C1036" t="s">
        <v>3457</v>
      </c>
      <c r="D1036" s="5" t="s">
        <v>3454</v>
      </c>
      <c r="E1036" s="25" t="s">
        <v>1940</v>
      </c>
      <c r="F1036" t="s">
        <v>104</v>
      </c>
      <c r="G1036" t="s">
        <v>3458</v>
      </c>
      <c r="H1036" s="24">
        <v>46303</v>
      </c>
    </row>
    <row r="1037" spans="1:8" s="3" customFormat="1" x14ac:dyDescent="0.25">
      <c r="A1037" t="s">
        <v>102</v>
      </c>
      <c r="B1037" t="s">
        <v>103</v>
      </c>
      <c r="C1037" t="s">
        <v>3459</v>
      </c>
      <c r="D1037" s="5" t="s">
        <v>3454</v>
      </c>
      <c r="E1037" s="25" t="s">
        <v>3460</v>
      </c>
      <c r="F1037" t="s">
        <v>8</v>
      </c>
      <c r="G1037" t="s">
        <v>3461</v>
      </c>
      <c r="H1037" s="24">
        <v>46303</v>
      </c>
    </row>
    <row r="1038" spans="1:8" s="2" customFormat="1" x14ac:dyDescent="0.25">
      <c r="A1038" t="s">
        <v>110</v>
      </c>
      <c r="B1038" t="s">
        <v>111</v>
      </c>
      <c r="C1038" t="s">
        <v>3462</v>
      </c>
      <c r="D1038" s="5" t="s">
        <v>3454</v>
      </c>
      <c r="E1038" s="25" t="s">
        <v>3463</v>
      </c>
      <c r="F1038" t="s">
        <v>112</v>
      </c>
      <c r="G1038" t="s">
        <v>3464</v>
      </c>
      <c r="H1038" s="24">
        <v>46303</v>
      </c>
    </row>
    <row r="1039" spans="1:8" s="3" customFormat="1" x14ac:dyDescent="0.25">
      <c r="A1039" t="s">
        <v>110</v>
      </c>
      <c r="B1039" t="s">
        <v>115</v>
      </c>
      <c r="C1039" t="s">
        <v>3465</v>
      </c>
      <c r="D1039" s="5" t="s">
        <v>3454</v>
      </c>
      <c r="E1039" s="25" t="s">
        <v>565</v>
      </c>
      <c r="F1039" t="s">
        <v>112</v>
      </c>
      <c r="G1039" t="s">
        <v>3466</v>
      </c>
      <c r="H1039" s="24">
        <v>46303</v>
      </c>
    </row>
    <row r="1040" spans="1:8" s="2" customFormat="1" x14ac:dyDescent="0.25">
      <c r="A1040" t="s">
        <v>11</v>
      </c>
      <c r="B1040" t="s">
        <v>12</v>
      </c>
      <c r="C1040" t="s">
        <v>3467</v>
      </c>
      <c r="D1040" s="5" t="s">
        <v>3454</v>
      </c>
      <c r="E1040" s="25" t="s">
        <v>3468</v>
      </c>
      <c r="F1040" t="s">
        <v>104</v>
      </c>
      <c r="G1040" t="s">
        <v>3469</v>
      </c>
      <c r="H1040" s="24">
        <v>46303</v>
      </c>
    </row>
    <row r="1041" spans="1:8" s="3" customFormat="1" x14ac:dyDescent="0.25">
      <c r="A1041" t="s">
        <v>1336</v>
      </c>
      <c r="B1041" t="s">
        <v>410</v>
      </c>
      <c r="C1041" t="s">
        <v>3470</v>
      </c>
      <c r="D1041" s="5" t="s">
        <v>3454</v>
      </c>
      <c r="E1041" s="25" t="s">
        <v>3471</v>
      </c>
      <c r="F1041" t="s">
        <v>1338</v>
      </c>
      <c r="G1041" t="s">
        <v>3472</v>
      </c>
      <c r="H1041" s="24">
        <v>46303</v>
      </c>
    </row>
    <row r="1042" spans="1:8" s="2" customFormat="1" x14ac:dyDescent="0.25">
      <c r="A1042" t="s">
        <v>102</v>
      </c>
      <c r="B1042" t="s">
        <v>103</v>
      </c>
      <c r="C1042" t="s">
        <v>3473</v>
      </c>
      <c r="D1042" s="5" t="s">
        <v>3454</v>
      </c>
      <c r="E1042" s="25" t="s">
        <v>3474</v>
      </c>
      <c r="F1042" t="s">
        <v>104</v>
      </c>
      <c r="G1042" t="s">
        <v>3475</v>
      </c>
      <c r="H1042" s="24">
        <v>46303</v>
      </c>
    </row>
    <row r="1043" spans="1:8" s="3" customFormat="1" x14ac:dyDescent="0.25">
      <c r="A1043" t="s">
        <v>102</v>
      </c>
      <c r="B1043" t="s">
        <v>103</v>
      </c>
      <c r="C1043" t="s">
        <v>3476</v>
      </c>
      <c r="D1043" s="5" t="s">
        <v>3454</v>
      </c>
      <c r="E1043" s="25" t="s">
        <v>3477</v>
      </c>
      <c r="F1043" t="s">
        <v>8</v>
      </c>
      <c r="G1043" t="s">
        <v>3478</v>
      </c>
      <c r="H1043" s="24">
        <v>46303</v>
      </c>
    </row>
    <row r="1044" spans="1:8" s="2" customFormat="1" x14ac:dyDescent="0.25">
      <c r="A1044" t="s">
        <v>102</v>
      </c>
      <c r="B1044" t="s">
        <v>103</v>
      </c>
      <c r="C1044" t="s">
        <v>3479</v>
      </c>
      <c r="D1044" s="5" t="s">
        <v>3454</v>
      </c>
      <c r="E1044" s="25" t="s">
        <v>3480</v>
      </c>
      <c r="F1044" t="s">
        <v>104</v>
      </c>
      <c r="G1044" t="s">
        <v>3481</v>
      </c>
      <c r="H1044" s="24">
        <v>46303</v>
      </c>
    </row>
    <row r="1045" spans="1:8" s="3" customFormat="1" x14ac:dyDescent="0.25">
      <c r="A1045" t="s">
        <v>102</v>
      </c>
      <c r="B1045" t="s">
        <v>103</v>
      </c>
      <c r="C1045" t="s">
        <v>3482</v>
      </c>
      <c r="D1045" s="5" t="s">
        <v>3454</v>
      </c>
      <c r="E1045" s="25" t="s">
        <v>3483</v>
      </c>
      <c r="F1045" t="s">
        <v>8</v>
      </c>
      <c r="G1045" t="s">
        <v>3484</v>
      </c>
      <c r="H1045" s="24">
        <v>46303</v>
      </c>
    </row>
    <row r="1046" spans="1:8" s="2" customFormat="1" x14ac:dyDescent="0.25">
      <c r="A1046" t="s">
        <v>113</v>
      </c>
      <c r="B1046" t="s">
        <v>105</v>
      </c>
      <c r="C1046" t="s">
        <v>3485</v>
      </c>
      <c r="D1046" s="5" t="s">
        <v>3454</v>
      </c>
      <c r="E1046" s="25" t="s">
        <v>3486</v>
      </c>
      <c r="F1046" t="s">
        <v>114</v>
      </c>
      <c r="G1046" t="s">
        <v>3487</v>
      </c>
      <c r="H1046" s="24">
        <v>46303</v>
      </c>
    </row>
    <row r="1047" spans="1:8" s="3" customFormat="1" x14ac:dyDescent="0.25">
      <c r="A1047" t="s">
        <v>113</v>
      </c>
      <c r="B1047" t="s">
        <v>105</v>
      </c>
      <c r="C1047" t="s">
        <v>3488</v>
      </c>
      <c r="D1047" s="5" t="s">
        <v>3454</v>
      </c>
      <c r="E1047" s="25" t="s">
        <v>3489</v>
      </c>
      <c r="F1047" t="s">
        <v>114</v>
      </c>
      <c r="G1047" t="s">
        <v>3490</v>
      </c>
      <c r="H1047" s="24">
        <v>46303</v>
      </c>
    </row>
    <row r="1048" spans="1:8" s="2" customFormat="1" x14ac:dyDescent="0.25">
      <c r="A1048" t="s">
        <v>125</v>
      </c>
      <c r="B1048" t="s">
        <v>2762</v>
      </c>
      <c r="C1048" t="s">
        <v>3491</v>
      </c>
      <c r="D1048" s="5" t="s">
        <v>3454</v>
      </c>
      <c r="E1048" s="25" t="s">
        <v>3492</v>
      </c>
      <c r="F1048" t="s">
        <v>127</v>
      </c>
      <c r="G1048" t="s">
        <v>3493</v>
      </c>
      <c r="H1048" s="24">
        <v>46303</v>
      </c>
    </row>
    <row r="1049" spans="1:8" s="3" customFormat="1" x14ac:dyDescent="0.25">
      <c r="A1049" t="s">
        <v>102</v>
      </c>
      <c r="B1049" t="s">
        <v>103</v>
      </c>
      <c r="C1049" t="s">
        <v>3494</v>
      </c>
      <c r="D1049" s="5" t="s">
        <v>3454</v>
      </c>
      <c r="E1049" s="25" t="s">
        <v>3495</v>
      </c>
      <c r="F1049" t="s">
        <v>104</v>
      </c>
      <c r="G1049" t="s">
        <v>3496</v>
      </c>
      <c r="H1049" s="24">
        <v>46303</v>
      </c>
    </row>
    <row r="1050" spans="1:8" s="2" customFormat="1" x14ac:dyDescent="0.25">
      <c r="A1050" t="s">
        <v>102</v>
      </c>
      <c r="B1050" t="s">
        <v>103</v>
      </c>
      <c r="C1050" t="s">
        <v>3497</v>
      </c>
      <c r="D1050" s="5" t="s">
        <v>3454</v>
      </c>
      <c r="E1050" s="25" t="s">
        <v>3498</v>
      </c>
      <c r="F1050" t="s">
        <v>8</v>
      </c>
      <c r="G1050" t="s">
        <v>3499</v>
      </c>
      <c r="H1050" s="24">
        <v>46303</v>
      </c>
    </row>
    <row r="1051" spans="1:8" s="3" customFormat="1" x14ac:dyDescent="0.25">
      <c r="A1051" t="s">
        <v>125</v>
      </c>
      <c r="B1051" t="s">
        <v>2762</v>
      </c>
      <c r="C1051" t="s">
        <v>3500</v>
      </c>
      <c r="D1051" s="5" t="s">
        <v>3454</v>
      </c>
      <c r="E1051" s="25" t="s">
        <v>3501</v>
      </c>
      <c r="F1051" t="s">
        <v>126</v>
      </c>
      <c r="G1051" t="s">
        <v>3502</v>
      </c>
      <c r="H1051" s="24">
        <v>46303</v>
      </c>
    </row>
    <row r="1052" spans="1:8" s="2" customFormat="1" x14ac:dyDescent="0.25">
      <c r="A1052" t="s">
        <v>125</v>
      </c>
      <c r="B1052" t="s">
        <v>2762</v>
      </c>
      <c r="C1052" t="s">
        <v>3503</v>
      </c>
      <c r="D1052" s="5" t="s">
        <v>3454</v>
      </c>
      <c r="E1052" s="25" t="s">
        <v>3504</v>
      </c>
      <c r="F1052" t="s">
        <v>127</v>
      </c>
      <c r="G1052" t="s">
        <v>3505</v>
      </c>
      <c r="H1052" s="24">
        <v>46303</v>
      </c>
    </row>
    <row r="1053" spans="1:8" s="3" customFormat="1" x14ac:dyDescent="0.25">
      <c r="A1053" t="s">
        <v>125</v>
      </c>
      <c r="B1053" t="s">
        <v>814</v>
      </c>
      <c r="C1053" t="s">
        <v>3506</v>
      </c>
      <c r="D1053" s="5" t="s">
        <v>3454</v>
      </c>
      <c r="E1053" s="25" t="s">
        <v>3507</v>
      </c>
      <c r="F1053" t="s">
        <v>126</v>
      </c>
      <c r="G1053" t="s">
        <v>3508</v>
      </c>
      <c r="H1053" s="24">
        <v>46303</v>
      </c>
    </row>
    <row r="1054" spans="1:8" s="2" customFormat="1" x14ac:dyDescent="0.25">
      <c r="A1054" t="s">
        <v>125</v>
      </c>
      <c r="B1054" t="s">
        <v>814</v>
      </c>
      <c r="C1054" t="s">
        <v>3509</v>
      </c>
      <c r="D1054" s="5" t="s">
        <v>3454</v>
      </c>
      <c r="E1054" s="25" t="s">
        <v>3510</v>
      </c>
      <c r="F1054" t="s">
        <v>127</v>
      </c>
      <c r="G1054" t="s">
        <v>3511</v>
      </c>
      <c r="H1054" s="24">
        <v>46303</v>
      </c>
    </row>
    <row r="1055" spans="1:8" s="3" customFormat="1" x14ac:dyDescent="0.25">
      <c r="A1055" t="s">
        <v>125</v>
      </c>
      <c r="B1055" t="s">
        <v>2762</v>
      </c>
      <c r="C1055" t="s">
        <v>3512</v>
      </c>
      <c r="D1055" s="5" t="s">
        <v>3454</v>
      </c>
      <c r="E1055" s="25" t="s">
        <v>3513</v>
      </c>
      <c r="F1055" t="s">
        <v>126</v>
      </c>
      <c r="G1055" t="s">
        <v>3514</v>
      </c>
      <c r="H1055" s="24">
        <v>46303</v>
      </c>
    </row>
    <row r="1056" spans="1:8" s="2" customFormat="1" x14ac:dyDescent="0.25">
      <c r="A1056" t="s">
        <v>102</v>
      </c>
      <c r="B1056" t="s">
        <v>103</v>
      </c>
      <c r="C1056" t="s">
        <v>3515</v>
      </c>
      <c r="D1056" s="5" t="s">
        <v>3454</v>
      </c>
      <c r="E1056" s="25" t="s">
        <v>3516</v>
      </c>
      <c r="F1056" t="s">
        <v>104</v>
      </c>
      <c r="G1056" t="s">
        <v>3517</v>
      </c>
      <c r="H1056" s="24">
        <v>46303</v>
      </c>
    </row>
    <row r="1057" spans="1:8" s="3" customFormat="1" x14ac:dyDescent="0.25">
      <c r="A1057" t="s">
        <v>102</v>
      </c>
      <c r="B1057" t="s">
        <v>103</v>
      </c>
      <c r="C1057" t="s">
        <v>3518</v>
      </c>
      <c r="D1057" s="5" t="s">
        <v>3454</v>
      </c>
      <c r="E1057" s="25" t="s">
        <v>3519</v>
      </c>
      <c r="F1057" t="s">
        <v>8</v>
      </c>
      <c r="G1057" t="s">
        <v>3520</v>
      </c>
      <c r="H1057" s="24">
        <v>46303</v>
      </c>
    </row>
    <row r="1058" spans="1:8" s="2" customFormat="1" x14ac:dyDescent="0.25">
      <c r="A1058" t="s">
        <v>102</v>
      </c>
      <c r="B1058" t="s">
        <v>103</v>
      </c>
      <c r="C1058" t="s">
        <v>3515</v>
      </c>
      <c r="D1058" s="5" t="s">
        <v>3454</v>
      </c>
      <c r="E1058" s="25" t="s">
        <v>3521</v>
      </c>
      <c r="F1058" t="s">
        <v>104</v>
      </c>
      <c r="G1058" t="s">
        <v>3522</v>
      </c>
      <c r="H1058" s="24">
        <v>46303</v>
      </c>
    </row>
    <row r="1059" spans="1:8" s="3" customFormat="1" x14ac:dyDescent="0.25">
      <c r="A1059" t="s">
        <v>102</v>
      </c>
      <c r="B1059" t="s">
        <v>103</v>
      </c>
      <c r="C1059" t="s">
        <v>3518</v>
      </c>
      <c r="D1059" s="5" t="s">
        <v>3454</v>
      </c>
      <c r="E1059" s="25" t="s">
        <v>3523</v>
      </c>
      <c r="F1059" t="s">
        <v>8</v>
      </c>
      <c r="G1059" t="s">
        <v>3524</v>
      </c>
      <c r="H1059" s="24">
        <v>46303</v>
      </c>
    </row>
    <row r="1060" spans="1:8" s="2" customFormat="1" x14ac:dyDescent="0.25">
      <c r="A1060" t="s">
        <v>102</v>
      </c>
      <c r="B1060" t="s">
        <v>103</v>
      </c>
      <c r="C1060" t="s">
        <v>3525</v>
      </c>
      <c r="D1060" s="5" t="s">
        <v>3454</v>
      </c>
      <c r="E1060" s="25" t="s">
        <v>3526</v>
      </c>
      <c r="F1060" t="s">
        <v>104</v>
      </c>
      <c r="G1060" t="s">
        <v>3527</v>
      </c>
      <c r="H1060" s="24">
        <v>46303</v>
      </c>
    </row>
    <row r="1061" spans="1:8" s="3" customFormat="1" x14ac:dyDescent="0.25">
      <c r="A1061" t="s">
        <v>102</v>
      </c>
      <c r="B1061" t="s">
        <v>103</v>
      </c>
      <c r="C1061" t="s">
        <v>3528</v>
      </c>
      <c r="D1061" s="5" t="s">
        <v>3454</v>
      </c>
      <c r="E1061" s="25" t="s">
        <v>3529</v>
      </c>
      <c r="F1061" t="s">
        <v>8</v>
      </c>
      <c r="G1061" t="s">
        <v>3530</v>
      </c>
      <c r="H1061" s="24">
        <v>46303</v>
      </c>
    </row>
    <row r="1062" spans="1:8" s="2" customFormat="1" x14ac:dyDescent="0.25">
      <c r="A1062" t="s">
        <v>102</v>
      </c>
      <c r="B1062" t="s">
        <v>103</v>
      </c>
      <c r="C1062" t="s">
        <v>3531</v>
      </c>
      <c r="D1062" s="5" t="s">
        <v>3454</v>
      </c>
      <c r="E1062" s="25" t="s">
        <v>3532</v>
      </c>
      <c r="F1062" t="s">
        <v>104</v>
      </c>
      <c r="G1062" t="s">
        <v>3533</v>
      </c>
      <c r="H1062" s="24">
        <v>46303</v>
      </c>
    </row>
    <row r="1063" spans="1:8" s="3" customFormat="1" x14ac:dyDescent="0.25">
      <c r="A1063" t="s">
        <v>102</v>
      </c>
      <c r="B1063" t="s">
        <v>103</v>
      </c>
      <c r="C1063" t="s">
        <v>3534</v>
      </c>
      <c r="D1063" s="5" t="s">
        <v>3454</v>
      </c>
      <c r="E1063" s="25" t="s">
        <v>3535</v>
      </c>
      <c r="F1063" t="s">
        <v>8</v>
      </c>
      <c r="G1063" t="s">
        <v>3536</v>
      </c>
      <c r="H1063" s="24">
        <v>46303</v>
      </c>
    </row>
    <row r="1064" spans="1:8" s="2" customFormat="1" x14ac:dyDescent="0.25">
      <c r="A1064" t="s">
        <v>120</v>
      </c>
      <c r="B1064" t="s">
        <v>410</v>
      </c>
      <c r="C1064" t="s">
        <v>3537</v>
      </c>
      <c r="D1064" s="5" t="s">
        <v>3454</v>
      </c>
      <c r="E1064" s="25" t="s">
        <v>3538</v>
      </c>
      <c r="F1064" t="s">
        <v>121</v>
      </c>
      <c r="G1064" t="s">
        <v>3539</v>
      </c>
      <c r="H1064" s="24">
        <v>46303</v>
      </c>
    </row>
    <row r="1065" spans="1:8" s="3" customFormat="1" x14ac:dyDescent="0.25">
      <c r="A1065" t="s">
        <v>102</v>
      </c>
      <c r="B1065" t="s">
        <v>103</v>
      </c>
      <c r="C1065" t="s">
        <v>3531</v>
      </c>
      <c r="D1065" s="5" t="s">
        <v>3454</v>
      </c>
      <c r="E1065" s="25" t="s">
        <v>3540</v>
      </c>
      <c r="F1065" t="s">
        <v>104</v>
      </c>
      <c r="G1065" t="s">
        <v>3541</v>
      </c>
      <c r="H1065" s="24">
        <v>46303</v>
      </c>
    </row>
    <row r="1066" spans="1:8" s="2" customFormat="1" x14ac:dyDescent="0.25">
      <c r="A1066" t="s">
        <v>102</v>
      </c>
      <c r="B1066" t="s">
        <v>103</v>
      </c>
      <c r="C1066" t="s">
        <v>3534</v>
      </c>
      <c r="D1066" s="5" t="s">
        <v>3454</v>
      </c>
      <c r="E1066" s="25" t="s">
        <v>132</v>
      </c>
      <c r="F1066" t="s">
        <v>8</v>
      </c>
      <c r="G1066" t="s">
        <v>3542</v>
      </c>
      <c r="H1066" s="24">
        <v>46303</v>
      </c>
    </row>
    <row r="1067" spans="1:8" s="3" customFormat="1" x14ac:dyDescent="0.25">
      <c r="A1067" t="s">
        <v>1752</v>
      </c>
      <c r="B1067" t="s">
        <v>3543</v>
      </c>
      <c r="C1067" t="s">
        <v>3544</v>
      </c>
      <c r="D1067" s="5" t="s">
        <v>3454</v>
      </c>
      <c r="E1067" s="25" t="s">
        <v>3545</v>
      </c>
      <c r="F1067" t="s">
        <v>13</v>
      </c>
      <c r="G1067" t="s">
        <v>3546</v>
      </c>
      <c r="H1067" s="24">
        <v>46303</v>
      </c>
    </row>
    <row r="1068" spans="1:8" s="2" customFormat="1" x14ac:dyDescent="0.25">
      <c r="A1068" t="s">
        <v>1671</v>
      </c>
      <c r="B1068" t="s">
        <v>107</v>
      </c>
      <c r="C1068" t="s">
        <v>3547</v>
      </c>
      <c r="D1068" s="5" t="s">
        <v>3454</v>
      </c>
      <c r="E1068" s="25" t="s">
        <v>3548</v>
      </c>
      <c r="F1068" t="s">
        <v>1343</v>
      </c>
      <c r="G1068" t="s">
        <v>3549</v>
      </c>
      <c r="H1068" s="24">
        <v>46303</v>
      </c>
    </row>
    <row r="1069" spans="1:8" s="3" customFormat="1" x14ac:dyDescent="0.25">
      <c r="A1069" t="s">
        <v>125</v>
      </c>
      <c r="B1069" t="s">
        <v>2762</v>
      </c>
      <c r="C1069" t="s">
        <v>3550</v>
      </c>
      <c r="D1069" s="5" t="s">
        <v>3454</v>
      </c>
      <c r="E1069" s="25" t="s">
        <v>3551</v>
      </c>
      <c r="F1069" t="s">
        <v>127</v>
      </c>
      <c r="G1069" t="s">
        <v>3552</v>
      </c>
      <c r="H1069" s="24">
        <v>46303</v>
      </c>
    </row>
    <row r="1070" spans="1:8" s="2" customFormat="1" x14ac:dyDescent="0.25">
      <c r="A1070" t="s">
        <v>125</v>
      </c>
      <c r="B1070" t="s">
        <v>2762</v>
      </c>
      <c r="C1070" t="s">
        <v>3553</v>
      </c>
      <c r="D1070" s="5" t="s">
        <v>3454</v>
      </c>
      <c r="E1070" s="25" t="s">
        <v>3554</v>
      </c>
      <c r="F1070" t="s">
        <v>126</v>
      </c>
      <c r="G1070" t="s">
        <v>3555</v>
      </c>
      <c r="H1070" s="24">
        <v>46303</v>
      </c>
    </row>
    <row r="1071" spans="1:8" s="3" customFormat="1" x14ac:dyDescent="0.25">
      <c r="A1071" t="s">
        <v>125</v>
      </c>
      <c r="B1071" t="s">
        <v>2762</v>
      </c>
      <c r="C1071" t="s">
        <v>3550</v>
      </c>
      <c r="D1071" s="5" t="s">
        <v>3454</v>
      </c>
      <c r="E1071" s="25" t="s">
        <v>3556</v>
      </c>
      <c r="F1071" t="s">
        <v>127</v>
      </c>
      <c r="G1071" t="s">
        <v>3557</v>
      </c>
      <c r="H1071" s="24">
        <v>46303</v>
      </c>
    </row>
    <row r="1072" spans="1:8" s="2" customFormat="1" x14ac:dyDescent="0.25">
      <c r="A1072" t="s">
        <v>125</v>
      </c>
      <c r="B1072" t="s">
        <v>2762</v>
      </c>
      <c r="C1072" t="s">
        <v>3553</v>
      </c>
      <c r="D1072" s="5" t="s">
        <v>3454</v>
      </c>
      <c r="E1072" s="25" t="s">
        <v>3558</v>
      </c>
      <c r="F1072" t="s">
        <v>126</v>
      </c>
      <c r="G1072" t="s">
        <v>3559</v>
      </c>
      <c r="H1072" s="24">
        <v>46303</v>
      </c>
    </row>
    <row r="1073" spans="1:8" s="3" customFormat="1" x14ac:dyDescent="0.25">
      <c r="A1073" t="s">
        <v>1752</v>
      </c>
      <c r="B1073" t="s">
        <v>3543</v>
      </c>
      <c r="C1073" t="s">
        <v>3560</v>
      </c>
      <c r="D1073" s="5" t="s">
        <v>3454</v>
      </c>
      <c r="E1073" s="25" t="s">
        <v>3561</v>
      </c>
      <c r="F1073" t="s">
        <v>13</v>
      </c>
      <c r="G1073" t="s">
        <v>3562</v>
      </c>
      <c r="H1073" s="24">
        <v>46303</v>
      </c>
    </row>
    <row r="1074" spans="1:8" s="2" customFormat="1" x14ac:dyDescent="0.25">
      <c r="A1074" t="s">
        <v>120</v>
      </c>
      <c r="B1074" t="s">
        <v>128</v>
      </c>
      <c r="C1074" t="s">
        <v>3563</v>
      </c>
      <c r="D1074" s="5" t="s">
        <v>3454</v>
      </c>
      <c r="E1074" s="25" t="s">
        <v>3564</v>
      </c>
      <c r="F1074" t="s">
        <v>121</v>
      </c>
      <c r="G1074" t="s">
        <v>3565</v>
      </c>
      <c r="H1074" s="24">
        <v>46303</v>
      </c>
    </row>
    <row r="1075" spans="1:8" s="3" customFormat="1" x14ac:dyDescent="0.25">
      <c r="A1075" t="s">
        <v>102</v>
      </c>
      <c r="B1075" t="s">
        <v>103</v>
      </c>
      <c r="C1075" t="s">
        <v>3566</v>
      </c>
      <c r="D1075" s="5" t="s">
        <v>3454</v>
      </c>
      <c r="E1075" s="25" t="s">
        <v>3567</v>
      </c>
      <c r="F1075" t="s">
        <v>104</v>
      </c>
      <c r="G1075" t="s">
        <v>3568</v>
      </c>
      <c r="H1075" s="24">
        <v>46303</v>
      </c>
    </row>
    <row r="1076" spans="1:8" s="2" customFormat="1" x14ac:dyDescent="0.25">
      <c r="A1076" t="s">
        <v>102</v>
      </c>
      <c r="B1076" t="s">
        <v>103</v>
      </c>
      <c r="C1076" t="s">
        <v>3569</v>
      </c>
      <c r="D1076" s="5" t="s">
        <v>3454</v>
      </c>
      <c r="E1076" s="25" t="s">
        <v>3570</v>
      </c>
      <c r="F1076" t="s">
        <v>8</v>
      </c>
      <c r="G1076" t="s">
        <v>3571</v>
      </c>
      <c r="H1076" s="24">
        <v>46303</v>
      </c>
    </row>
    <row r="1077" spans="1:8" s="3" customFormat="1" x14ac:dyDescent="0.25">
      <c r="A1077" t="s">
        <v>1345</v>
      </c>
      <c r="B1077" t="s">
        <v>128</v>
      </c>
      <c r="C1077" t="s">
        <v>3572</v>
      </c>
      <c r="D1077" s="5" t="s">
        <v>3454</v>
      </c>
      <c r="E1077" s="25" t="s">
        <v>3573</v>
      </c>
      <c r="F1077" t="s">
        <v>1348</v>
      </c>
      <c r="G1077" t="s">
        <v>3574</v>
      </c>
      <c r="H1077" s="24">
        <v>46303</v>
      </c>
    </row>
    <row r="1078" spans="1:8" s="2" customFormat="1" x14ac:dyDescent="0.25">
      <c r="A1078" t="s">
        <v>11</v>
      </c>
      <c r="B1078" t="s">
        <v>12</v>
      </c>
      <c r="C1078" t="s">
        <v>3575</v>
      </c>
      <c r="D1078" s="5" t="s">
        <v>3454</v>
      </c>
      <c r="E1078" s="25" t="s">
        <v>3576</v>
      </c>
      <c r="F1078" t="s">
        <v>8</v>
      </c>
      <c r="G1078" t="s">
        <v>3577</v>
      </c>
      <c r="H1078" s="24">
        <v>46303</v>
      </c>
    </row>
    <row r="1079" spans="1:8" s="3" customFormat="1" x14ac:dyDescent="0.25">
      <c r="A1079" t="s">
        <v>14</v>
      </c>
      <c r="B1079" t="s">
        <v>15</v>
      </c>
      <c r="C1079" t="s">
        <v>3578</v>
      </c>
      <c r="D1079" s="5" t="s">
        <v>3454</v>
      </c>
      <c r="E1079" s="25" t="s">
        <v>3579</v>
      </c>
      <c r="F1079" t="s">
        <v>13</v>
      </c>
      <c r="G1079" t="s">
        <v>3580</v>
      </c>
      <c r="H1079" s="24">
        <v>46303</v>
      </c>
    </row>
    <row r="1080" spans="1:8" s="2" customFormat="1" x14ac:dyDescent="0.25">
      <c r="A1080" t="s">
        <v>102</v>
      </c>
      <c r="B1080" t="s">
        <v>103</v>
      </c>
      <c r="C1080" t="s">
        <v>3581</v>
      </c>
      <c r="D1080" s="5" t="s">
        <v>3582</v>
      </c>
      <c r="E1080" s="25" t="s">
        <v>3583</v>
      </c>
      <c r="F1080" t="s">
        <v>104</v>
      </c>
      <c r="G1080" t="s">
        <v>3584</v>
      </c>
      <c r="H1080" s="24">
        <v>46273</v>
      </c>
    </row>
    <row r="1081" spans="1:8" s="3" customFormat="1" x14ac:dyDescent="0.25">
      <c r="A1081" t="s">
        <v>102</v>
      </c>
      <c r="B1081" t="s">
        <v>103</v>
      </c>
      <c r="C1081" t="s">
        <v>3585</v>
      </c>
      <c r="D1081" s="5" t="s">
        <v>3582</v>
      </c>
      <c r="E1081" s="25" t="s">
        <v>3586</v>
      </c>
      <c r="F1081" t="s">
        <v>8</v>
      </c>
      <c r="G1081" t="s">
        <v>3587</v>
      </c>
      <c r="H1081" s="24">
        <v>46273</v>
      </c>
    </row>
    <row r="1082" spans="1:8" s="2" customFormat="1" x14ac:dyDescent="0.25">
      <c r="A1082" t="s">
        <v>1752</v>
      </c>
      <c r="B1082" t="s">
        <v>107</v>
      </c>
      <c r="C1082" t="s">
        <v>3588</v>
      </c>
      <c r="D1082" s="5" t="s">
        <v>3582</v>
      </c>
      <c r="E1082" s="25" t="s">
        <v>3589</v>
      </c>
      <c r="F1082" t="s">
        <v>13</v>
      </c>
      <c r="G1082" t="s">
        <v>3590</v>
      </c>
      <c r="H1082" s="24">
        <v>46273</v>
      </c>
    </row>
    <row r="1083" spans="1:8" s="3" customFormat="1" x14ac:dyDescent="0.25">
      <c r="A1083" t="s">
        <v>1856</v>
      </c>
      <c r="B1083" t="s">
        <v>2686</v>
      </c>
      <c r="C1083" t="s">
        <v>3591</v>
      </c>
      <c r="D1083" s="5" t="s">
        <v>3582</v>
      </c>
      <c r="E1083" s="25" t="s">
        <v>3592</v>
      </c>
      <c r="F1083" t="s">
        <v>13</v>
      </c>
      <c r="G1083" t="s">
        <v>3593</v>
      </c>
      <c r="H1083" s="24">
        <v>46273</v>
      </c>
    </row>
    <row r="1084" spans="1:8" s="2" customFormat="1" x14ac:dyDescent="0.25">
      <c r="A1084" t="s">
        <v>14</v>
      </c>
      <c r="B1084" t="s">
        <v>2686</v>
      </c>
      <c r="C1084" t="s">
        <v>3594</v>
      </c>
      <c r="D1084" s="5" t="s">
        <v>3582</v>
      </c>
      <c r="E1084" s="25" t="s">
        <v>3595</v>
      </c>
      <c r="F1084" t="s">
        <v>13</v>
      </c>
      <c r="G1084" t="s">
        <v>3596</v>
      </c>
      <c r="H1084" s="24">
        <v>46273</v>
      </c>
    </row>
    <row r="1085" spans="1:8" s="3" customFormat="1" x14ac:dyDescent="0.25">
      <c r="A1085" t="s">
        <v>110</v>
      </c>
      <c r="B1085" t="s">
        <v>111</v>
      </c>
      <c r="C1085" t="s">
        <v>3597</v>
      </c>
      <c r="D1085" s="5" t="s">
        <v>3582</v>
      </c>
      <c r="E1085" s="25" t="s">
        <v>3598</v>
      </c>
      <c r="F1085" t="s">
        <v>112</v>
      </c>
      <c r="G1085" t="s">
        <v>3599</v>
      </c>
      <c r="H1085" s="24">
        <v>46273</v>
      </c>
    </row>
    <row r="1086" spans="1:8" s="2" customFormat="1" x14ac:dyDescent="0.25">
      <c r="A1086" t="s">
        <v>110</v>
      </c>
      <c r="B1086" t="s">
        <v>115</v>
      </c>
      <c r="C1086" t="s">
        <v>3600</v>
      </c>
      <c r="D1086" s="5" t="s">
        <v>3582</v>
      </c>
      <c r="E1086" s="25" t="s">
        <v>3601</v>
      </c>
      <c r="F1086" t="s">
        <v>112</v>
      </c>
      <c r="G1086" t="s">
        <v>3602</v>
      </c>
      <c r="H1086" s="24">
        <v>46273</v>
      </c>
    </row>
    <row r="1087" spans="1:8" s="3" customFormat="1" x14ac:dyDescent="0.25">
      <c r="A1087" t="s">
        <v>102</v>
      </c>
      <c r="B1087" t="s">
        <v>103</v>
      </c>
      <c r="C1087" t="s">
        <v>3603</v>
      </c>
      <c r="D1087" s="5" t="s">
        <v>3582</v>
      </c>
      <c r="E1087" s="25" t="s">
        <v>3604</v>
      </c>
      <c r="F1087" t="s">
        <v>104</v>
      </c>
      <c r="G1087" t="s">
        <v>3605</v>
      </c>
      <c r="H1087" s="24">
        <v>46273</v>
      </c>
    </row>
    <row r="1088" spans="1:8" s="2" customFormat="1" x14ac:dyDescent="0.25">
      <c r="A1088" t="s">
        <v>102</v>
      </c>
      <c r="B1088" t="s">
        <v>103</v>
      </c>
      <c r="C1088" t="s">
        <v>3606</v>
      </c>
      <c r="D1088" s="5" t="s">
        <v>3582</v>
      </c>
      <c r="E1088" s="25" t="s">
        <v>3607</v>
      </c>
      <c r="F1088" t="s">
        <v>8</v>
      </c>
      <c r="G1088" t="s">
        <v>3608</v>
      </c>
      <c r="H1088" s="24">
        <v>46273</v>
      </c>
    </row>
    <row r="1089" spans="1:8" s="3" customFormat="1" x14ac:dyDescent="0.25">
      <c r="A1089" t="s">
        <v>116</v>
      </c>
      <c r="B1089" t="s">
        <v>117</v>
      </c>
      <c r="C1089" t="s">
        <v>3609</v>
      </c>
      <c r="D1089" s="5" t="s">
        <v>3582</v>
      </c>
      <c r="E1089" s="25" t="s">
        <v>3610</v>
      </c>
      <c r="F1089" t="s">
        <v>118</v>
      </c>
      <c r="G1089" t="s">
        <v>3611</v>
      </c>
      <c r="H1089" s="24">
        <v>46273</v>
      </c>
    </row>
    <row r="1090" spans="1:8" s="2" customFormat="1" x14ac:dyDescent="0.25">
      <c r="A1090" t="s">
        <v>1336</v>
      </c>
      <c r="B1090" t="s">
        <v>410</v>
      </c>
      <c r="C1090" t="s">
        <v>3612</v>
      </c>
      <c r="D1090" s="5" t="s">
        <v>3582</v>
      </c>
      <c r="E1090" s="25" t="s">
        <v>3613</v>
      </c>
      <c r="F1090" t="s">
        <v>1338</v>
      </c>
      <c r="G1090" t="s">
        <v>3614</v>
      </c>
      <c r="H1090" s="24">
        <v>46273</v>
      </c>
    </row>
    <row r="1091" spans="1:8" s="3" customFormat="1" x14ac:dyDescent="0.25">
      <c r="A1091" t="s">
        <v>102</v>
      </c>
      <c r="B1091" t="s">
        <v>103</v>
      </c>
      <c r="C1091" t="s">
        <v>3615</v>
      </c>
      <c r="D1091" s="5" t="s">
        <v>3582</v>
      </c>
      <c r="E1091" s="25" t="s">
        <v>3616</v>
      </c>
      <c r="F1091" t="s">
        <v>104</v>
      </c>
      <c r="G1091" t="s">
        <v>3617</v>
      </c>
      <c r="H1091" s="24">
        <v>46273</v>
      </c>
    </row>
    <row r="1092" spans="1:8" s="2" customFormat="1" x14ac:dyDescent="0.25">
      <c r="A1092" t="s">
        <v>102</v>
      </c>
      <c r="B1092" t="s">
        <v>103</v>
      </c>
      <c r="C1092" t="s">
        <v>3618</v>
      </c>
      <c r="D1092" s="5" t="s">
        <v>3582</v>
      </c>
      <c r="E1092" s="25" t="s">
        <v>3619</v>
      </c>
      <c r="F1092" t="s">
        <v>8</v>
      </c>
      <c r="G1092" t="s">
        <v>3620</v>
      </c>
      <c r="H1092" s="24">
        <v>46273</v>
      </c>
    </row>
    <row r="1093" spans="1:8" s="3" customFormat="1" x14ac:dyDescent="0.25">
      <c r="A1093" t="s">
        <v>102</v>
      </c>
      <c r="B1093" t="s">
        <v>103</v>
      </c>
      <c r="C1093" t="s">
        <v>3621</v>
      </c>
      <c r="D1093" s="5" t="s">
        <v>3582</v>
      </c>
      <c r="E1093" s="25" t="s">
        <v>3622</v>
      </c>
      <c r="F1093" t="s">
        <v>104</v>
      </c>
      <c r="G1093" t="s">
        <v>3623</v>
      </c>
      <c r="H1093" s="24">
        <v>46273</v>
      </c>
    </row>
    <row r="1094" spans="1:8" s="2" customFormat="1" x14ac:dyDescent="0.25">
      <c r="A1094" t="s">
        <v>102</v>
      </c>
      <c r="B1094" t="s">
        <v>103</v>
      </c>
      <c r="C1094" t="s">
        <v>3624</v>
      </c>
      <c r="D1094" s="5" t="s">
        <v>3582</v>
      </c>
      <c r="E1094" s="25" t="s">
        <v>3625</v>
      </c>
      <c r="F1094" t="s">
        <v>8</v>
      </c>
      <c r="G1094" t="s">
        <v>3626</v>
      </c>
      <c r="H1094" s="24">
        <v>46273</v>
      </c>
    </row>
    <row r="1095" spans="1:8" s="3" customFormat="1" x14ac:dyDescent="0.25">
      <c r="A1095" t="s">
        <v>116</v>
      </c>
      <c r="B1095" t="s">
        <v>117</v>
      </c>
      <c r="C1095" t="s">
        <v>3627</v>
      </c>
      <c r="D1095" s="5" t="s">
        <v>3582</v>
      </c>
      <c r="E1095" s="25" t="s">
        <v>3628</v>
      </c>
      <c r="F1095" t="s">
        <v>118</v>
      </c>
      <c r="G1095" t="s">
        <v>3629</v>
      </c>
      <c r="H1095" s="24">
        <v>46273</v>
      </c>
    </row>
    <row r="1096" spans="1:8" s="2" customFormat="1" x14ac:dyDescent="0.25">
      <c r="A1096" t="s">
        <v>116</v>
      </c>
      <c r="B1096" t="s">
        <v>117</v>
      </c>
      <c r="C1096" t="s">
        <v>3630</v>
      </c>
      <c r="D1096" s="5" t="s">
        <v>3582</v>
      </c>
      <c r="E1096" s="25" t="s">
        <v>3631</v>
      </c>
      <c r="F1096" t="s">
        <v>118</v>
      </c>
      <c r="G1096" t="s">
        <v>3632</v>
      </c>
      <c r="H1096" s="24">
        <v>46273</v>
      </c>
    </row>
    <row r="1097" spans="1:8" s="3" customFormat="1" x14ac:dyDescent="0.25">
      <c r="A1097" t="s">
        <v>102</v>
      </c>
      <c r="B1097" t="s">
        <v>103</v>
      </c>
      <c r="C1097" t="s">
        <v>3633</v>
      </c>
      <c r="D1097" s="5" t="s">
        <v>3582</v>
      </c>
      <c r="E1097" s="25" t="s">
        <v>3634</v>
      </c>
      <c r="F1097" t="s">
        <v>104</v>
      </c>
      <c r="G1097" t="s">
        <v>3635</v>
      </c>
      <c r="H1097" s="24">
        <v>46273</v>
      </c>
    </row>
    <row r="1098" spans="1:8" s="2" customFormat="1" x14ac:dyDescent="0.25">
      <c r="A1098" t="s">
        <v>102</v>
      </c>
      <c r="B1098" t="s">
        <v>103</v>
      </c>
      <c r="C1098" t="s">
        <v>3636</v>
      </c>
      <c r="D1098" s="5" t="s">
        <v>3582</v>
      </c>
      <c r="E1098" s="25" t="s">
        <v>3637</v>
      </c>
      <c r="F1098" t="s">
        <v>8</v>
      </c>
      <c r="G1098" t="s">
        <v>3638</v>
      </c>
      <c r="H1098" s="24">
        <v>46273</v>
      </c>
    </row>
    <row r="1099" spans="1:8" s="3" customFormat="1" x14ac:dyDescent="0.25">
      <c r="A1099" t="s">
        <v>116</v>
      </c>
      <c r="B1099" t="s">
        <v>117</v>
      </c>
      <c r="C1099" t="s">
        <v>3639</v>
      </c>
      <c r="D1099" s="5" t="s">
        <v>3582</v>
      </c>
      <c r="E1099" s="25" t="s">
        <v>3640</v>
      </c>
      <c r="F1099" t="s">
        <v>118</v>
      </c>
      <c r="G1099" t="s">
        <v>3641</v>
      </c>
      <c r="H1099" s="24">
        <v>46273</v>
      </c>
    </row>
    <row r="1100" spans="1:8" s="2" customFormat="1" x14ac:dyDescent="0.25">
      <c r="A1100" t="s">
        <v>102</v>
      </c>
      <c r="B1100" t="s">
        <v>103</v>
      </c>
      <c r="C1100" t="s">
        <v>3642</v>
      </c>
      <c r="D1100" s="5" t="s">
        <v>3582</v>
      </c>
      <c r="E1100" s="25" t="s">
        <v>3643</v>
      </c>
      <c r="F1100" t="s">
        <v>104</v>
      </c>
      <c r="G1100" t="s">
        <v>3644</v>
      </c>
      <c r="H1100" s="24">
        <v>46273</v>
      </c>
    </row>
    <row r="1101" spans="1:8" s="3" customFormat="1" x14ac:dyDescent="0.25">
      <c r="A1101" t="s">
        <v>102</v>
      </c>
      <c r="B1101" t="s">
        <v>103</v>
      </c>
      <c r="C1101" t="s">
        <v>3645</v>
      </c>
      <c r="D1101" s="5" t="s">
        <v>3582</v>
      </c>
      <c r="E1101" s="25" t="s">
        <v>3646</v>
      </c>
      <c r="F1101" t="s">
        <v>8</v>
      </c>
      <c r="G1101" t="s">
        <v>3647</v>
      </c>
      <c r="H1101" s="24">
        <v>46273</v>
      </c>
    </row>
    <row r="1102" spans="1:8" s="2" customFormat="1" x14ac:dyDescent="0.25">
      <c r="A1102" t="s">
        <v>102</v>
      </c>
      <c r="B1102" t="s">
        <v>103</v>
      </c>
      <c r="C1102" t="s">
        <v>3648</v>
      </c>
      <c r="D1102" s="5" t="s">
        <v>3582</v>
      </c>
      <c r="E1102" s="25" t="s">
        <v>3649</v>
      </c>
      <c r="F1102" t="s">
        <v>104</v>
      </c>
      <c r="G1102" t="s">
        <v>3650</v>
      </c>
      <c r="H1102" s="24">
        <v>46273</v>
      </c>
    </row>
    <row r="1103" spans="1:8" s="3" customFormat="1" x14ac:dyDescent="0.25">
      <c r="A1103" t="s">
        <v>102</v>
      </c>
      <c r="B1103" t="s">
        <v>103</v>
      </c>
      <c r="C1103" t="s">
        <v>3651</v>
      </c>
      <c r="D1103" s="5" t="s">
        <v>3582</v>
      </c>
      <c r="E1103" s="25" t="s">
        <v>3652</v>
      </c>
      <c r="F1103" t="s">
        <v>8</v>
      </c>
      <c r="G1103" t="s">
        <v>3653</v>
      </c>
      <c r="H1103" s="24">
        <v>46273</v>
      </c>
    </row>
    <row r="1104" spans="1:8" s="2" customFormat="1" x14ac:dyDescent="0.25">
      <c r="A1104" t="s">
        <v>116</v>
      </c>
      <c r="B1104" t="s">
        <v>117</v>
      </c>
      <c r="C1104" t="s">
        <v>3654</v>
      </c>
      <c r="D1104" s="5" t="s">
        <v>3582</v>
      </c>
      <c r="E1104" s="25" t="s">
        <v>3655</v>
      </c>
      <c r="F1104" t="s">
        <v>118</v>
      </c>
      <c r="G1104" t="s">
        <v>3656</v>
      </c>
      <c r="H1104" s="24">
        <v>46273</v>
      </c>
    </row>
    <row r="1105" spans="1:8" s="3" customFormat="1" x14ac:dyDescent="0.25">
      <c r="A1105" t="s">
        <v>102</v>
      </c>
      <c r="B1105" t="s">
        <v>103</v>
      </c>
      <c r="C1105" t="s">
        <v>3657</v>
      </c>
      <c r="D1105" s="5" t="s">
        <v>3582</v>
      </c>
      <c r="E1105" s="25" t="s">
        <v>3658</v>
      </c>
      <c r="F1105" t="s">
        <v>104</v>
      </c>
      <c r="G1105" t="s">
        <v>3659</v>
      </c>
      <c r="H1105" s="24">
        <v>46273</v>
      </c>
    </row>
    <row r="1106" spans="1:8" s="2" customFormat="1" x14ac:dyDescent="0.25">
      <c r="A1106" t="s">
        <v>102</v>
      </c>
      <c r="B1106" t="s">
        <v>103</v>
      </c>
      <c r="C1106" t="s">
        <v>3660</v>
      </c>
      <c r="D1106" s="5" t="s">
        <v>3582</v>
      </c>
      <c r="E1106" s="25" t="s">
        <v>3661</v>
      </c>
      <c r="F1106" t="s">
        <v>8</v>
      </c>
      <c r="G1106" t="s">
        <v>3662</v>
      </c>
      <c r="H1106" s="24">
        <v>46273</v>
      </c>
    </row>
    <row r="1107" spans="1:8" s="3" customFormat="1" x14ac:dyDescent="0.25">
      <c r="A1107" t="s">
        <v>1713</v>
      </c>
      <c r="B1107" t="s">
        <v>3202</v>
      </c>
      <c r="C1107" t="s">
        <v>3663</v>
      </c>
      <c r="D1107" s="5" t="s">
        <v>3582</v>
      </c>
      <c r="E1107" s="25" t="s">
        <v>3664</v>
      </c>
      <c r="F1107" t="s">
        <v>8</v>
      </c>
      <c r="G1107" t="s">
        <v>3665</v>
      </c>
      <c r="H1107" s="24">
        <v>46273</v>
      </c>
    </row>
    <row r="1108" spans="1:8" s="2" customFormat="1" x14ac:dyDescent="0.25">
      <c r="A1108" t="s">
        <v>1713</v>
      </c>
      <c r="B1108" t="s">
        <v>3202</v>
      </c>
      <c r="C1108" t="s">
        <v>3666</v>
      </c>
      <c r="D1108" s="5" t="s">
        <v>3582</v>
      </c>
      <c r="E1108" s="25" t="s">
        <v>3667</v>
      </c>
      <c r="F1108" t="s">
        <v>104</v>
      </c>
      <c r="G1108" t="s">
        <v>3668</v>
      </c>
      <c r="H1108" s="24">
        <v>46273</v>
      </c>
    </row>
    <row r="1109" spans="1:8" s="3" customFormat="1" x14ac:dyDescent="0.25">
      <c r="A1109" t="s">
        <v>102</v>
      </c>
      <c r="B1109" t="s">
        <v>103</v>
      </c>
      <c r="C1109" t="s">
        <v>3669</v>
      </c>
      <c r="D1109" s="5" t="s">
        <v>3582</v>
      </c>
      <c r="E1109" s="25" t="s">
        <v>3670</v>
      </c>
      <c r="F1109" t="s">
        <v>104</v>
      </c>
      <c r="G1109" t="s">
        <v>3671</v>
      </c>
      <c r="H1109" s="24">
        <v>46273</v>
      </c>
    </row>
    <row r="1110" spans="1:8" s="2" customFormat="1" x14ac:dyDescent="0.25">
      <c r="A1110" t="s">
        <v>102</v>
      </c>
      <c r="B1110" t="s">
        <v>103</v>
      </c>
      <c r="C1110" t="s">
        <v>3672</v>
      </c>
      <c r="D1110" s="5" t="s">
        <v>3582</v>
      </c>
      <c r="E1110" s="25" t="s">
        <v>3673</v>
      </c>
      <c r="F1110" t="s">
        <v>8</v>
      </c>
      <c r="G1110" t="s">
        <v>3674</v>
      </c>
      <c r="H1110" s="24">
        <v>46273</v>
      </c>
    </row>
    <row r="1111" spans="1:8" s="3" customFormat="1" x14ac:dyDescent="0.25">
      <c r="A1111" t="s">
        <v>1458</v>
      </c>
      <c r="B1111" t="s">
        <v>1459</v>
      </c>
      <c r="C1111" t="s">
        <v>3675</v>
      </c>
      <c r="D1111" s="5" t="s">
        <v>3582</v>
      </c>
      <c r="E1111" s="25" t="s">
        <v>3676</v>
      </c>
      <c r="F1111" t="s">
        <v>119</v>
      </c>
      <c r="G1111" t="s">
        <v>3677</v>
      </c>
      <c r="H1111" s="24">
        <v>46273</v>
      </c>
    </row>
    <row r="1112" spans="1:8" s="2" customFormat="1" x14ac:dyDescent="0.25">
      <c r="A1112" t="s">
        <v>14</v>
      </c>
      <c r="B1112" t="s">
        <v>15</v>
      </c>
      <c r="C1112" t="s">
        <v>3678</v>
      </c>
      <c r="D1112" s="5" t="s">
        <v>3582</v>
      </c>
      <c r="E1112" s="25" t="s">
        <v>3679</v>
      </c>
      <c r="F1112" t="s">
        <v>13</v>
      </c>
      <c r="G1112" t="s">
        <v>3680</v>
      </c>
      <c r="H1112" s="24">
        <v>46273</v>
      </c>
    </row>
    <row r="1113" spans="1:8" s="3" customFormat="1" x14ac:dyDescent="0.25">
      <c r="A1113" t="s">
        <v>102</v>
      </c>
      <c r="B1113" t="s">
        <v>103</v>
      </c>
      <c r="C1113" t="s">
        <v>3681</v>
      </c>
      <c r="D1113" s="5" t="s">
        <v>3582</v>
      </c>
      <c r="E1113" s="25" t="s">
        <v>3682</v>
      </c>
      <c r="F1113" t="s">
        <v>104</v>
      </c>
      <c r="G1113" t="s">
        <v>3683</v>
      </c>
      <c r="H1113" s="24">
        <v>46273</v>
      </c>
    </row>
    <row r="1114" spans="1:8" s="2" customFormat="1" x14ac:dyDescent="0.25">
      <c r="A1114" t="s">
        <v>102</v>
      </c>
      <c r="B1114" t="s">
        <v>103</v>
      </c>
      <c r="C1114" t="s">
        <v>3684</v>
      </c>
      <c r="D1114" s="5" t="s">
        <v>3582</v>
      </c>
      <c r="E1114" s="25" t="s">
        <v>3685</v>
      </c>
      <c r="F1114" t="s">
        <v>8</v>
      </c>
      <c r="G1114" t="s">
        <v>3686</v>
      </c>
      <c r="H1114" s="24">
        <v>46273</v>
      </c>
    </row>
    <row r="1115" spans="1:8" s="3" customFormat="1" x14ac:dyDescent="0.25">
      <c r="A1115" t="s">
        <v>110</v>
      </c>
      <c r="B1115" t="s">
        <v>111</v>
      </c>
      <c r="C1115" t="s">
        <v>3687</v>
      </c>
      <c r="D1115" s="5" t="s">
        <v>3688</v>
      </c>
      <c r="E1115" s="25" t="s">
        <v>3689</v>
      </c>
      <c r="F1115" t="s">
        <v>112</v>
      </c>
      <c r="G1115" t="s">
        <v>3690</v>
      </c>
      <c r="H1115" s="24">
        <v>46242</v>
      </c>
    </row>
    <row r="1116" spans="1:8" s="2" customFormat="1" x14ac:dyDescent="0.25">
      <c r="A1116" t="s">
        <v>110</v>
      </c>
      <c r="B1116" t="s">
        <v>115</v>
      </c>
      <c r="C1116" t="s">
        <v>3691</v>
      </c>
      <c r="D1116" s="5" t="s">
        <v>3688</v>
      </c>
      <c r="E1116" s="25" t="s">
        <v>3692</v>
      </c>
      <c r="F1116" t="s">
        <v>112</v>
      </c>
      <c r="G1116" t="s">
        <v>3693</v>
      </c>
      <c r="H1116" s="24">
        <v>46242</v>
      </c>
    </row>
    <row r="1117" spans="1:8" s="3" customFormat="1" x14ac:dyDescent="0.25">
      <c r="A1117" t="s">
        <v>11</v>
      </c>
      <c r="B1117" t="s">
        <v>12</v>
      </c>
      <c r="C1117" t="s">
        <v>3694</v>
      </c>
      <c r="D1117" s="5" t="s">
        <v>3688</v>
      </c>
      <c r="E1117" s="25" t="s">
        <v>3468</v>
      </c>
      <c r="F1117" t="s">
        <v>104</v>
      </c>
      <c r="G1117" t="s">
        <v>3695</v>
      </c>
      <c r="H1117" s="24">
        <v>46242</v>
      </c>
    </row>
    <row r="1118" spans="1:8" s="2" customFormat="1" x14ac:dyDescent="0.25">
      <c r="A1118" t="s">
        <v>116</v>
      </c>
      <c r="B1118" t="s">
        <v>117</v>
      </c>
      <c r="C1118" t="s">
        <v>3696</v>
      </c>
      <c r="D1118" s="5" t="s">
        <v>3688</v>
      </c>
      <c r="E1118" s="25" t="s">
        <v>3697</v>
      </c>
      <c r="F1118" t="s">
        <v>118</v>
      </c>
      <c r="G1118" t="s">
        <v>3698</v>
      </c>
      <c r="H1118" s="24">
        <v>46242</v>
      </c>
    </row>
    <row r="1119" spans="1:8" s="3" customFormat="1" x14ac:dyDescent="0.25">
      <c r="A1119" t="s">
        <v>102</v>
      </c>
      <c r="B1119" t="s">
        <v>103</v>
      </c>
      <c r="C1119" t="s">
        <v>3699</v>
      </c>
      <c r="D1119" s="5" t="s">
        <v>3688</v>
      </c>
      <c r="E1119" s="25" t="s">
        <v>3700</v>
      </c>
      <c r="F1119" t="s">
        <v>104</v>
      </c>
      <c r="G1119" t="s">
        <v>3701</v>
      </c>
      <c r="H1119" s="24">
        <v>46242</v>
      </c>
    </row>
    <row r="1120" spans="1:8" s="2" customFormat="1" x14ac:dyDescent="0.25">
      <c r="A1120" t="s">
        <v>102</v>
      </c>
      <c r="B1120" t="s">
        <v>103</v>
      </c>
      <c r="C1120" t="s">
        <v>3702</v>
      </c>
      <c r="D1120" s="5" t="s">
        <v>3688</v>
      </c>
      <c r="E1120" s="25" t="s">
        <v>3703</v>
      </c>
      <c r="F1120" t="s">
        <v>8</v>
      </c>
      <c r="G1120" t="s">
        <v>3704</v>
      </c>
      <c r="H1120" s="24">
        <v>46242</v>
      </c>
    </row>
    <row r="1121" spans="1:8" s="3" customFormat="1" x14ac:dyDescent="0.25">
      <c r="A1121" t="s">
        <v>102</v>
      </c>
      <c r="B1121" t="s">
        <v>103</v>
      </c>
      <c r="C1121" t="s">
        <v>3705</v>
      </c>
      <c r="D1121" s="5" t="s">
        <v>3688</v>
      </c>
      <c r="E1121" s="25" t="s">
        <v>3706</v>
      </c>
      <c r="F1121" t="s">
        <v>104</v>
      </c>
      <c r="G1121" t="s">
        <v>3707</v>
      </c>
      <c r="H1121" s="24">
        <v>46242</v>
      </c>
    </row>
    <row r="1122" spans="1:8" s="2" customFormat="1" x14ac:dyDescent="0.25">
      <c r="A1122" t="s">
        <v>102</v>
      </c>
      <c r="B1122" t="s">
        <v>103</v>
      </c>
      <c r="C1122" t="s">
        <v>3708</v>
      </c>
      <c r="D1122" s="5" t="s">
        <v>3688</v>
      </c>
      <c r="E1122" s="25" t="s">
        <v>3709</v>
      </c>
      <c r="F1122" t="s">
        <v>8</v>
      </c>
      <c r="G1122" t="s">
        <v>3710</v>
      </c>
      <c r="H1122" s="24">
        <v>46242</v>
      </c>
    </row>
    <row r="1123" spans="1:8" s="3" customFormat="1" x14ac:dyDescent="0.25">
      <c r="A1123" t="s">
        <v>102</v>
      </c>
      <c r="B1123" t="s">
        <v>103</v>
      </c>
      <c r="C1123" t="s">
        <v>3711</v>
      </c>
      <c r="D1123" s="5" t="s">
        <v>3688</v>
      </c>
      <c r="E1123" s="25" t="s">
        <v>3712</v>
      </c>
      <c r="F1123" t="s">
        <v>104</v>
      </c>
      <c r="G1123" t="s">
        <v>3713</v>
      </c>
      <c r="H1123" s="24">
        <v>46242</v>
      </c>
    </row>
    <row r="1124" spans="1:8" s="2" customFormat="1" x14ac:dyDescent="0.25">
      <c r="A1124" t="s">
        <v>102</v>
      </c>
      <c r="B1124" t="s">
        <v>103</v>
      </c>
      <c r="C1124" t="s">
        <v>3714</v>
      </c>
      <c r="D1124" s="5" t="s">
        <v>3688</v>
      </c>
      <c r="E1124" s="25" t="s">
        <v>3715</v>
      </c>
      <c r="F1124" t="s">
        <v>8</v>
      </c>
      <c r="G1124" t="s">
        <v>3716</v>
      </c>
      <c r="H1124" s="24">
        <v>46242</v>
      </c>
    </row>
    <row r="1125" spans="1:8" s="3" customFormat="1" x14ac:dyDescent="0.25">
      <c r="A1125" t="s">
        <v>1671</v>
      </c>
      <c r="B1125" t="s">
        <v>107</v>
      </c>
      <c r="C1125" t="s">
        <v>3717</v>
      </c>
      <c r="D1125" s="5" t="s">
        <v>3688</v>
      </c>
      <c r="E1125" s="25" t="s">
        <v>733</v>
      </c>
      <c r="F1125" t="s">
        <v>1343</v>
      </c>
      <c r="G1125" t="s">
        <v>3718</v>
      </c>
      <c r="H1125" s="24">
        <v>46242</v>
      </c>
    </row>
    <row r="1126" spans="1:8" s="2" customFormat="1" x14ac:dyDescent="0.25">
      <c r="A1126" t="s">
        <v>102</v>
      </c>
      <c r="B1126" t="s">
        <v>103</v>
      </c>
      <c r="C1126" t="s">
        <v>3719</v>
      </c>
      <c r="D1126" s="5" t="s">
        <v>3688</v>
      </c>
      <c r="E1126" s="25" t="s">
        <v>3720</v>
      </c>
      <c r="F1126" t="s">
        <v>104</v>
      </c>
      <c r="G1126" t="s">
        <v>3721</v>
      </c>
      <c r="H1126" s="24">
        <v>46242</v>
      </c>
    </row>
    <row r="1127" spans="1:8" s="3" customFormat="1" x14ac:dyDescent="0.25">
      <c r="A1127" t="s">
        <v>102</v>
      </c>
      <c r="B1127" t="s">
        <v>103</v>
      </c>
      <c r="C1127" t="s">
        <v>3722</v>
      </c>
      <c r="D1127" s="5" t="s">
        <v>3688</v>
      </c>
      <c r="E1127" s="25" t="s">
        <v>3723</v>
      </c>
      <c r="F1127" t="s">
        <v>8</v>
      </c>
      <c r="G1127" t="s">
        <v>3724</v>
      </c>
      <c r="H1127" s="24">
        <v>46242</v>
      </c>
    </row>
    <row r="1128" spans="1:8" s="2" customFormat="1" x14ac:dyDescent="0.25">
      <c r="A1128" t="s">
        <v>102</v>
      </c>
      <c r="B1128" t="s">
        <v>103</v>
      </c>
      <c r="C1128" t="s">
        <v>3725</v>
      </c>
      <c r="D1128" s="5" t="s">
        <v>3688</v>
      </c>
      <c r="E1128" s="25" t="s">
        <v>3726</v>
      </c>
      <c r="F1128" t="s">
        <v>104</v>
      </c>
      <c r="G1128" t="s">
        <v>3727</v>
      </c>
      <c r="H1128" s="24">
        <v>46242</v>
      </c>
    </row>
    <row r="1129" spans="1:8" s="3" customFormat="1" x14ac:dyDescent="0.25">
      <c r="A1129" t="s">
        <v>102</v>
      </c>
      <c r="B1129" t="s">
        <v>103</v>
      </c>
      <c r="C1129" t="s">
        <v>3728</v>
      </c>
      <c r="D1129" s="5" t="s">
        <v>3688</v>
      </c>
      <c r="E1129" s="25" t="s">
        <v>3729</v>
      </c>
      <c r="F1129" t="s">
        <v>8</v>
      </c>
      <c r="G1129" t="s">
        <v>3730</v>
      </c>
      <c r="H1129" s="24">
        <v>46242</v>
      </c>
    </row>
    <row r="1130" spans="1:8" s="2" customFormat="1" x14ac:dyDescent="0.25">
      <c r="A1130" t="s">
        <v>14</v>
      </c>
      <c r="B1130" t="s">
        <v>3731</v>
      </c>
      <c r="C1130" t="s">
        <v>3732</v>
      </c>
      <c r="D1130" s="5" t="s">
        <v>3688</v>
      </c>
      <c r="E1130" s="25" t="s">
        <v>3733</v>
      </c>
      <c r="F1130" t="s">
        <v>13</v>
      </c>
      <c r="G1130" t="s">
        <v>3734</v>
      </c>
      <c r="H1130" s="24">
        <v>46242</v>
      </c>
    </row>
    <row r="1131" spans="1:8" s="3" customFormat="1" x14ac:dyDescent="0.25">
      <c r="A1131" t="s">
        <v>102</v>
      </c>
      <c r="B1131" t="s">
        <v>103</v>
      </c>
      <c r="C1131" t="s">
        <v>3735</v>
      </c>
      <c r="D1131" s="5" t="s">
        <v>3688</v>
      </c>
      <c r="E1131" s="25" t="s">
        <v>3736</v>
      </c>
      <c r="F1131" t="s">
        <v>104</v>
      </c>
      <c r="G1131" t="s">
        <v>3737</v>
      </c>
      <c r="H1131" s="24">
        <v>46242</v>
      </c>
    </row>
    <row r="1132" spans="1:8" s="2" customFormat="1" x14ac:dyDescent="0.25">
      <c r="A1132" t="s">
        <v>102</v>
      </c>
      <c r="B1132" t="s">
        <v>103</v>
      </c>
      <c r="C1132" t="s">
        <v>3738</v>
      </c>
      <c r="D1132" s="5" t="s">
        <v>3688</v>
      </c>
      <c r="E1132" s="25" t="s">
        <v>2610</v>
      </c>
      <c r="F1132" t="s">
        <v>8</v>
      </c>
      <c r="G1132" t="s">
        <v>3739</v>
      </c>
      <c r="H1132" s="24">
        <v>46242</v>
      </c>
    </row>
    <row r="1133" spans="1:8" s="3" customFormat="1" x14ac:dyDescent="0.25">
      <c r="A1133" t="s">
        <v>11</v>
      </c>
      <c r="B1133" t="s">
        <v>12</v>
      </c>
      <c r="C1133" t="s">
        <v>3740</v>
      </c>
      <c r="D1133" s="5" t="s">
        <v>3688</v>
      </c>
      <c r="E1133" s="25" t="s">
        <v>3576</v>
      </c>
      <c r="F1133" t="s">
        <v>8</v>
      </c>
      <c r="G1133" t="s">
        <v>3741</v>
      </c>
      <c r="H1133" s="24">
        <v>46242</v>
      </c>
    </row>
    <row r="1134" spans="1:8" s="2" customFormat="1" x14ac:dyDescent="0.25">
      <c r="A1134" t="s">
        <v>102</v>
      </c>
      <c r="B1134" t="s">
        <v>103</v>
      </c>
      <c r="C1134" t="s">
        <v>3742</v>
      </c>
      <c r="D1134" s="5" t="s">
        <v>3688</v>
      </c>
      <c r="E1134" s="25" t="s">
        <v>3743</v>
      </c>
      <c r="F1134" t="s">
        <v>104</v>
      </c>
      <c r="G1134" t="s">
        <v>3744</v>
      </c>
      <c r="H1134" s="24">
        <v>46242</v>
      </c>
    </row>
    <row r="1135" spans="1:8" s="3" customFormat="1" x14ac:dyDescent="0.25">
      <c r="A1135" t="s">
        <v>102</v>
      </c>
      <c r="B1135" t="s">
        <v>103</v>
      </c>
      <c r="C1135" t="s">
        <v>3745</v>
      </c>
      <c r="D1135" s="5" t="s">
        <v>3688</v>
      </c>
      <c r="E1135" s="25" t="s">
        <v>3746</v>
      </c>
      <c r="F1135" t="s">
        <v>8</v>
      </c>
      <c r="G1135" t="s">
        <v>3747</v>
      </c>
      <c r="H1135" s="24">
        <v>46242</v>
      </c>
    </row>
    <row r="1136" spans="1:8" s="2" customFormat="1" x14ac:dyDescent="0.25">
      <c r="A1136" t="s">
        <v>14</v>
      </c>
      <c r="B1136" t="s">
        <v>3731</v>
      </c>
      <c r="C1136" t="s">
        <v>3748</v>
      </c>
      <c r="D1136" s="5" t="s">
        <v>3688</v>
      </c>
      <c r="E1136" s="25" t="s">
        <v>3749</v>
      </c>
      <c r="F1136" t="s">
        <v>13</v>
      </c>
      <c r="G1136" t="s">
        <v>3750</v>
      </c>
      <c r="H1136" s="24">
        <v>46242</v>
      </c>
    </row>
    <row r="1137" spans="1:8" s="3" customFormat="1" x14ac:dyDescent="0.25">
      <c r="A1137" t="s">
        <v>102</v>
      </c>
      <c r="B1137" t="s">
        <v>103</v>
      </c>
      <c r="C1137" t="s">
        <v>3751</v>
      </c>
      <c r="D1137" s="5" t="s">
        <v>3688</v>
      </c>
      <c r="E1137" s="25" t="s">
        <v>3752</v>
      </c>
      <c r="F1137" t="s">
        <v>104</v>
      </c>
      <c r="G1137" t="s">
        <v>3753</v>
      </c>
      <c r="H1137" s="24">
        <v>46242</v>
      </c>
    </row>
    <row r="1138" spans="1:8" s="2" customFormat="1" x14ac:dyDescent="0.25">
      <c r="A1138" t="s">
        <v>102</v>
      </c>
      <c r="B1138" t="s">
        <v>103</v>
      </c>
      <c r="C1138" t="s">
        <v>3754</v>
      </c>
      <c r="D1138" s="5" t="s">
        <v>3688</v>
      </c>
      <c r="E1138" s="25" t="s">
        <v>3755</v>
      </c>
      <c r="F1138" t="s">
        <v>8</v>
      </c>
      <c r="G1138" t="s">
        <v>3756</v>
      </c>
      <c r="H1138" s="24">
        <v>46242</v>
      </c>
    </row>
    <row r="1139" spans="1:8" s="3" customFormat="1" x14ac:dyDescent="0.25">
      <c r="A1139" t="s">
        <v>110</v>
      </c>
      <c r="B1139" t="s">
        <v>111</v>
      </c>
      <c r="C1139" t="s">
        <v>3757</v>
      </c>
      <c r="D1139" s="5" t="s">
        <v>3758</v>
      </c>
      <c r="E1139" s="25" t="s">
        <v>3759</v>
      </c>
      <c r="F1139" t="s">
        <v>112</v>
      </c>
      <c r="G1139" t="s">
        <v>3760</v>
      </c>
      <c r="H1139" s="24">
        <v>46211</v>
      </c>
    </row>
    <row r="1140" spans="1:8" s="2" customFormat="1" x14ac:dyDescent="0.25">
      <c r="A1140" t="s">
        <v>110</v>
      </c>
      <c r="B1140" t="s">
        <v>115</v>
      </c>
      <c r="C1140" t="s">
        <v>3761</v>
      </c>
      <c r="D1140" s="5" t="s">
        <v>3758</v>
      </c>
      <c r="E1140" s="25" t="s">
        <v>3762</v>
      </c>
      <c r="F1140" t="s">
        <v>112</v>
      </c>
      <c r="G1140" t="s">
        <v>3763</v>
      </c>
      <c r="H1140" s="24">
        <v>46211</v>
      </c>
    </row>
    <row r="1141" spans="1:8" s="3" customFormat="1" x14ac:dyDescent="0.25">
      <c r="A1141" t="s">
        <v>11</v>
      </c>
      <c r="B1141" t="s">
        <v>12</v>
      </c>
      <c r="C1141" t="s">
        <v>3764</v>
      </c>
      <c r="D1141" s="5" t="s">
        <v>3758</v>
      </c>
      <c r="E1141" s="25" t="s">
        <v>3468</v>
      </c>
      <c r="F1141" t="s">
        <v>104</v>
      </c>
      <c r="G1141" t="s">
        <v>3765</v>
      </c>
      <c r="H1141" s="24">
        <v>46211</v>
      </c>
    </row>
    <row r="1142" spans="1:8" s="2" customFormat="1" x14ac:dyDescent="0.25">
      <c r="A1142" t="s">
        <v>102</v>
      </c>
      <c r="B1142" t="s">
        <v>103</v>
      </c>
      <c r="C1142" t="s">
        <v>3766</v>
      </c>
      <c r="D1142" s="5" t="s">
        <v>3758</v>
      </c>
      <c r="E1142" s="25" t="s">
        <v>3767</v>
      </c>
      <c r="F1142" t="s">
        <v>104</v>
      </c>
      <c r="G1142" t="s">
        <v>3768</v>
      </c>
      <c r="H1142" s="24">
        <v>46211</v>
      </c>
    </row>
    <row r="1143" spans="1:8" s="3" customFormat="1" x14ac:dyDescent="0.25">
      <c r="A1143" t="s">
        <v>102</v>
      </c>
      <c r="B1143" t="s">
        <v>103</v>
      </c>
      <c r="C1143" t="s">
        <v>3769</v>
      </c>
      <c r="D1143" s="5" t="s">
        <v>3758</v>
      </c>
      <c r="E1143" s="25" t="s">
        <v>3770</v>
      </c>
      <c r="F1143" t="s">
        <v>8</v>
      </c>
      <c r="G1143" t="s">
        <v>3771</v>
      </c>
      <c r="H1143" s="24">
        <v>46211</v>
      </c>
    </row>
    <row r="1144" spans="1:8" s="2" customFormat="1" x14ac:dyDescent="0.25">
      <c r="A1144" t="s">
        <v>116</v>
      </c>
      <c r="B1144" t="s">
        <v>117</v>
      </c>
      <c r="C1144" t="s">
        <v>3772</v>
      </c>
      <c r="D1144" s="5" t="s">
        <v>3758</v>
      </c>
      <c r="E1144" s="25" t="s">
        <v>3773</v>
      </c>
      <c r="F1144" t="s">
        <v>118</v>
      </c>
      <c r="G1144" t="s">
        <v>3774</v>
      </c>
      <c r="H1144" s="24">
        <v>46211</v>
      </c>
    </row>
    <row r="1145" spans="1:8" s="3" customFormat="1" x14ac:dyDescent="0.25">
      <c r="A1145" t="s">
        <v>102</v>
      </c>
      <c r="B1145" t="s">
        <v>103</v>
      </c>
      <c r="C1145" t="s">
        <v>3775</v>
      </c>
      <c r="D1145" s="5" t="s">
        <v>3758</v>
      </c>
      <c r="E1145" s="25" t="s">
        <v>3776</v>
      </c>
      <c r="F1145" t="s">
        <v>104</v>
      </c>
      <c r="G1145" t="s">
        <v>3777</v>
      </c>
      <c r="H1145" s="24">
        <v>46211</v>
      </c>
    </row>
    <row r="1146" spans="1:8" s="2" customFormat="1" x14ac:dyDescent="0.25">
      <c r="A1146" t="s">
        <v>102</v>
      </c>
      <c r="B1146" t="s">
        <v>103</v>
      </c>
      <c r="C1146" t="s">
        <v>3778</v>
      </c>
      <c r="D1146" s="5" t="s">
        <v>3758</v>
      </c>
      <c r="E1146" s="25" t="s">
        <v>3779</v>
      </c>
      <c r="F1146" t="s">
        <v>8</v>
      </c>
      <c r="G1146" t="s">
        <v>3780</v>
      </c>
      <c r="H1146" s="24">
        <v>46211</v>
      </c>
    </row>
    <row r="1147" spans="1:8" s="3" customFormat="1" x14ac:dyDescent="0.25">
      <c r="A1147" t="s">
        <v>102</v>
      </c>
      <c r="B1147" t="s">
        <v>103</v>
      </c>
      <c r="C1147" t="s">
        <v>3781</v>
      </c>
      <c r="D1147" s="5" t="s">
        <v>3758</v>
      </c>
      <c r="E1147" s="25" t="s">
        <v>3782</v>
      </c>
      <c r="F1147" t="s">
        <v>104</v>
      </c>
      <c r="G1147" t="s">
        <v>3783</v>
      </c>
      <c r="H1147" s="24">
        <v>46211</v>
      </c>
    </row>
    <row r="1148" spans="1:8" s="2" customFormat="1" x14ac:dyDescent="0.25">
      <c r="A1148" t="s">
        <v>102</v>
      </c>
      <c r="B1148" t="s">
        <v>103</v>
      </c>
      <c r="C1148" t="s">
        <v>3784</v>
      </c>
      <c r="D1148" s="5" t="s">
        <v>3758</v>
      </c>
      <c r="E1148" s="25" t="s">
        <v>3785</v>
      </c>
      <c r="F1148" t="s">
        <v>8</v>
      </c>
      <c r="G1148" t="s">
        <v>3786</v>
      </c>
      <c r="H1148" s="24">
        <v>46211</v>
      </c>
    </row>
    <row r="1149" spans="1:8" s="3" customFormat="1" x14ac:dyDescent="0.25">
      <c r="A1149" t="s">
        <v>1340</v>
      </c>
      <c r="B1149" t="s">
        <v>410</v>
      </c>
      <c r="C1149" t="s">
        <v>3787</v>
      </c>
      <c r="D1149" s="5" t="s">
        <v>3758</v>
      </c>
      <c r="E1149" s="25" t="s">
        <v>948</v>
      </c>
      <c r="F1149" t="s">
        <v>1343</v>
      </c>
      <c r="G1149" t="s">
        <v>3788</v>
      </c>
      <c r="H1149" s="24">
        <v>46211</v>
      </c>
    </row>
    <row r="1150" spans="1:8" s="2" customFormat="1" x14ac:dyDescent="0.25">
      <c r="A1150" t="s">
        <v>102</v>
      </c>
      <c r="B1150" t="s">
        <v>103</v>
      </c>
      <c r="C1150" t="s">
        <v>3789</v>
      </c>
      <c r="D1150" s="5" t="s">
        <v>3758</v>
      </c>
      <c r="E1150" s="25" t="s">
        <v>3790</v>
      </c>
      <c r="F1150" t="s">
        <v>104</v>
      </c>
      <c r="G1150" t="s">
        <v>3791</v>
      </c>
      <c r="H1150" s="24">
        <v>46211</v>
      </c>
    </row>
    <row r="1151" spans="1:8" s="3" customFormat="1" x14ac:dyDescent="0.25">
      <c r="A1151" t="s">
        <v>102</v>
      </c>
      <c r="B1151" t="s">
        <v>103</v>
      </c>
      <c r="C1151" t="s">
        <v>3792</v>
      </c>
      <c r="D1151" s="5" t="s">
        <v>3758</v>
      </c>
      <c r="E1151" s="25" t="s">
        <v>3793</v>
      </c>
      <c r="F1151" t="s">
        <v>8</v>
      </c>
      <c r="G1151" t="s">
        <v>3794</v>
      </c>
      <c r="H1151" s="24">
        <v>46211</v>
      </c>
    </row>
    <row r="1152" spans="1:8" s="2" customFormat="1" x14ac:dyDescent="0.25">
      <c r="A1152" t="s">
        <v>116</v>
      </c>
      <c r="B1152" t="s">
        <v>117</v>
      </c>
      <c r="C1152" t="s">
        <v>3795</v>
      </c>
      <c r="D1152" s="5" t="s">
        <v>3758</v>
      </c>
      <c r="E1152" s="25" t="s">
        <v>3796</v>
      </c>
      <c r="F1152" t="s">
        <v>118</v>
      </c>
      <c r="G1152" t="s">
        <v>3797</v>
      </c>
      <c r="H1152" s="24">
        <v>46211</v>
      </c>
    </row>
    <row r="1153" spans="1:8" s="3" customFormat="1" x14ac:dyDescent="0.25">
      <c r="A1153" t="s">
        <v>102</v>
      </c>
      <c r="B1153" t="s">
        <v>103</v>
      </c>
      <c r="C1153" t="s">
        <v>3798</v>
      </c>
      <c r="D1153" s="5" t="s">
        <v>3758</v>
      </c>
      <c r="E1153" s="25" t="s">
        <v>3799</v>
      </c>
      <c r="F1153" t="s">
        <v>104</v>
      </c>
      <c r="G1153" t="s">
        <v>3800</v>
      </c>
      <c r="H1153" s="24">
        <v>46211</v>
      </c>
    </row>
    <row r="1154" spans="1:8" s="2" customFormat="1" x14ac:dyDescent="0.25">
      <c r="A1154" t="s">
        <v>102</v>
      </c>
      <c r="B1154" t="s">
        <v>103</v>
      </c>
      <c r="C1154" t="s">
        <v>3801</v>
      </c>
      <c r="D1154" s="5" t="s">
        <v>3758</v>
      </c>
      <c r="E1154" s="25" t="s">
        <v>3802</v>
      </c>
      <c r="F1154" t="s">
        <v>8</v>
      </c>
      <c r="G1154" t="s">
        <v>3803</v>
      </c>
      <c r="H1154" s="24">
        <v>46211</v>
      </c>
    </row>
    <row r="1155" spans="1:8" s="3" customFormat="1" x14ac:dyDescent="0.25">
      <c r="A1155" t="s">
        <v>2014</v>
      </c>
      <c r="B1155" t="s">
        <v>575</v>
      </c>
      <c r="C1155" t="s">
        <v>3804</v>
      </c>
      <c r="D1155" s="5" t="s">
        <v>3758</v>
      </c>
      <c r="E1155" s="25" t="s">
        <v>3805</v>
      </c>
      <c r="F1155" t="s">
        <v>2016</v>
      </c>
      <c r="G1155" t="s">
        <v>3806</v>
      </c>
      <c r="H1155" s="24">
        <v>46211</v>
      </c>
    </row>
    <row r="1156" spans="1:8" s="2" customFormat="1" x14ac:dyDescent="0.25">
      <c r="A1156" t="s">
        <v>113</v>
      </c>
      <c r="B1156" t="s">
        <v>105</v>
      </c>
      <c r="C1156" t="s">
        <v>3807</v>
      </c>
      <c r="D1156" s="5" t="s">
        <v>3758</v>
      </c>
      <c r="E1156" s="25" t="s">
        <v>3808</v>
      </c>
      <c r="F1156" t="s">
        <v>114</v>
      </c>
      <c r="G1156" t="s">
        <v>3809</v>
      </c>
      <c r="H1156" s="24">
        <v>46211</v>
      </c>
    </row>
    <row r="1157" spans="1:8" s="3" customFormat="1" x14ac:dyDescent="0.25">
      <c r="A1157" t="s">
        <v>102</v>
      </c>
      <c r="B1157" t="s">
        <v>103</v>
      </c>
      <c r="C1157" t="s">
        <v>3810</v>
      </c>
      <c r="D1157" s="5" t="s">
        <v>3758</v>
      </c>
      <c r="E1157" s="25" t="s">
        <v>3811</v>
      </c>
      <c r="F1157" t="s">
        <v>104</v>
      </c>
      <c r="G1157" t="s">
        <v>3812</v>
      </c>
      <c r="H1157" s="24">
        <v>46211</v>
      </c>
    </row>
    <row r="1158" spans="1:8" s="2" customFormat="1" x14ac:dyDescent="0.25">
      <c r="A1158" t="s">
        <v>102</v>
      </c>
      <c r="B1158" t="s">
        <v>103</v>
      </c>
      <c r="C1158" t="s">
        <v>3813</v>
      </c>
      <c r="D1158" s="5" t="s">
        <v>3758</v>
      </c>
      <c r="E1158" s="25" t="s">
        <v>3814</v>
      </c>
      <c r="F1158" t="s">
        <v>8</v>
      </c>
      <c r="G1158" t="s">
        <v>3815</v>
      </c>
      <c r="H1158" s="24">
        <v>46211</v>
      </c>
    </row>
    <row r="1159" spans="1:8" s="3" customFormat="1" x14ac:dyDescent="0.25">
      <c r="A1159" t="s">
        <v>102</v>
      </c>
      <c r="B1159" t="s">
        <v>103</v>
      </c>
      <c r="C1159" t="s">
        <v>3816</v>
      </c>
      <c r="D1159" s="5" t="s">
        <v>3758</v>
      </c>
      <c r="E1159" s="25" t="s">
        <v>3817</v>
      </c>
      <c r="F1159" t="s">
        <v>104</v>
      </c>
      <c r="G1159" t="s">
        <v>3818</v>
      </c>
      <c r="H1159" s="24">
        <v>46211</v>
      </c>
    </row>
    <row r="1160" spans="1:8" s="2" customFormat="1" x14ac:dyDescent="0.25">
      <c r="A1160" t="s">
        <v>102</v>
      </c>
      <c r="B1160" t="s">
        <v>103</v>
      </c>
      <c r="C1160" t="s">
        <v>3819</v>
      </c>
      <c r="D1160" s="5" t="s">
        <v>3758</v>
      </c>
      <c r="E1160" s="25" t="s">
        <v>3820</v>
      </c>
      <c r="F1160" t="s">
        <v>8</v>
      </c>
      <c r="G1160" t="s">
        <v>3821</v>
      </c>
      <c r="H1160" s="24">
        <v>46211</v>
      </c>
    </row>
    <row r="1161" spans="1:8" s="3" customFormat="1" x14ac:dyDescent="0.25">
      <c r="A1161" t="s">
        <v>113</v>
      </c>
      <c r="B1161" t="s">
        <v>105</v>
      </c>
      <c r="C1161" t="s">
        <v>3822</v>
      </c>
      <c r="D1161" s="5" t="s">
        <v>3758</v>
      </c>
      <c r="E1161" s="25" t="s">
        <v>3823</v>
      </c>
      <c r="F1161" t="s">
        <v>114</v>
      </c>
      <c r="G1161" t="s">
        <v>3824</v>
      </c>
      <c r="H1161" s="24">
        <v>46211</v>
      </c>
    </row>
    <row r="1162" spans="1:8" s="2" customFormat="1" x14ac:dyDescent="0.25">
      <c r="A1162" t="s">
        <v>3367</v>
      </c>
      <c r="B1162" t="s">
        <v>3368</v>
      </c>
      <c r="C1162" t="s">
        <v>3825</v>
      </c>
      <c r="D1162" s="5" t="s">
        <v>3758</v>
      </c>
      <c r="E1162" s="25" t="s">
        <v>3826</v>
      </c>
      <c r="F1162" t="s">
        <v>8</v>
      </c>
      <c r="G1162" t="s">
        <v>3827</v>
      </c>
      <c r="H1162" s="24">
        <v>46211</v>
      </c>
    </row>
    <row r="1163" spans="1:8" s="3" customFormat="1" x14ac:dyDescent="0.25">
      <c r="A1163" t="s">
        <v>102</v>
      </c>
      <c r="B1163" t="s">
        <v>103</v>
      </c>
      <c r="C1163" t="s">
        <v>3828</v>
      </c>
      <c r="D1163" s="5" t="s">
        <v>3758</v>
      </c>
      <c r="E1163" s="25" t="s">
        <v>3829</v>
      </c>
      <c r="F1163" t="s">
        <v>104</v>
      </c>
      <c r="G1163" t="s">
        <v>3830</v>
      </c>
      <c r="H1163" s="24">
        <v>46211</v>
      </c>
    </row>
    <row r="1164" spans="1:8" s="2" customFormat="1" x14ac:dyDescent="0.25">
      <c r="A1164" t="s">
        <v>102</v>
      </c>
      <c r="B1164" t="s">
        <v>103</v>
      </c>
      <c r="C1164" t="s">
        <v>3831</v>
      </c>
      <c r="D1164" s="5" t="s">
        <v>3758</v>
      </c>
      <c r="E1164" s="25" t="s">
        <v>3832</v>
      </c>
      <c r="F1164" t="s">
        <v>8</v>
      </c>
      <c r="G1164" t="s">
        <v>3833</v>
      </c>
      <c r="H1164" s="24">
        <v>46211</v>
      </c>
    </row>
    <row r="1165" spans="1:8" s="3" customFormat="1" x14ac:dyDescent="0.25">
      <c r="A1165" t="s">
        <v>1914</v>
      </c>
      <c r="B1165" t="s">
        <v>105</v>
      </c>
      <c r="C1165" t="s">
        <v>3834</v>
      </c>
      <c r="D1165" s="5" t="s">
        <v>3758</v>
      </c>
      <c r="E1165" s="25" t="s">
        <v>3835</v>
      </c>
      <c r="F1165" t="s">
        <v>1916</v>
      </c>
      <c r="G1165" t="s">
        <v>3836</v>
      </c>
      <c r="H1165" s="24">
        <v>46211</v>
      </c>
    </row>
    <row r="1166" spans="1:8" s="2" customFormat="1" x14ac:dyDescent="0.25">
      <c r="A1166" t="s">
        <v>1336</v>
      </c>
      <c r="B1166" t="s">
        <v>410</v>
      </c>
      <c r="C1166" t="s">
        <v>3837</v>
      </c>
      <c r="D1166" s="5" t="s">
        <v>3758</v>
      </c>
      <c r="E1166" s="25" t="s">
        <v>3838</v>
      </c>
      <c r="F1166" t="s">
        <v>1338</v>
      </c>
      <c r="G1166" t="s">
        <v>3839</v>
      </c>
      <c r="H1166" s="24">
        <v>46211</v>
      </c>
    </row>
    <row r="1167" spans="1:8" s="3" customFormat="1" x14ac:dyDescent="0.25">
      <c r="A1167" t="s">
        <v>3367</v>
      </c>
      <c r="B1167" t="s">
        <v>3368</v>
      </c>
      <c r="C1167" t="s">
        <v>3840</v>
      </c>
      <c r="D1167" s="5" t="s">
        <v>3758</v>
      </c>
      <c r="E1167" s="25" t="s">
        <v>3841</v>
      </c>
      <c r="F1167" t="s">
        <v>104</v>
      </c>
      <c r="G1167" t="s">
        <v>3842</v>
      </c>
      <c r="H1167" s="24">
        <v>46211</v>
      </c>
    </row>
    <row r="1168" spans="1:8" s="2" customFormat="1" x14ac:dyDescent="0.25">
      <c r="A1168" t="s">
        <v>11</v>
      </c>
      <c r="B1168" t="s">
        <v>12</v>
      </c>
      <c r="C1168" t="s">
        <v>3843</v>
      </c>
      <c r="D1168" s="5" t="s">
        <v>3758</v>
      </c>
      <c r="E1168" s="25" t="s">
        <v>3844</v>
      </c>
      <c r="F1168" t="s">
        <v>8</v>
      </c>
      <c r="G1168" t="s">
        <v>3845</v>
      </c>
      <c r="H1168" s="24">
        <v>46211</v>
      </c>
    </row>
    <row r="1169" spans="1:8" s="3" customFormat="1" x14ac:dyDescent="0.25">
      <c r="A1169" t="s">
        <v>102</v>
      </c>
      <c r="B1169" t="s">
        <v>103</v>
      </c>
      <c r="C1169" t="s">
        <v>3846</v>
      </c>
      <c r="D1169" s="5" t="s">
        <v>3758</v>
      </c>
      <c r="E1169" s="25" t="s">
        <v>3847</v>
      </c>
      <c r="F1169" t="s">
        <v>104</v>
      </c>
      <c r="G1169" t="s">
        <v>3848</v>
      </c>
      <c r="H1169" s="24">
        <v>46211</v>
      </c>
    </row>
    <row r="1170" spans="1:8" s="2" customFormat="1" x14ac:dyDescent="0.25">
      <c r="A1170" t="s">
        <v>102</v>
      </c>
      <c r="B1170" t="s">
        <v>103</v>
      </c>
      <c r="C1170" t="s">
        <v>3849</v>
      </c>
      <c r="D1170" s="5" t="s">
        <v>3758</v>
      </c>
      <c r="E1170" s="25" t="s">
        <v>3850</v>
      </c>
      <c r="F1170" t="s">
        <v>8</v>
      </c>
      <c r="G1170" t="s">
        <v>3851</v>
      </c>
      <c r="H1170" s="24">
        <v>46211</v>
      </c>
    </row>
    <row r="1171" spans="1:8" s="3" customFormat="1" x14ac:dyDescent="0.25">
      <c r="A1171" t="s">
        <v>14</v>
      </c>
      <c r="B1171" t="s">
        <v>15</v>
      </c>
      <c r="C1171" t="s">
        <v>3852</v>
      </c>
      <c r="D1171" s="5" t="s">
        <v>3758</v>
      </c>
      <c r="E1171" s="25" t="s">
        <v>3579</v>
      </c>
      <c r="F1171" t="s">
        <v>13</v>
      </c>
      <c r="G1171" t="s">
        <v>3853</v>
      </c>
      <c r="H1171" s="24">
        <v>46211</v>
      </c>
    </row>
    <row r="1172" spans="1:8" s="2" customFormat="1" x14ac:dyDescent="0.25">
      <c r="A1172" t="s">
        <v>110</v>
      </c>
      <c r="B1172" t="s">
        <v>115</v>
      </c>
      <c r="C1172" t="s">
        <v>3854</v>
      </c>
      <c r="D1172" s="5" t="s">
        <v>3855</v>
      </c>
      <c r="E1172" s="25" t="s">
        <v>3856</v>
      </c>
      <c r="F1172" t="s">
        <v>112</v>
      </c>
      <c r="G1172" t="s">
        <v>3857</v>
      </c>
      <c r="H1172" s="24">
        <v>46181</v>
      </c>
    </row>
    <row r="1173" spans="1:8" s="3" customFormat="1" x14ac:dyDescent="0.25">
      <c r="A1173" t="s">
        <v>110</v>
      </c>
      <c r="B1173" t="s">
        <v>111</v>
      </c>
      <c r="C1173" t="s">
        <v>3858</v>
      </c>
      <c r="D1173" s="5" t="s">
        <v>3855</v>
      </c>
      <c r="E1173" s="25" t="s">
        <v>3859</v>
      </c>
      <c r="F1173" t="s">
        <v>112</v>
      </c>
      <c r="G1173" t="s">
        <v>3860</v>
      </c>
      <c r="H1173" s="24">
        <v>46181</v>
      </c>
    </row>
    <row r="1174" spans="1:8" s="2" customFormat="1" x14ac:dyDescent="0.25">
      <c r="A1174" t="s">
        <v>125</v>
      </c>
      <c r="B1174" t="s">
        <v>3133</v>
      </c>
      <c r="C1174" t="s">
        <v>3861</v>
      </c>
      <c r="D1174" s="5" t="s">
        <v>3855</v>
      </c>
      <c r="E1174" s="25" t="s">
        <v>3862</v>
      </c>
      <c r="F1174" t="s">
        <v>126</v>
      </c>
      <c r="G1174" t="s">
        <v>3863</v>
      </c>
      <c r="H1174" s="24">
        <v>46181</v>
      </c>
    </row>
    <row r="1175" spans="1:8" s="3" customFormat="1" x14ac:dyDescent="0.25">
      <c r="A1175" t="s">
        <v>11</v>
      </c>
      <c r="B1175" t="s">
        <v>12</v>
      </c>
      <c r="C1175" t="s">
        <v>3864</v>
      </c>
      <c r="D1175" s="5" t="s">
        <v>3855</v>
      </c>
      <c r="E1175" s="25" t="s">
        <v>3237</v>
      </c>
      <c r="F1175" t="s">
        <v>104</v>
      </c>
      <c r="G1175" t="s">
        <v>3865</v>
      </c>
      <c r="H1175" s="24">
        <v>46181</v>
      </c>
    </row>
    <row r="1176" spans="1:8" s="2" customFormat="1" x14ac:dyDescent="0.25">
      <c r="A1176" t="s">
        <v>102</v>
      </c>
      <c r="B1176" t="s">
        <v>103</v>
      </c>
      <c r="C1176" t="s">
        <v>3866</v>
      </c>
      <c r="D1176" s="5" t="s">
        <v>3855</v>
      </c>
      <c r="E1176" s="25" t="s">
        <v>3867</v>
      </c>
      <c r="F1176" t="s">
        <v>104</v>
      </c>
      <c r="G1176" t="s">
        <v>3868</v>
      </c>
      <c r="H1176" s="24">
        <v>46181</v>
      </c>
    </row>
    <row r="1177" spans="1:8" s="3" customFormat="1" x14ac:dyDescent="0.25">
      <c r="A1177" t="s">
        <v>102</v>
      </c>
      <c r="B1177" t="s">
        <v>103</v>
      </c>
      <c r="C1177" t="s">
        <v>3869</v>
      </c>
      <c r="D1177" s="5" t="s">
        <v>3855</v>
      </c>
      <c r="E1177" s="25" t="s">
        <v>3870</v>
      </c>
      <c r="F1177" t="s">
        <v>8</v>
      </c>
      <c r="G1177" t="s">
        <v>3871</v>
      </c>
      <c r="H1177" s="24">
        <v>46181</v>
      </c>
    </row>
    <row r="1178" spans="1:8" s="2" customFormat="1" x14ac:dyDescent="0.25">
      <c r="A1178" t="s">
        <v>102</v>
      </c>
      <c r="B1178" t="s">
        <v>103</v>
      </c>
      <c r="C1178" t="s">
        <v>3872</v>
      </c>
      <c r="D1178" s="5" t="s">
        <v>3855</v>
      </c>
      <c r="E1178" s="25" t="s">
        <v>3873</v>
      </c>
      <c r="F1178" t="s">
        <v>104</v>
      </c>
      <c r="G1178" t="s">
        <v>3874</v>
      </c>
      <c r="H1178" s="24">
        <v>46181</v>
      </c>
    </row>
    <row r="1179" spans="1:8" s="3" customFormat="1" x14ac:dyDescent="0.25">
      <c r="A1179" t="s">
        <v>102</v>
      </c>
      <c r="B1179" t="s">
        <v>103</v>
      </c>
      <c r="C1179" t="s">
        <v>3875</v>
      </c>
      <c r="D1179" s="5" t="s">
        <v>3855</v>
      </c>
      <c r="E1179" s="25" t="s">
        <v>3876</v>
      </c>
      <c r="F1179" t="s">
        <v>8</v>
      </c>
      <c r="G1179" t="s">
        <v>3877</v>
      </c>
      <c r="H1179" s="24">
        <v>46181</v>
      </c>
    </row>
    <row r="1180" spans="1:8" s="2" customFormat="1" x14ac:dyDescent="0.25">
      <c r="A1180" t="s">
        <v>113</v>
      </c>
      <c r="B1180" t="s">
        <v>105</v>
      </c>
      <c r="C1180" t="s">
        <v>3878</v>
      </c>
      <c r="D1180" s="5" t="s">
        <v>3855</v>
      </c>
      <c r="E1180" s="25" t="s">
        <v>3879</v>
      </c>
      <c r="F1180" t="s">
        <v>114</v>
      </c>
      <c r="G1180" t="s">
        <v>3880</v>
      </c>
      <c r="H1180" s="24">
        <v>46181</v>
      </c>
    </row>
    <row r="1181" spans="1:8" s="3" customFormat="1" x14ac:dyDescent="0.25">
      <c r="A1181" t="s">
        <v>102</v>
      </c>
      <c r="B1181" t="s">
        <v>103</v>
      </c>
      <c r="C1181" t="s">
        <v>3881</v>
      </c>
      <c r="D1181" s="5" t="s">
        <v>3855</v>
      </c>
      <c r="E1181" s="25" t="s">
        <v>3882</v>
      </c>
      <c r="F1181" t="s">
        <v>104</v>
      </c>
      <c r="G1181" t="s">
        <v>3883</v>
      </c>
      <c r="H1181" s="24">
        <v>46181</v>
      </c>
    </row>
    <row r="1182" spans="1:8" s="2" customFormat="1" x14ac:dyDescent="0.25">
      <c r="A1182" t="s">
        <v>102</v>
      </c>
      <c r="B1182" t="s">
        <v>103</v>
      </c>
      <c r="C1182" t="s">
        <v>3884</v>
      </c>
      <c r="D1182" s="5" t="s">
        <v>3855</v>
      </c>
      <c r="E1182" s="25" t="s">
        <v>3885</v>
      </c>
      <c r="F1182" t="s">
        <v>8</v>
      </c>
      <c r="G1182" t="s">
        <v>3886</v>
      </c>
      <c r="H1182" s="24">
        <v>46181</v>
      </c>
    </row>
    <row r="1183" spans="1:8" s="3" customFormat="1" x14ac:dyDescent="0.25">
      <c r="A1183" t="s">
        <v>102</v>
      </c>
      <c r="B1183" t="s">
        <v>103</v>
      </c>
      <c r="C1183" t="s">
        <v>3887</v>
      </c>
      <c r="D1183" s="5" t="s">
        <v>3855</v>
      </c>
      <c r="E1183" s="25" t="s">
        <v>3888</v>
      </c>
      <c r="F1183" t="s">
        <v>104</v>
      </c>
      <c r="G1183" t="s">
        <v>3889</v>
      </c>
      <c r="H1183" s="24">
        <v>46181</v>
      </c>
    </row>
    <row r="1184" spans="1:8" s="2" customFormat="1" x14ac:dyDescent="0.25">
      <c r="A1184" t="s">
        <v>102</v>
      </c>
      <c r="B1184" t="s">
        <v>103</v>
      </c>
      <c r="C1184" t="s">
        <v>3890</v>
      </c>
      <c r="D1184" s="5" t="s">
        <v>3855</v>
      </c>
      <c r="E1184" s="25" t="s">
        <v>3891</v>
      </c>
      <c r="F1184" t="s">
        <v>8</v>
      </c>
      <c r="G1184" t="s">
        <v>3892</v>
      </c>
      <c r="H1184" s="24">
        <v>46181</v>
      </c>
    </row>
    <row r="1185" spans="1:8" s="3" customFormat="1" x14ac:dyDescent="0.25">
      <c r="A1185" t="s">
        <v>113</v>
      </c>
      <c r="B1185" t="s">
        <v>3893</v>
      </c>
      <c r="C1185" t="s">
        <v>3894</v>
      </c>
      <c r="D1185" s="5" t="s">
        <v>3855</v>
      </c>
      <c r="E1185" s="25" t="s">
        <v>2151</v>
      </c>
      <c r="F1185" t="s">
        <v>114</v>
      </c>
      <c r="G1185" t="s">
        <v>3895</v>
      </c>
      <c r="H1185" s="24">
        <v>46181</v>
      </c>
    </row>
    <row r="1186" spans="1:8" s="2" customFormat="1" x14ac:dyDescent="0.25">
      <c r="A1186" t="s">
        <v>102</v>
      </c>
      <c r="B1186" t="s">
        <v>103</v>
      </c>
      <c r="C1186" t="s">
        <v>3896</v>
      </c>
      <c r="D1186" s="5" t="s">
        <v>3855</v>
      </c>
      <c r="E1186" s="25" t="s">
        <v>3897</v>
      </c>
      <c r="F1186" t="s">
        <v>104</v>
      </c>
      <c r="G1186" t="s">
        <v>3898</v>
      </c>
      <c r="H1186" s="24">
        <v>46181</v>
      </c>
    </row>
    <row r="1187" spans="1:8" s="3" customFormat="1" x14ac:dyDescent="0.25">
      <c r="A1187" t="s">
        <v>102</v>
      </c>
      <c r="B1187" t="s">
        <v>103</v>
      </c>
      <c r="C1187" t="s">
        <v>3899</v>
      </c>
      <c r="D1187" s="5" t="s">
        <v>3855</v>
      </c>
      <c r="E1187" s="25" t="s">
        <v>3900</v>
      </c>
      <c r="F1187" t="s">
        <v>8</v>
      </c>
      <c r="G1187" t="s">
        <v>3901</v>
      </c>
      <c r="H1187" s="24">
        <v>46181</v>
      </c>
    </row>
    <row r="1188" spans="1:8" s="2" customFormat="1" x14ac:dyDescent="0.25">
      <c r="A1188" t="s">
        <v>125</v>
      </c>
      <c r="B1188" t="s">
        <v>3902</v>
      </c>
      <c r="C1188" t="s">
        <v>3903</v>
      </c>
      <c r="D1188" s="5" t="s">
        <v>3855</v>
      </c>
      <c r="E1188" s="25" t="s">
        <v>3904</v>
      </c>
      <c r="F1188" t="s">
        <v>126</v>
      </c>
      <c r="G1188" t="s">
        <v>3905</v>
      </c>
      <c r="H1188" s="24">
        <v>46181</v>
      </c>
    </row>
    <row r="1189" spans="1:8" s="3" customFormat="1" x14ac:dyDescent="0.25">
      <c r="A1189" t="s">
        <v>125</v>
      </c>
      <c r="B1189" t="s">
        <v>3906</v>
      </c>
      <c r="C1189" t="s">
        <v>3907</v>
      </c>
      <c r="D1189" s="5" t="s">
        <v>3855</v>
      </c>
      <c r="E1189" s="25" t="s">
        <v>3908</v>
      </c>
      <c r="F1189" t="s">
        <v>126</v>
      </c>
      <c r="G1189" t="s">
        <v>3909</v>
      </c>
      <c r="H1189" s="24">
        <v>46181</v>
      </c>
    </row>
    <row r="1190" spans="1:8" s="2" customFormat="1" x14ac:dyDescent="0.25">
      <c r="A1190" t="s">
        <v>125</v>
      </c>
      <c r="B1190" t="s">
        <v>3902</v>
      </c>
      <c r="C1190" t="s">
        <v>3910</v>
      </c>
      <c r="D1190" s="5" t="s">
        <v>3855</v>
      </c>
      <c r="E1190" s="25" t="s">
        <v>3911</v>
      </c>
      <c r="F1190" t="s">
        <v>127</v>
      </c>
      <c r="G1190" t="s">
        <v>3912</v>
      </c>
      <c r="H1190" s="24">
        <v>46181</v>
      </c>
    </row>
    <row r="1191" spans="1:8" s="3" customFormat="1" x14ac:dyDescent="0.25">
      <c r="A1191" t="s">
        <v>125</v>
      </c>
      <c r="B1191" t="s">
        <v>3906</v>
      </c>
      <c r="C1191" t="s">
        <v>3913</v>
      </c>
      <c r="D1191" s="5" t="s">
        <v>3855</v>
      </c>
      <c r="E1191" s="25" t="s">
        <v>3914</v>
      </c>
      <c r="F1191" t="s">
        <v>127</v>
      </c>
      <c r="G1191" t="s">
        <v>3915</v>
      </c>
      <c r="H1191" s="24">
        <v>46181</v>
      </c>
    </row>
    <row r="1192" spans="1:8" s="2" customFormat="1" x14ac:dyDescent="0.25">
      <c r="A1192" t="s">
        <v>125</v>
      </c>
      <c r="B1192" t="s">
        <v>3902</v>
      </c>
      <c r="C1192" t="s">
        <v>3903</v>
      </c>
      <c r="D1192" s="5" t="s">
        <v>3855</v>
      </c>
      <c r="E1192" s="25" t="s">
        <v>3916</v>
      </c>
      <c r="F1192" t="s">
        <v>126</v>
      </c>
      <c r="G1192" t="s">
        <v>3917</v>
      </c>
      <c r="H1192" s="24">
        <v>46181</v>
      </c>
    </row>
    <row r="1193" spans="1:8" s="3" customFormat="1" x14ac:dyDescent="0.25">
      <c r="A1193" t="s">
        <v>125</v>
      </c>
      <c r="B1193" t="s">
        <v>3906</v>
      </c>
      <c r="C1193" t="s">
        <v>3907</v>
      </c>
      <c r="D1193" s="5" t="s">
        <v>3855</v>
      </c>
      <c r="E1193" s="25" t="s">
        <v>3918</v>
      </c>
      <c r="F1193" t="s">
        <v>126</v>
      </c>
      <c r="G1193" t="s">
        <v>3919</v>
      </c>
      <c r="H1193" s="24">
        <v>46181</v>
      </c>
    </row>
    <row r="1194" spans="1:8" s="2" customFormat="1" x14ac:dyDescent="0.25">
      <c r="A1194" t="s">
        <v>125</v>
      </c>
      <c r="B1194" t="s">
        <v>3143</v>
      </c>
      <c r="C1194" t="s">
        <v>3920</v>
      </c>
      <c r="D1194" s="5" t="s">
        <v>3855</v>
      </c>
      <c r="E1194" s="25" t="s">
        <v>3921</v>
      </c>
      <c r="F1194" t="s">
        <v>126</v>
      </c>
      <c r="G1194" t="s">
        <v>3922</v>
      </c>
      <c r="H1194" s="24">
        <v>46181</v>
      </c>
    </row>
    <row r="1195" spans="1:8" s="3" customFormat="1" x14ac:dyDescent="0.25">
      <c r="A1195" t="s">
        <v>2582</v>
      </c>
      <c r="B1195" t="s">
        <v>3923</v>
      </c>
      <c r="C1195" t="s">
        <v>3924</v>
      </c>
      <c r="D1195" s="5" t="s">
        <v>3855</v>
      </c>
      <c r="E1195" s="25" t="s">
        <v>3925</v>
      </c>
      <c r="F1195" t="s">
        <v>126</v>
      </c>
      <c r="G1195" t="s">
        <v>3926</v>
      </c>
      <c r="H1195" s="24">
        <v>46181</v>
      </c>
    </row>
    <row r="1196" spans="1:8" s="2" customFormat="1" x14ac:dyDescent="0.25">
      <c r="A1196" t="s">
        <v>125</v>
      </c>
      <c r="B1196" t="s">
        <v>3133</v>
      </c>
      <c r="C1196" t="s">
        <v>3927</v>
      </c>
      <c r="D1196" s="5" t="s">
        <v>3855</v>
      </c>
      <c r="E1196" s="25" t="s">
        <v>3928</v>
      </c>
      <c r="F1196" t="s">
        <v>127</v>
      </c>
      <c r="G1196" t="s">
        <v>3929</v>
      </c>
      <c r="H1196" s="24">
        <v>46181</v>
      </c>
    </row>
    <row r="1197" spans="1:8" s="3" customFormat="1" x14ac:dyDescent="0.25">
      <c r="A1197" t="s">
        <v>2582</v>
      </c>
      <c r="B1197" t="s">
        <v>3923</v>
      </c>
      <c r="C1197" t="s">
        <v>3930</v>
      </c>
      <c r="D1197" s="5" t="s">
        <v>3855</v>
      </c>
      <c r="E1197" s="25" t="s">
        <v>3931</v>
      </c>
      <c r="F1197" t="s">
        <v>127</v>
      </c>
      <c r="G1197" t="s">
        <v>3932</v>
      </c>
      <c r="H1197" s="24">
        <v>46181</v>
      </c>
    </row>
    <row r="1198" spans="1:8" s="2" customFormat="1" x14ac:dyDescent="0.25">
      <c r="A1198" t="s">
        <v>2582</v>
      </c>
      <c r="B1198" t="s">
        <v>3933</v>
      </c>
      <c r="C1198" t="s">
        <v>3934</v>
      </c>
      <c r="D1198" s="5" t="s">
        <v>3855</v>
      </c>
      <c r="E1198" s="25" t="s">
        <v>3935</v>
      </c>
      <c r="F1198" t="s">
        <v>126</v>
      </c>
      <c r="G1198" t="s">
        <v>3936</v>
      </c>
      <c r="H1198" s="24">
        <v>46181</v>
      </c>
    </row>
    <row r="1199" spans="1:8" s="3" customFormat="1" x14ac:dyDescent="0.25">
      <c r="A1199" t="s">
        <v>2582</v>
      </c>
      <c r="B1199" t="s">
        <v>2587</v>
      </c>
      <c r="C1199" t="s">
        <v>3937</v>
      </c>
      <c r="D1199" s="5" t="s">
        <v>3855</v>
      </c>
      <c r="E1199" s="25" t="s">
        <v>3938</v>
      </c>
      <c r="F1199" t="s">
        <v>126</v>
      </c>
      <c r="G1199" t="s">
        <v>3939</v>
      </c>
      <c r="H1199" s="24">
        <v>46181</v>
      </c>
    </row>
    <row r="1200" spans="1:8" s="2" customFormat="1" x14ac:dyDescent="0.25">
      <c r="A1200" t="s">
        <v>2582</v>
      </c>
      <c r="B1200" t="s">
        <v>2583</v>
      </c>
      <c r="C1200" t="s">
        <v>3940</v>
      </c>
      <c r="D1200" s="5" t="s">
        <v>3855</v>
      </c>
      <c r="E1200" s="25" t="s">
        <v>3941</v>
      </c>
      <c r="F1200" t="s">
        <v>126</v>
      </c>
      <c r="G1200" t="s">
        <v>3942</v>
      </c>
      <c r="H1200" s="24">
        <v>46181</v>
      </c>
    </row>
    <row r="1201" spans="1:8" s="3" customFormat="1" x14ac:dyDescent="0.25">
      <c r="A1201" t="s">
        <v>2582</v>
      </c>
      <c r="B1201" t="s">
        <v>2591</v>
      </c>
      <c r="C1201" t="s">
        <v>3943</v>
      </c>
      <c r="D1201" s="5" t="s">
        <v>3855</v>
      </c>
      <c r="E1201" s="25" t="s">
        <v>3944</v>
      </c>
      <c r="F1201" t="s">
        <v>126</v>
      </c>
      <c r="G1201" t="s">
        <v>3945</v>
      </c>
      <c r="H1201" s="24">
        <v>46181</v>
      </c>
    </row>
    <row r="1202" spans="1:8" s="2" customFormat="1" x14ac:dyDescent="0.25">
      <c r="A1202" t="s">
        <v>125</v>
      </c>
      <c r="B1202" t="s">
        <v>3133</v>
      </c>
      <c r="C1202" t="s">
        <v>3946</v>
      </c>
      <c r="D1202" s="5" t="s">
        <v>3855</v>
      </c>
      <c r="E1202" s="25" t="s">
        <v>3947</v>
      </c>
      <c r="F1202" t="s">
        <v>126</v>
      </c>
      <c r="G1202" t="s">
        <v>3948</v>
      </c>
      <c r="H1202" s="24">
        <v>46181</v>
      </c>
    </row>
    <row r="1203" spans="1:8" s="3" customFormat="1" x14ac:dyDescent="0.25">
      <c r="A1203" t="s">
        <v>125</v>
      </c>
      <c r="B1203" t="s">
        <v>3949</v>
      </c>
      <c r="C1203" t="s">
        <v>3950</v>
      </c>
      <c r="D1203" s="5" t="s">
        <v>3855</v>
      </c>
      <c r="E1203" s="25" t="s">
        <v>3951</v>
      </c>
      <c r="F1203" t="s">
        <v>126</v>
      </c>
      <c r="G1203" t="s">
        <v>3952</v>
      </c>
      <c r="H1203" s="24">
        <v>46181</v>
      </c>
    </row>
    <row r="1204" spans="1:8" s="2" customFormat="1" x14ac:dyDescent="0.25">
      <c r="A1204" t="s">
        <v>125</v>
      </c>
      <c r="B1204" t="s">
        <v>3953</v>
      </c>
      <c r="C1204" t="s">
        <v>3954</v>
      </c>
      <c r="D1204" s="5" t="s">
        <v>3855</v>
      </c>
      <c r="E1204" s="25" t="s">
        <v>3955</v>
      </c>
      <c r="F1204" t="s">
        <v>126</v>
      </c>
      <c r="G1204" t="s">
        <v>3956</v>
      </c>
      <c r="H1204" s="24">
        <v>46181</v>
      </c>
    </row>
    <row r="1205" spans="1:8" s="3" customFormat="1" x14ac:dyDescent="0.25">
      <c r="A1205" t="s">
        <v>125</v>
      </c>
      <c r="B1205" t="s">
        <v>3957</v>
      </c>
      <c r="C1205" t="s">
        <v>3958</v>
      </c>
      <c r="D1205" s="5" t="s">
        <v>3855</v>
      </c>
      <c r="E1205" s="25" t="s">
        <v>3959</v>
      </c>
      <c r="F1205" t="s">
        <v>126</v>
      </c>
      <c r="G1205" t="s">
        <v>3960</v>
      </c>
      <c r="H1205" s="24">
        <v>46181</v>
      </c>
    </row>
    <row r="1206" spans="1:8" s="2" customFormat="1" x14ac:dyDescent="0.25">
      <c r="A1206" t="s">
        <v>125</v>
      </c>
      <c r="B1206" t="s">
        <v>2749</v>
      </c>
      <c r="C1206" t="s">
        <v>3961</v>
      </c>
      <c r="D1206" s="5" t="s">
        <v>3855</v>
      </c>
      <c r="E1206" s="25" t="s">
        <v>3962</v>
      </c>
      <c r="F1206" t="s">
        <v>126</v>
      </c>
      <c r="G1206" t="s">
        <v>3963</v>
      </c>
      <c r="H1206" s="24">
        <v>46181</v>
      </c>
    </row>
    <row r="1207" spans="1:8" s="3" customFormat="1" x14ac:dyDescent="0.25">
      <c r="A1207" t="s">
        <v>2582</v>
      </c>
      <c r="B1207" t="s">
        <v>2587</v>
      </c>
      <c r="C1207" t="s">
        <v>3964</v>
      </c>
      <c r="D1207" s="5" t="s">
        <v>3855</v>
      </c>
      <c r="E1207" s="25" t="s">
        <v>3965</v>
      </c>
      <c r="F1207" t="s">
        <v>127</v>
      </c>
      <c r="G1207" t="s">
        <v>3966</v>
      </c>
      <c r="H1207" s="24">
        <v>46181</v>
      </c>
    </row>
    <row r="1208" spans="1:8" s="2" customFormat="1" x14ac:dyDescent="0.25">
      <c r="A1208" t="s">
        <v>125</v>
      </c>
      <c r="B1208" t="s">
        <v>3133</v>
      </c>
      <c r="C1208" t="s">
        <v>3967</v>
      </c>
      <c r="D1208" s="5" t="s">
        <v>3855</v>
      </c>
      <c r="E1208" s="25" t="s">
        <v>3968</v>
      </c>
      <c r="F1208" t="s">
        <v>127</v>
      </c>
      <c r="G1208" t="s">
        <v>3969</v>
      </c>
      <c r="H1208" s="24">
        <v>46181</v>
      </c>
    </row>
    <row r="1209" spans="1:8" s="3" customFormat="1" x14ac:dyDescent="0.25">
      <c r="A1209" t="s">
        <v>2582</v>
      </c>
      <c r="B1209" t="s">
        <v>2583</v>
      </c>
      <c r="C1209" t="s">
        <v>3970</v>
      </c>
      <c r="D1209" s="5" t="s">
        <v>3855</v>
      </c>
      <c r="E1209" s="25" t="s">
        <v>3971</v>
      </c>
      <c r="F1209" t="s">
        <v>127</v>
      </c>
      <c r="G1209" t="s">
        <v>3972</v>
      </c>
      <c r="H1209" s="24">
        <v>46181</v>
      </c>
    </row>
    <row r="1210" spans="1:8" s="2" customFormat="1" x14ac:dyDescent="0.25">
      <c r="A1210" t="s">
        <v>2582</v>
      </c>
      <c r="B1210" t="s">
        <v>3933</v>
      </c>
      <c r="C1210" t="s">
        <v>3973</v>
      </c>
      <c r="D1210" s="5" t="s">
        <v>3855</v>
      </c>
      <c r="E1210" s="25" t="s">
        <v>3974</v>
      </c>
      <c r="F1210" t="s">
        <v>127</v>
      </c>
      <c r="G1210" t="s">
        <v>3975</v>
      </c>
      <c r="H1210" s="24">
        <v>46181</v>
      </c>
    </row>
    <row r="1211" spans="1:8" s="3" customFormat="1" x14ac:dyDescent="0.25">
      <c r="A1211" t="s">
        <v>125</v>
      </c>
      <c r="B1211" t="s">
        <v>3957</v>
      </c>
      <c r="C1211" t="s">
        <v>3976</v>
      </c>
      <c r="D1211" s="5" t="s">
        <v>3855</v>
      </c>
      <c r="E1211" s="25" t="s">
        <v>3977</v>
      </c>
      <c r="F1211" t="s">
        <v>127</v>
      </c>
      <c r="G1211" t="s">
        <v>3978</v>
      </c>
      <c r="H1211" s="24">
        <v>46181</v>
      </c>
    </row>
    <row r="1212" spans="1:8" s="2" customFormat="1" x14ac:dyDescent="0.25">
      <c r="A1212" t="s">
        <v>2582</v>
      </c>
      <c r="B1212" t="s">
        <v>3923</v>
      </c>
      <c r="C1212" t="s">
        <v>3979</v>
      </c>
      <c r="D1212" s="5" t="s">
        <v>3855</v>
      </c>
      <c r="E1212" s="25" t="s">
        <v>3980</v>
      </c>
      <c r="F1212" t="s">
        <v>126</v>
      </c>
      <c r="G1212" t="s">
        <v>3981</v>
      </c>
      <c r="H1212" s="24">
        <v>46181</v>
      </c>
    </row>
    <row r="1213" spans="1:8" s="3" customFormat="1" x14ac:dyDescent="0.25">
      <c r="A1213" t="s">
        <v>2582</v>
      </c>
      <c r="B1213" t="s">
        <v>2591</v>
      </c>
      <c r="C1213" t="s">
        <v>3982</v>
      </c>
      <c r="D1213" s="5" t="s">
        <v>3855</v>
      </c>
      <c r="E1213" s="25" t="s">
        <v>3983</v>
      </c>
      <c r="F1213" t="s">
        <v>127</v>
      </c>
      <c r="G1213" t="s">
        <v>3984</v>
      </c>
      <c r="H1213" s="24">
        <v>46181</v>
      </c>
    </row>
    <row r="1214" spans="1:8" s="2" customFormat="1" x14ac:dyDescent="0.25">
      <c r="A1214" t="s">
        <v>125</v>
      </c>
      <c r="B1214" t="s">
        <v>2749</v>
      </c>
      <c r="C1214" t="s">
        <v>3985</v>
      </c>
      <c r="D1214" s="5" t="s">
        <v>3855</v>
      </c>
      <c r="E1214" s="25" t="s">
        <v>3986</v>
      </c>
      <c r="F1214" t="s">
        <v>127</v>
      </c>
      <c r="G1214" t="s">
        <v>3987</v>
      </c>
      <c r="H1214" s="24">
        <v>46181</v>
      </c>
    </row>
    <row r="1215" spans="1:8" s="3" customFormat="1" x14ac:dyDescent="0.25">
      <c r="A1215" t="s">
        <v>125</v>
      </c>
      <c r="B1215" t="s">
        <v>2762</v>
      </c>
      <c r="C1215" t="s">
        <v>3988</v>
      </c>
      <c r="D1215" s="5" t="s">
        <v>3855</v>
      </c>
      <c r="E1215" s="25" t="s">
        <v>3989</v>
      </c>
      <c r="F1215" t="s">
        <v>127</v>
      </c>
      <c r="G1215" t="s">
        <v>3990</v>
      </c>
      <c r="H1215" s="24">
        <v>46181</v>
      </c>
    </row>
    <row r="1216" spans="1:8" s="2" customFormat="1" x14ac:dyDescent="0.25">
      <c r="A1216" t="s">
        <v>102</v>
      </c>
      <c r="B1216" t="s">
        <v>103</v>
      </c>
      <c r="C1216" t="s">
        <v>3991</v>
      </c>
      <c r="D1216" s="5" t="s">
        <v>3855</v>
      </c>
      <c r="E1216" s="25" t="s">
        <v>3992</v>
      </c>
      <c r="F1216" t="s">
        <v>104</v>
      </c>
      <c r="G1216" t="s">
        <v>3993</v>
      </c>
      <c r="H1216" s="24">
        <v>46181</v>
      </c>
    </row>
    <row r="1217" spans="1:8" s="3" customFormat="1" x14ac:dyDescent="0.25">
      <c r="A1217" t="s">
        <v>102</v>
      </c>
      <c r="B1217" t="s">
        <v>103</v>
      </c>
      <c r="C1217" t="s">
        <v>3994</v>
      </c>
      <c r="D1217" s="5" t="s">
        <v>3855</v>
      </c>
      <c r="E1217" s="25" t="s">
        <v>3995</v>
      </c>
      <c r="F1217" t="s">
        <v>8</v>
      </c>
      <c r="G1217" t="s">
        <v>3996</v>
      </c>
      <c r="H1217" s="24">
        <v>46181</v>
      </c>
    </row>
    <row r="1218" spans="1:8" s="2" customFormat="1" x14ac:dyDescent="0.25">
      <c r="A1218" t="s">
        <v>125</v>
      </c>
      <c r="B1218" t="s">
        <v>3949</v>
      </c>
      <c r="C1218" t="s">
        <v>3997</v>
      </c>
      <c r="D1218" s="5" t="s">
        <v>3855</v>
      </c>
      <c r="E1218" s="25" t="s">
        <v>3998</v>
      </c>
      <c r="F1218" t="s">
        <v>127</v>
      </c>
      <c r="G1218" t="s">
        <v>3999</v>
      </c>
      <c r="H1218" s="24">
        <v>46181</v>
      </c>
    </row>
    <row r="1219" spans="1:8" s="3" customFormat="1" x14ac:dyDescent="0.25">
      <c r="A1219" t="s">
        <v>125</v>
      </c>
      <c r="B1219" t="s">
        <v>718</v>
      </c>
      <c r="C1219" t="s">
        <v>4000</v>
      </c>
      <c r="D1219" s="5" t="s">
        <v>3855</v>
      </c>
      <c r="E1219" s="25" t="s">
        <v>4001</v>
      </c>
      <c r="F1219" t="s">
        <v>126</v>
      </c>
      <c r="G1219" t="s">
        <v>4002</v>
      </c>
      <c r="H1219" s="24">
        <v>46181</v>
      </c>
    </row>
    <row r="1220" spans="1:8" s="2" customFormat="1" x14ac:dyDescent="0.25">
      <c r="A1220" t="s">
        <v>125</v>
      </c>
      <c r="B1220" t="s">
        <v>3949</v>
      </c>
      <c r="C1220" t="s">
        <v>4003</v>
      </c>
      <c r="D1220" s="5" t="s">
        <v>3855</v>
      </c>
      <c r="E1220" s="25" t="s">
        <v>4004</v>
      </c>
      <c r="F1220" t="s">
        <v>126</v>
      </c>
      <c r="G1220" t="s">
        <v>4005</v>
      </c>
      <c r="H1220" s="24">
        <v>46181</v>
      </c>
    </row>
    <row r="1221" spans="1:8" s="3" customFormat="1" x14ac:dyDescent="0.25">
      <c r="A1221" t="s">
        <v>125</v>
      </c>
      <c r="B1221" t="s">
        <v>718</v>
      </c>
      <c r="C1221" t="s">
        <v>4006</v>
      </c>
      <c r="D1221" s="5" t="s">
        <v>3855</v>
      </c>
      <c r="E1221" s="25" t="s">
        <v>4007</v>
      </c>
      <c r="F1221" t="s">
        <v>127</v>
      </c>
      <c r="G1221" t="s">
        <v>4008</v>
      </c>
      <c r="H1221" s="24">
        <v>46181</v>
      </c>
    </row>
    <row r="1222" spans="1:8" s="2" customFormat="1" x14ac:dyDescent="0.25">
      <c r="A1222" t="s">
        <v>2582</v>
      </c>
      <c r="B1222" t="s">
        <v>3923</v>
      </c>
      <c r="C1222" t="s">
        <v>4009</v>
      </c>
      <c r="D1222" s="5" t="s">
        <v>3855</v>
      </c>
      <c r="E1222" s="25" t="s">
        <v>4010</v>
      </c>
      <c r="F1222" t="s">
        <v>127</v>
      </c>
      <c r="G1222" t="s">
        <v>4011</v>
      </c>
      <c r="H1222" s="24">
        <v>46181</v>
      </c>
    </row>
    <row r="1223" spans="1:8" s="3" customFormat="1" x14ac:dyDescent="0.25">
      <c r="A1223" t="s">
        <v>125</v>
      </c>
      <c r="B1223" t="s">
        <v>3143</v>
      </c>
      <c r="C1223" t="s">
        <v>4012</v>
      </c>
      <c r="D1223" s="5" t="s">
        <v>3855</v>
      </c>
      <c r="E1223" s="25" t="s">
        <v>4013</v>
      </c>
      <c r="F1223" t="s">
        <v>127</v>
      </c>
      <c r="G1223" t="s">
        <v>4014</v>
      </c>
      <c r="H1223" s="24">
        <v>46181</v>
      </c>
    </row>
    <row r="1224" spans="1:8" s="2" customFormat="1" x14ac:dyDescent="0.25">
      <c r="A1224" t="s">
        <v>125</v>
      </c>
      <c r="B1224" t="s">
        <v>3949</v>
      </c>
      <c r="C1224" t="s">
        <v>3997</v>
      </c>
      <c r="D1224" s="5" t="s">
        <v>3855</v>
      </c>
      <c r="E1224" s="25" t="s">
        <v>4015</v>
      </c>
      <c r="F1224" t="s">
        <v>127</v>
      </c>
      <c r="G1224" t="s">
        <v>4016</v>
      </c>
      <c r="H1224" s="24">
        <v>46181</v>
      </c>
    </row>
    <row r="1225" spans="1:8" s="3" customFormat="1" x14ac:dyDescent="0.25">
      <c r="A1225" t="s">
        <v>125</v>
      </c>
      <c r="B1225" t="s">
        <v>3953</v>
      </c>
      <c r="C1225" t="s">
        <v>4017</v>
      </c>
      <c r="D1225" s="5" t="s">
        <v>3855</v>
      </c>
      <c r="E1225" s="25" t="s">
        <v>4018</v>
      </c>
      <c r="F1225" t="s">
        <v>127</v>
      </c>
      <c r="G1225" t="s">
        <v>4019</v>
      </c>
      <c r="H1225" s="24">
        <v>46181</v>
      </c>
    </row>
    <row r="1226" spans="1:8" s="2" customFormat="1" x14ac:dyDescent="0.25">
      <c r="A1226" t="s">
        <v>122</v>
      </c>
      <c r="B1226" t="s">
        <v>107</v>
      </c>
      <c r="C1226" t="s">
        <v>4020</v>
      </c>
      <c r="D1226" s="5" t="s">
        <v>3855</v>
      </c>
      <c r="E1226" s="25" t="s">
        <v>4021</v>
      </c>
      <c r="F1226" t="s">
        <v>123</v>
      </c>
      <c r="G1226" t="s">
        <v>4022</v>
      </c>
      <c r="H1226" s="24">
        <v>46181</v>
      </c>
    </row>
    <row r="1227" spans="1:8" s="3" customFormat="1" x14ac:dyDescent="0.25">
      <c r="A1227" t="s">
        <v>102</v>
      </c>
      <c r="B1227" t="s">
        <v>103</v>
      </c>
      <c r="C1227" t="s">
        <v>4023</v>
      </c>
      <c r="D1227" s="5" t="s">
        <v>3855</v>
      </c>
      <c r="E1227" s="25" t="s">
        <v>4024</v>
      </c>
      <c r="F1227" t="s">
        <v>104</v>
      </c>
      <c r="G1227" t="s">
        <v>4025</v>
      </c>
      <c r="H1227" s="24">
        <v>46181</v>
      </c>
    </row>
    <row r="1228" spans="1:8" s="2" customFormat="1" x14ac:dyDescent="0.25">
      <c r="A1228" t="s">
        <v>102</v>
      </c>
      <c r="B1228" t="s">
        <v>103</v>
      </c>
      <c r="C1228" t="s">
        <v>4026</v>
      </c>
      <c r="D1228" s="5" t="s">
        <v>3855</v>
      </c>
      <c r="E1228" s="25" t="s">
        <v>4027</v>
      </c>
      <c r="F1228" t="s">
        <v>8</v>
      </c>
      <c r="G1228" t="s">
        <v>4028</v>
      </c>
      <c r="H1228" s="24">
        <v>46181</v>
      </c>
    </row>
    <row r="1229" spans="1:8" s="3" customFormat="1" x14ac:dyDescent="0.25">
      <c r="A1229" t="s">
        <v>102</v>
      </c>
      <c r="B1229" t="s">
        <v>103</v>
      </c>
      <c r="C1229" t="s">
        <v>4029</v>
      </c>
      <c r="D1229" s="5" t="s">
        <v>3855</v>
      </c>
      <c r="E1229" s="25" t="s">
        <v>4030</v>
      </c>
      <c r="F1229" t="s">
        <v>104</v>
      </c>
      <c r="G1229" t="s">
        <v>4031</v>
      </c>
      <c r="H1229" s="24">
        <v>46181</v>
      </c>
    </row>
    <row r="1230" spans="1:8" s="2" customFormat="1" x14ac:dyDescent="0.25">
      <c r="A1230" t="s">
        <v>102</v>
      </c>
      <c r="B1230" t="s">
        <v>103</v>
      </c>
      <c r="C1230" t="s">
        <v>4032</v>
      </c>
      <c r="D1230" s="5" t="s">
        <v>3855</v>
      </c>
      <c r="E1230" s="25" t="s">
        <v>4033</v>
      </c>
      <c r="F1230" t="s">
        <v>8</v>
      </c>
      <c r="G1230" t="s">
        <v>4034</v>
      </c>
      <c r="H1230" s="24">
        <v>46181</v>
      </c>
    </row>
    <row r="1231" spans="1:8" s="3" customFormat="1" x14ac:dyDescent="0.25">
      <c r="A1231" t="s">
        <v>11</v>
      </c>
      <c r="B1231" t="s">
        <v>12</v>
      </c>
      <c r="C1231" t="s">
        <v>4035</v>
      </c>
      <c r="D1231" s="5" t="s">
        <v>3855</v>
      </c>
      <c r="E1231" s="25" t="s">
        <v>4036</v>
      </c>
      <c r="F1231" t="s">
        <v>8</v>
      </c>
      <c r="G1231" t="s">
        <v>4037</v>
      </c>
      <c r="H1231" s="24">
        <v>46181</v>
      </c>
    </row>
    <row r="1232" spans="1:8" s="2" customFormat="1" x14ac:dyDescent="0.25">
      <c r="A1232" t="s">
        <v>14</v>
      </c>
      <c r="B1232" t="s">
        <v>15</v>
      </c>
      <c r="C1232" t="s">
        <v>4038</v>
      </c>
      <c r="D1232" s="5" t="s">
        <v>3855</v>
      </c>
      <c r="E1232" s="25" t="s">
        <v>4039</v>
      </c>
      <c r="F1232" t="s">
        <v>13</v>
      </c>
      <c r="G1232" t="s">
        <v>4040</v>
      </c>
      <c r="H1232" s="24">
        <v>46181</v>
      </c>
    </row>
    <row r="1233" spans="1:8" s="3" customFormat="1" x14ac:dyDescent="0.25">
      <c r="A1233" t="s">
        <v>110</v>
      </c>
      <c r="B1233" t="s">
        <v>111</v>
      </c>
      <c r="C1233" t="s">
        <v>4041</v>
      </c>
      <c r="D1233" s="5" t="s">
        <v>4042</v>
      </c>
      <c r="E1233" s="25" t="s">
        <v>4043</v>
      </c>
      <c r="F1233" t="s">
        <v>112</v>
      </c>
      <c r="G1233" t="s">
        <v>4044</v>
      </c>
      <c r="H1233" s="24">
        <v>46150</v>
      </c>
    </row>
    <row r="1234" spans="1:8" s="2" customFormat="1" x14ac:dyDescent="0.25">
      <c r="A1234" t="s">
        <v>102</v>
      </c>
      <c r="B1234" t="s">
        <v>103</v>
      </c>
      <c r="C1234" t="s">
        <v>4045</v>
      </c>
      <c r="D1234" s="5" t="s">
        <v>4042</v>
      </c>
      <c r="E1234" s="25" t="s">
        <v>4046</v>
      </c>
      <c r="F1234" t="s">
        <v>104</v>
      </c>
      <c r="G1234" t="s">
        <v>4047</v>
      </c>
      <c r="H1234" s="24">
        <v>46150</v>
      </c>
    </row>
    <row r="1235" spans="1:8" s="3" customFormat="1" x14ac:dyDescent="0.25">
      <c r="A1235" t="s">
        <v>102</v>
      </c>
      <c r="B1235" t="s">
        <v>103</v>
      </c>
      <c r="C1235" t="s">
        <v>4048</v>
      </c>
      <c r="D1235" s="5" t="s">
        <v>4042</v>
      </c>
      <c r="E1235" s="25" t="s">
        <v>4049</v>
      </c>
      <c r="F1235" t="s">
        <v>8</v>
      </c>
      <c r="G1235" t="s">
        <v>4050</v>
      </c>
      <c r="H1235" s="24">
        <v>46150</v>
      </c>
    </row>
    <row r="1236" spans="1:8" s="2" customFormat="1" x14ac:dyDescent="0.25">
      <c r="A1236" t="s">
        <v>110</v>
      </c>
      <c r="B1236" t="s">
        <v>115</v>
      </c>
      <c r="C1236" t="s">
        <v>4051</v>
      </c>
      <c r="D1236" s="5" t="s">
        <v>4042</v>
      </c>
      <c r="E1236" s="25" t="s">
        <v>4052</v>
      </c>
      <c r="F1236" t="s">
        <v>112</v>
      </c>
      <c r="G1236" t="s">
        <v>4053</v>
      </c>
      <c r="H1236" s="24">
        <v>46150</v>
      </c>
    </row>
    <row r="1237" spans="1:8" s="3" customFormat="1" x14ac:dyDescent="0.25">
      <c r="A1237" t="s">
        <v>11</v>
      </c>
      <c r="B1237" t="s">
        <v>12</v>
      </c>
      <c r="C1237" t="s">
        <v>4054</v>
      </c>
      <c r="D1237" s="5" t="s">
        <v>4042</v>
      </c>
      <c r="E1237" s="25" t="s">
        <v>4055</v>
      </c>
      <c r="F1237" t="s">
        <v>104</v>
      </c>
      <c r="G1237" t="s">
        <v>4056</v>
      </c>
      <c r="H1237" s="24">
        <v>46150</v>
      </c>
    </row>
    <row r="1238" spans="1:8" s="2" customFormat="1" x14ac:dyDescent="0.25">
      <c r="A1238" t="s">
        <v>116</v>
      </c>
      <c r="B1238" t="s">
        <v>117</v>
      </c>
      <c r="C1238" t="s">
        <v>4057</v>
      </c>
      <c r="D1238" s="5" t="s">
        <v>4042</v>
      </c>
      <c r="E1238" s="25" t="s">
        <v>4058</v>
      </c>
      <c r="F1238" t="s">
        <v>118</v>
      </c>
      <c r="G1238" t="s">
        <v>4059</v>
      </c>
      <c r="H1238" s="24">
        <v>46150</v>
      </c>
    </row>
    <row r="1239" spans="1:8" s="3" customFormat="1" x14ac:dyDescent="0.25">
      <c r="A1239" t="s">
        <v>1336</v>
      </c>
      <c r="B1239" t="s">
        <v>410</v>
      </c>
      <c r="C1239" t="s">
        <v>4060</v>
      </c>
      <c r="D1239" s="5" t="s">
        <v>4042</v>
      </c>
      <c r="E1239" s="25" t="s">
        <v>4061</v>
      </c>
      <c r="F1239" t="s">
        <v>1338</v>
      </c>
      <c r="G1239" t="s">
        <v>4062</v>
      </c>
      <c r="H1239" s="24">
        <v>46150</v>
      </c>
    </row>
    <row r="1240" spans="1:8" s="2" customFormat="1" x14ac:dyDescent="0.25">
      <c r="A1240" t="s">
        <v>1617</v>
      </c>
      <c r="B1240" t="s">
        <v>1618</v>
      </c>
      <c r="C1240" t="s">
        <v>4063</v>
      </c>
      <c r="D1240" s="5" t="s">
        <v>4042</v>
      </c>
      <c r="E1240" s="25" t="s">
        <v>4064</v>
      </c>
      <c r="F1240" t="s">
        <v>1621</v>
      </c>
      <c r="G1240" t="s">
        <v>4065</v>
      </c>
      <c r="H1240" s="24">
        <v>46150</v>
      </c>
    </row>
    <row r="1241" spans="1:8" s="3" customFormat="1" x14ac:dyDescent="0.25">
      <c r="A1241" t="s">
        <v>1617</v>
      </c>
      <c r="B1241" t="s">
        <v>1629</v>
      </c>
      <c r="C1241" t="s">
        <v>4066</v>
      </c>
      <c r="D1241" s="5" t="s">
        <v>4042</v>
      </c>
      <c r="E1241" s="25" t="s">
        <v>4067</v>
      </c>
      <c r="F1241" t="s">
        <v>1621</v>
      </c>
      <c r="G1241" t="s">
        <v>4068</v>
      </c>
      <c r="H1241" s="24">
        <v>46150</v>
      </c>
    </row>
    <row r="1242" spans="1:8" s="2" customFormat="1" x14ac:dyDescent="0.25">
      <c r="A1242" t="s">
        <v>106</v>
      </c>
      <c r="B1242" t="s">
        <v>107</v>
      </c>
      <c r="C1242" t="s">
        <v>4069</v>
      </c>
      <c r="D1242" s="5" t="s">
        <v>4042</v>
      </c>
      <c r="E1242" s="25" t="s">
        <v>4070</v>
      </c>
      <c r="F1242" t="s">
        <v>108</v>
      </c>
      <c r="G1242" t="s">
        <v>4071</v>
      </c>
      <c r="H1242" s="24">
        <v>46150</v>
      </c>
    </row>
    <row r="1243" spans="1:8" s="3" customFormat="1" x14ac:dyDescent="0.25">
      <c r="A1243" t="s">
        <v>414</v>
      </c>
      <c r="B1243" t="s">
        <v>410</v>
      </c>
      <c r="C1243" t="s">
        <v>4072</v>
      </c>
      <c r="D1243" s="5" t="s">
        <v>4042</v>
      </c>
      <c r="E1243" s="25" t="s">
        <v>4073</v>
      </c>
      <c r="F1243" t="s">
        <v>418</v>
      </c>
      <c r="G1243" t="s">
        <v>4074</v>
      </c>
      <c r="H1243" s="24">
        <v>46150</v>
      </c>
    </row>
    <row r="1244" spans="1:8" s="2" customFormat="1" x14ac:dyDescent="0.25">
      <c r="A1244" t="s">
        <v>116</v>
      </c>
      <c r="B1244" t="s">
        <v>117</v>
      </c>
      <c r="C1244" t="s">
        <v>4075</v>
      </c>
      <c r="D1244" s="5" t="s">
        <v>4042</v>
      </c>
      <c r="E1244" s="25" t="s">
        <v>4076</v>
      </c>
      <c r="F1244" t="s">
        <v>118</v>
      </c>
      <c r="G1244" t="s">
        <v>4077</v>
      </c>
      <c r="H1244" s="24">
        <v>46150</v>
      </c>
    </row>
    <row r="1245" spans="1:8" s="3" customFormat="1" x14ac:dyDescent="0.25">
      <c r="A1245" t="s">
        <v>102</v>
      </c>
      <c r="B1245" t="s">
        <v>103</v>
      </c>
      <c r="C1245" t="s">
        <v>4078</v>
      </c>
      <c r="D1245" s="5" t="s">
        <v>4042</v>
      </c>
      <c r="E1245" s="25" t="s">
        <v>4079</v>
      </c>
      <c r="F1245" t="s">
        <v>104</v>
      </c>
      <c r="G1245" t="s">
        <v>4080</v>
      </c>
      <c r="H1245" s="24">
        <v>46150</v>
      </c>
    </row>
    <row r="1246" spans="1:8" s="2" customFormat="1" x14ac:dyDescent="0.25">
      <c r="A1246" t="s">
        <v>102</v>
      </c>
      <c r="B1246" t="s">
        <v>103</v>
      </c>
      <c r="C1246" t="s">
        <v>4081</v>
      </c>
      <c r="D1246" s="5" t="s">
        <v>4042</v>
      </c>
      <c r="E1246" s="25" t="s">
        <v>4082</v>
      </c>
      <c r="F1246" t="s">
        <v>8</v>
      </c>
      <c r="G1246" t="s">
        <v>4083</v>
      </c>
      <c r="H1246" s="24">
        <v>46150</v>
      </c>
    </row>
    <row r="1247" spans="1:8" s="3" customFormat="1" x14ac:dyDescent="0.25">
      <c r="A1247" t="s">
        <v>116</v>
      </c>
      <c r="B1247" t="s">
        <v>117</v>
      </c>
      <c r="C1247" t="s">
        <v>4075</v>
      </c>
      <c r="D1247" s="5" t="s">
        <v>4042</v>
      </c>
      <c r="E1247" s="25" t="s">
        <v>4084</v>
      </c>
      <c r="F1247" t="s">
        <v>118</v>
      </c>
      <c r="G1247" t="s">
        <v>4085</v>
      </c>
      <c r="H1247" s="24">
        <v>46150</v>
      </c>
    </row>
    <row r="1248" spans="1:8" s="2" customFormat="1" x14ac:dyDescent="0.25">
      <c r="A1248" t="s">
        <v>116</v>
      </c>
      <c r="B1248" t="s">
        <v>117</v>
      </c>
      <c r="C1248" t="s">
        <v>4086</v>
      </c>
      <c r="D1248" s="5" t="s">
        <v>4042</v>
      </c>
      <c r="E1248" s="25" t="s">
        <v>3171</v>
      </c>
      <c r="F1248" t="s">
        <v>118</v>
      </c>
      <c r="G1248" t="s">
        <v>4087</v>
      </c>
      <c r="H1248" s="24">
        <v>46150</v>
      </c>
    </row>
    <row r="1249" spans="1:8" s="3" customFormat="1" x14ac:dyDescent="0.25">
      <c r="A1249" t="s">
        <v>102</v>
      </c>
      <c r="B1249" t="s">
        <v>103</v>
      </c>
      <c r="C1249" t="s">
        <v>4088</v>
      </c>
      <c r="D1249" s="5" t="s">
        <v>4042</v>
      </c>
      <c r="E1249" s="25" t="s">
        <v>4089</v>
      </c>
      <c r="F1249" t="s">
        <v>104</v>
      </c>
      <c r="G1249" t="s">
        <v>4090</v>
      </c>
      <c r="H1249" s="24">
        <v>46150</v>
      </c>
    </row>
    <row r="1250" spans="1:8" s="2" customFormat="1" x14ac:dyDescent="0.25">
      <c r="A1250" t="s">
        <v>102</v>
      </c>
      <c r="B1250" t="s">
        <v>103</v>
      </c>
      <c r="C1250" t="s">
        <v>4091</v>
      </c>
      <c r="D1250" s="5" t="s">
        <v>4042</v>
      </c>
      <c r="E1250" s="25" t="s">
        <v>4092</v>
      </c>
      <c r="F1250" t="s">
        <v>8</v>
      </c>
      <c r="G1250" t="s">
        <v>4093</v>
      </c>
      <c r="H1250" s="24">
        <v>46150</v>
      </c>
    </row>
    <row r="1251" spans="1:8" s="3" customFormat="1" x14ac:dyDescent="0.25">
      <c r="A1251" t="s">
        <v>1756</v>
      </c>
      <c r="B1251" t="s">
        <v>415</v>
      </c>
      <c r="C1251" t="s">
        <v>4094</v>
      </c>
      <c r="D1251" s="5" t="s">
        <v>4042</v>
      </c>
      <c r="E1251" s="25" t="s">
        <v>4095</v>
      </c>
      <c r="F1251" t="s">
        <v>1758</v>
      </c>
      <c r="G1251" t="s">
        <v>4096</v>
      </c>
      <c r="H1251" s="24">
        <v>46150</v>
      </c>
    </row>
    <row r="1252" spans="1:8" s="2" customFormat="1" x14ac:dyDescent="0.25">
      <c r="A1252" t="s">
        <v>116</v>
      </c>
      <c r="B1252" t="s">
        <v>117</v>
      </c>
      <c r="C1252" t="s">
        <v>4097</v>
      </c>
      <c r="D1252" s="5" t="s">
        <v>4042</v>
      </c>
      <c r="E1252" s="25" t="s">
        <v>4098</v>
      </c>
      <c r="F1252" t="s">
        <v>118</v>
      </c>
      <c r="G1252" t="s">
        <v>4099</v>
      </c>
      <c r="H1252" s="24">
        <v>46150</v>
      </c>
    </row>
    <row r="1253" spans="1:8" s="3" customFormat="1" x14ac:dyDescent="0.25">
      <c r="A1253" t="s">
        <v>102</v>
      </c>
      <c r="B1253" t="s">
        <v>103</v>
      </c>
      <c r="C1253" t="s">
        <v>4100</v>
      </c>
      <c r="D1253" s="5" t="s">
        <v>4042</v>
      </c>
      <c r="E1253" s="25" t="s">
        <v>4101</v>
      </c>
      <c r="F1253" t="s">
        <v>104</v>
      </c>
      <c r="G1253" t="s">
        <v>4102</v>
      </c>
      <c r="H1253" s="24">
        <v>46150</v>
      </c>
    </row>
    <row r="1254" spans="1:8" s="2" customFormat="1" x14ac:dyDescent="0.25">
      <c r="A1254" t="s">
        <v>102</v>
      </c>
      <c r="B1254" t="s">
        <v>103</v>
      </c>
      <c r="C1254" t="s">
        <v>4103</v>
      </c>
      <c r="D1254" s="5" t="s">
        <v>4042</v>
      </c>
      <c r="E1254" s="25" t="s">
        <v>4104</v>
      </c>
      <c r="F1254" t="s">
        <v>8</v>
      </c>
      <c r="G1254" t="s">
        <v>4105</v>
      </c>
      <c r="H1254" s="24">
        <v>46150</v>
      </c>
    </row>
    <row r="1255" spans="1:8" s="3" customFormat="1" x14ac:dyDescent="0.25">
      <c r="A1255" t="s">
        <v>116</v>
      </c>
      <c r="B1255" t="s">
        <v>117</v>
      </c>
      <c r="C1255" t="s">
        <v>4097</v>
      </c>
      <c r="D1255" s="5" t="s">
        <v>4042</v>
      </c>
      <c r="E1255" s="25" t="s">
        <v>4106</v>
      </c>
      <c r="F1255" t="s">
        <v>118</v>
      </c>
      <c r="G1255" t="s">
        <v>4107</v>
      </c>
      <c r="H1255" s="24">
        <v>46150</v>
      </c>
    </row>
    <row r="1256" spans="1:8" s="2" customFormat="1" x14ac:dyDescent="0.25">
      <c r="A1256" t="s">
        <v>1671</v>
      </c>
      <c r="B1256" t="s">
        <v>107</v>
      </c>
      <c r="C1256" t="s">
        <v>4108</v>
      </c>
      <c r="D1256" s="5" t="s">
        <v>4042</v>
      </c>
      <c r="E1256" s="25" t="s">
        <v>4109</v>
      </c>
      <c r="F1256" t="s">
        <v>1343</v>
      </c>
      <c r="G1256" t="s">
        <v>4110</v>
      </c>
      <c r="H1256" s="24">
        <v>46150</v>
      </c>
    </row>
    <row r="1257" spans="1:8" s="3" customFormat="1" x14ac:dyDescent="0.25">
      <c r="A1257" t="s">
        <v>116</v>
      </c>
      <c r="B1257" t="s">
        <v>117</v>
      </c>
      <c r="C1257" t="s">
        <v>4111</v>
      </c>
      <c r="D1257" s="5" t="s">
        <v>4042</v>
      </c>
      <c r="E1257" s="25" t="s">
        <v>4112</v>
      </c>
      <c r="F1257" t="s">
        <v>118</v>
      </c>
      <c r="G1257" t="s">
        <v>4113</v>
      </c>
      <c r="H1257" s="24">
        <v>46150</v>
      </c>
    </row>
    <row r="1258" spans="1:8" s="2" customFormat="1" x14ac:dyDescent="0.25">
      <c r="A1258" t="s">
        <v>102</v>
      </c>
      <c r="B1258" t="s">
        <v>103</v>
      </c>
      <c r="C1258" t="s">
        <v>4114</v>
      </c>
      <c r="D1258" s="5" t="s">
        <v>4042</v>
      </c>
      <c r="E1258" s="25" t="s">
        <v>4115</v>
      </c>
      <c r="F1258" t="s">
        <v>104</v>
      </c>
      <c r="G1258" t="s">
        <v>4116</v>
      </c>
      <c r="H1258" s="24">
        <v>46150</v>
      </c>
    </row>
    <row r="1259" spans="1:8" s="3" customFormat="1" x14ac:dyDescent="0.25">
      <c r="A1259" t="s">
        <v>102</v>
      </c>
      <c r="B1259" t="s">
        <v>103</v>
      </c>
      <c r="C1259" t="s">
        <v>4117</v>
      </c>
      <c r="D1259" s="5" t="s">
        <v>4042</v>
      </c>
      <c r="E1259" s="25" t="s">
        <v>4118</v>
      </c>
      <c r="F1259" t="s">
        <v>8</v>
      </c>
      <c r="G1259" t="s">
        <v>4119</v>
      </c>
      <c r="H1259" s="24">
        <v>46150</v>
      </c>
    </row>
    <row r="1260" spans="1:8" s="2" customFormat="1" x14ac:dyDescent="0.25">
      <c r="A1260" t="s">
        <v>1617</v>
      </c>
      <c r="B1260" t="s">
        <v>1618</v>
      </c>
      <c r="C1260" t="s">
        <v>4120</v>
      </c>
      <c r="D1260" s="5" t="s">
        <v>4042</v>
      </c>
      <c r="E1260" s="25" t="s">
        <v>4121</v>
      </c>
      <c r="F1260" t="s">
        <v>1621</v>
      </c>
      <c r="G1260" t="s">
        <v>4122</v>
      </c>
      <c r="H1260" s="24">
        <v>46150</v>
      </c>
    </row>
    <row r="1261" spans="1:8" s="3" customFormat="1" x14ac:dyDescent="0.25">
      <c r="A1261" t="s">
        <v>11</v>
      </c>
      <c r="B1261" t="s">
        <v>12</v>
      </c>
      <c r="C1261" t="s">
        <v>4123</v>
      </c>
      <c r="D1261" s="5" t="s">
        <v>4042</v>
      </c>
      <c r="E1261" s="25" t="s">
        <v>4124</v>
      </c>
      <c r="F1261" t="s">
        <v>8</v>
      </c>
      <c r="G1261" t="s">
        <v>4125</v>
      </c>
      <c r="H1261" s="24">
        <v>46150</v>
      </c>
    </row>
    <row r="1262" spans="1:8" s="2" customFormat="1" x14ac:dyDescent="0.25">
      <c r="A1262" t="s">
        <v>14</v>
      </c>
      <c r="B1262" t="s">
        <v>15</v>
      </c>
      <c r="C1262" t="s">
        <v>4126</v>
      </c>
      <c r="D1262" s="5" t="s">
        <v>4042</v>
      </c>
      <c r="E1262" s="25" t="s">
        <v>4127</v>
      </c>
      <c r="F1262" t="s">
        <v>13</v>
      </c>
      <c r="G1262" t="s">
        <v>4128</v>
      </c>
      <c r="H1262" s="24">
        <v>46150</v>
      </c>
    </row>
    <row r="1263" spans="1:8" s="3" customFormat="1" x14ac:dyDescent="0.25">
      <c r="A1263" t="s">
        <v>102</v>
      </c>
      <c r="B1263" t="s">
        <v>103</v>
      </c>
      <c r="C1263" t="s">
        <v>4129</v>
      </c>
      <c r="D1263" s="5" t="s">
        <v>4130</v>
      </c>
      <c r="E1263" s="25" t="s">
        <v>4131</v>
      </c>
      <c r="F1263" t="s">
        <v>104</v>
      </c>
      <c r="G1263" t="s">
        <v>4132</v>
      </c>
      <c r="H1263" s="24">
        <v>46120</v>
      </c>
    </row>
    <row r="1264" spans="1:8" s="2" customFormat="1" x14ac:dyDescent="0.25">
      <c r="A1264" t="s">
        <v>102</v>
      </c>
      <c r="B1264" t="s">
        <v>103</v>
      </c>
      <c r="C1264" t="s">
        <v>4133</v>
      </c>
      <c r="D1264" s="5" t="s">
        <v>4130</v>
      </c>
      <c r="E1264" s="25" t="s">
        <v>4134</v>
      </c>
      <c r="F1264" t="s">
        <v>8</v>
      </c>
      <c r="G1264" t="s">
        <v>4135</v>
      </c>
      <c r="H1264" s="24">
        <v>46120</v>
      </c>
    </row>
    <row r="1265" spans="1:8" s="3" customFormat="1" x14ac:dyDescent="0.25">
      <c r="A1265" t="s">
        <v>110</v>
      </c>
      <c r="B1265" t="s">
        <v>111</v>
      </c>
      <c r="C1265" t="s">
        <v>4136</v>
      </c>
      <c r="D1265" s="5" t="s">
        <v>4130</v>
      </c>
      <c r="E1265" s="25" t="s">
        <v>4137</v>
      </c>
      <c r="F1265" t="s">
        <v>112</v>
      </c>
      <c r="G1265" t="s">
        <v>4138</v>
      </c>
      <c r="H1265" s="24">
        <v>46120</v>
      </c>
    </row>
    <row r="1266" spans="1:8" s="2" customFormat="1" x14ac:dyDescent="0.25">
      <c r="A1266" t="s">
        <v>110</v>
      </c>
      <c r="B1266" t="s">
        <v>115</v>
      </c>
      <c r="C1266" t="s">
        <v>4139</v>
      </c>
      <c r="D1266" s="5" t="s">
        <v>4130</v>
      </c>
      <c r="E1266" s="25" t="s">
        <v>4140</v>
      </c>
      <c r="F1266" t="s">
        <v>112</v>
      </c>
      <c r="G1266" t="s">
        <v>4141</v>
      </c>
      <c r="H1266" s="24">
        <v>46120</v>
      </c>
    </row>
    <row r="1267" spans="1:8" s="3" customFormat="1" x14ac:dyDescent="0.25">
      <c r="A1267" t="s">
        <v>11</v>
      </c>
      <c r="B1267" t="s">
        <v>12</v>
      </c>
      <c r="C1267" t="s">
        <v>4142</v>
      </c>
      <c r="D1267" s="5" t="s">
        <v>4130</v>
      </c>
      <c r="E1267" s="25" t="s">
        <v>4143</v>
      </c>
      <c r="F1267" t="s">
        <v>104</v>
      </c>
      <c r="G1267" t="s">
        <v>4144</v>
      </c>
      <c r="H1267" s="24">
        <v>46120</v>
      </c>
    </row>
    <row r="1268" spans="1:8" s="2" customFormat="1" x14ac:dyDescent="0.25">
      <c r="A1268" t="s">
        <v>1617</v>
      </c>
      <c r="B1268" t="s">
        <v>1618</v>
      </c>
      <c r="C1268" t="s">
        <v>4145</v>
      </c>
      <c r="D1268" s="5" t="s">
        <v>4130</v>
      </c>
      <c r="E1268" s="25" t="s">
        <v>4146</v>
      </c>
      <c r="F1268" t="s">
        <v>1621</v>
      </c>
      <c r="G1268" t="s">
        <v>4147</v>
      </c>
      <c r="H1268" s="24">
        <v>46120</v>
      </c>
    </row>
    <row r="1269" spans="1:8" s="3" customFormat="1" x14ac:dyDescent="0.25">
      <c r="A1269" t="s">
        <v>1617</v>
      </c>
      <c r="B1269" t="s">
        <v>1629</v>
      </c>
      <c r="C1269" t="s">
        <v>4148</v>
      </c>
      <c r="D1269" s="5" t="s">
        <v>4130</v>
      </c>
      <c r="E1269" s="25" t="s">
        <v>4149</v>
      </c>
      <c r="F1269" t="s">
        <v>1621</v>
      </c>
      <c r="G1269" t="s">
        <v>4150</v>
      </c>
      <c r="H1269" s="24">
        <v>46120</v>
      </c>
    </row>
    <row r="1270" spans="1:8" s="2" customFormat="1" x14ac:dyDescent="0.25">
      <c r="A1270" t="s">
        <v>125</v>
      </c>
      <c r="B1270" t="s">
        <v>129</v>
      </c>
      <c r="C1270" t="s">
        <v>4151</v>
      </c>
      <c r="D1270" s="5" t="s">
        <v>4130</v>
      </c>
      <c r="E1270" s="25" t="s">
        <v>4152</v>
      </c>
      <c r="F1270" t="s">
        <v>126</v>
      </c>
      <c r="G1270" t="s">
        <v>4153</v>
      </c>
      <c r="H1270" s="24">
        <v>46120</v>
      </c>
    </row>
    <row r="1271" spans="1:8" s="3" customFormat="1" x14ac:dyDescent="0.25">
      <c r="A1271" t="s">
        <v>102</v>
      </c>
      <c r="B1271" t="s">
        <v>103</v>
      </c>
      <c r="C1271" t="s">
        <v>4154</v>
      </c>
      <c r="D1271" s="5" t="s">
        <v>4130</v>
      </c>
      <c r="E1271" s="25" t="s">
        <v>4155</v>
      </c>
      <c r="F1271" t="s">
        <v>104</v>
      </c>
      <c r="G1271" t="s">
        <v>4156</v>
      </c>
      <c r="H1271" s="24">
        <v>46120</v>
      </c>
    </row>
    <row r="1272" spans="1:8" s="2" customFormat="1" x14ac:dyDescent="0.25">
      <c r="A1272" t="s">
        <v>102</v>
      </c>
      <c r="B1272" t="s">
        <v>103</v>
      </c>
      <c r="C1272" t="s">
        <v>4157</v>
      </c>
      <c r="D1272" s="5" t="s">
        <v>4130</v>
      </c>
      <c r="E1272" s="25" t="s">
        <v>4158</v>
      </c>
      <c r="F1272" t="s">
        <v>8</v>
      </c>
      <c r="G1272" t="s">
        <v>4159</v>
      </c>
      <c r="H1272" s="24">
        <v>46120</v>
      </c>
    </row>
    <row r="1273" spans="1:8" s="3" customFormat="1" x14ac:dyDescent="0.25">
      <c r="A1273" t="s">
        <v>116</v>
      </c>
      <c r="B1273" t="s">
        <v>117</v>
      </c>
      <c r="C1273" t="s">
        <v>4160</v>
      </c>
      <c r="D1273" s="5" t="s">
        <v>4130</v>
      </c>
      <c r="E1273" s="25" t="s">
        <v>4161</v>
      </c>
      <c r="F1273" t="s">
        <v>118</v>
      </c>
      <c r="G1273" t="s">
        <v>4162</v>
      </c>
      <c r="H1273" s="24">
        <v>46120</v>
      </c>
    </row>
    <row r="1274" spans="1:8" s="2" customFormat="1" x14ac:dyDescent="0.25">
      <c r="A1274" t="s">
        <v>1617</v>
      </c>
      <c r="B1274" t="s">
        <v>1618</v>
      </c>
      <c r="C1274" t="s">
        <v>4163</v>
      </c>
      <c r="D1274" s="5" t="s">
        <v>4130</v>
      </c>
      <c r="E1274" s="25" t="s">
        <v>4164</v>
      </c>
      <c r="F1274" t="s">
        <v>1621</v>
      </c>
      <c r="G1274" t="s">
        <v>4165</v>
      </c>
      <c r="H1274" s="24">
        <v>46120</v>
      </c>
    </row>
    <row r="1275" spans="1:8" s="3" customFormat="1" x14ac:dyDescent="0.25">
      <c r="A1275" t="s">
        <v>1617</v>
      </c>
      <c r="B1275" t="s">
        <v>1629</v>
      </c>
      <c r="C1275" t="s">
        <v>4166</v>
      </c>
      <c r="D1275" s="5" t="s">
        <v>4130</v>
      </c>
      <c r="E1275" s="25" t="s">
        <v>4167</v>
      </c>
      <c r="F1275" t="s">
        <v>1621</v>
      </c>
      <c r="G1275" t="s">
        <v>4168</v>
      </c>
      <c r="H1275" s="24">
        <v>46120</v>
      </c>
    </row>
    <row r="1276" spans="1:8" s="2" customFormat="1" x14ac:dyDescent="0.25">
      <c r="A1276" t="s">
        <v>1617</v>
      </c>
      <c r="B1276" t="s">
        <v>1618</v>
      </c>
      <c r="C1276" t="s">
        <v>4163</v>
      </c>
      <c r="D1276" s="5" t="s">
        <v>4130</v>
      </c>
      <c r="E1276" s="25" t="s">
        <v>4169</v>
      </c>
      <c r="F1276" t="s">
        <v>1621</v>
      </c>
      <c r="G1276" t="s">
        <v>4170</v>
      </c>
      <c r="H1276" s="24">
        <v>46120</v>
      </c>
    </row>
    <row r="1277" spans="1:8" s="3" customFormat="1" x14ac:dyDescent="0.25">
      <c r="A1277" t="s">
        <v>102</v>
      </c>
      <c r="B1277" t="s">
        <v>103</v>
      </c>
      <c r="C1277" t="s">
        <v>4171</v>
      </c>
      <c r="D1277" s="5" t="s">
        <v>4130</v>
      </c>
      <c r="E1277" s="25" t="s">
        <v>4172</v>
      </c>
      <c r="F1277" t="s">
        <v>104</v>
      </c>
      <c r="G1277" t="s">
        <v>4173</v>
      </c>
      <c r="H1277" s="24">
        <v>46120</v>
      </c>
    </row>
    <row r="1278" spans="1:8" s="2" customFormat="1" x14ac:dyDescent="0.25">
      <c r="A1278" t="s">
        <v>102</v>
      </c>
      <c r="B1278" t="s">
        <v>103</v>
      </c>
      <c r="C1278" t="s">
        <v>4174</v>
      </c>
      <c r="D1278" s="5" t="s">
        <v>4130</v>
      </c>
      <c r="E1278" s="25" t="s">
        <v>4175</v>
      </c>
      <c r="F1278" t="s">
        <v>8</v>
      </c>
      <c r="G1278" t="s">
        <v>4176</v>
      </c>
      <c r="H1278" s="24">
        <v>46120</v>
      </c>
    </row>
    <row r="1279" spans="1:8" s="3" customFormat="1" x14ac:dyDescent="0.25">
      <c r="A1279" t="s">
        <v>102</v>
      </c>
      <c r="B1279" t="s">
        <v>103</v>
      </c>
      <c r="C1279" t="s">
        <v>4171</v>
      </c>
      <c r="D1279" s="5" t="s">
        <v>4130</v>
      </c>
      <c r="E1279" s="25" t="s">
        <v>4177</v>
      </c>
      <c r="F1279" t="s">
        <v>104</v>
      </c>
      <c r="G1279" t="s">
        <v>4178</v>
      </c>
      <c r="H1279" s="24">
        <v>46120</v>
      </c>
    </row>
    <row r="1280" spans="1:8" s="2" customFormat="1" x14ac:dyDescent="0.25">
      <c r="A1280" t="s">
        <v>102</v>
      </c>
      <c r="B1280" t="s">
        <v>103</v>
      </c>
      <c r="C1280" t="s">
        <v>4174</v>
      </c>
      <c r="D1280" s="5" t="s">
        <v>4130</v>
      </c>
      <c r="E1280" s="25" t="s">
        <v>4179</v>
      </c>
      <c r="F1280" t="s">
        <v>8</v>
      </c>
      <c r="G1280" t="s">
        <v>4180</v>
      </c>
      <c r="H1280" s="24">
        <v>46120</v>
      </c>
    </row>
    <row r="1281" spans="1:8" s="3" customFormat="1" x14ac:dyDescent="0.25">
      <c r="A1281" t="s">
        <v>102</v>
      </c>
      <c r="B1281" t="s">
        <v>103</v>
      </c>
      <c r="C1281" t="s">
        <v>4181</v>
      </c>
      <c r="D1281" s="5" t="s">
        <v>4130</v>
      </c>
      <c r="E1281" s="25" t="s">
        <v>4182</v>
      </c>
      <c r="F1281" t="s">
        <v>104</v>
      </c>
      <c r="G1281" t="s">
        <v>4183</v>
      </c>
      <c r="H1281" s="24">
        <v>46120</v>
      </c>
    </row>
    <row r="1282" spans="1:8" s="2" customFormat="1" x14ac:dyDescent="0.25">
      <c r="A1282" t="s">
        <v>102</v>
      </c>
      <c r="B1282" t="s">
        <v>103</v>
      </c>
      <c r="C1282" t="s">
        <v>4181</v>
      </c>
      <c r="D1282" s="5" t="s">
        <v>4130</v>
      </c>
      <c r="E1282" s="25" t="s">
        <v>4182</v>
      </c>
      <c r="F1282" t="s">
        <v>104</v>
      </c>
      <c r="G1282" t="s">
        <v>4184</v>
      </c>
      <c r="H1282" s="24">
        <v>46120</v>
      </c>
    </row>
    <row r="1283" spans="1:8" s="3" customFormat="1" x14ac:dyDescent="0.25">
      <c r="A1283" t="s">
        <v>102</v>
      </c>
      <c r="B1283" t="s">
        <v>103</v>
      </c>
      <c r="C1283" t="s">
        <v>4185</v>
      </c>
      <c r="D1283" s="5" t="s">
        <v>4130</v>
      </c>
      <c r="E1283" s="25" t="s">
        <v>4186</v>
      </c>
      <c r="F1283" t="s">
        <v>8</v>
      </c>
      <c r="G1283" t="s">
        <v>4187</v>
      </c>
      <c r="H1283" s="24">
        <v>46120</v>
      </c>
    </row>
    <row r="1284" spans="1:8" s="2" customFormat="1" x14ac:dyDescent="0.25">
      <c r="A1284" t="s">
        <v>102</v>
      </c>
      <c r="B1284" t="s">
        <v>103</v>
      </c>
      <c r="C1284" t="s">
        <v>4188</v>
      </c>
      <c r="D1284" s="5" t="s">
        <v>4130</v>
      </c>
      <c r="E1284" s="25" t="s">
        <v>4189</v>
      </c>
      <c r="F1284" t="s">
        <v>104</v>
      </c>
      <c r="G1284" t="s">
        <v>4190</v>
      </c>
      <c r="H1284" s="24">
        <v>46120</v>
      </c>
    </row>
    <row r="1285" spans="1:8" s="3" customFormat="1" x14ac:dyDescent="0.25">
      <c r="A1285" t="s">
        <v>102</v>
      </c>
      <c r="B1285" t="s">
        <v>103</v>
      </c>
      <c r="C1285" t="s">
        <v>4191</v>
      </c>
      <c r="D1285" s="5" t="s">
        <v>4130</v>
      </c>
      <c r="E1285" s="25" t="s">
        <v>4192</v>
      </c>
      <c r="F1285" t="s">
        <v>8</v>
      </c>
      <c r="G1285" t="s">
        <v>4193</v>
      </c>
      <c r="H1285" s="24">
        <v>46120</v>
      </c>
    </row>
    <row r="1286" spans="1:8" s="2" customFormat="1" x14ac:dyDescent="0.25">
      <c r="A1286" t="s">
        <v>116</v>
      </c>
      <c r="B1286" t="s">
        <v>117</v>
      </c>
      <c r="C1286" t="s">
        <v>4194</v>
      </c>
      <c r="D1286" s="5" t="s">
        <v>4130</v>
      </c>
      <c r="E1286" s="25" t="s">
        <v>4195</v>
      </c>
      <c r="F1286" t="s">
        <v>118</v>
      </c>
      <c r="G1286" t="s">
        <v>4196</v>
      </c>
      <c r="H1286" s="24">
        <v>46120</v>
      </c>
    </row>
    <row r="1287" spans="1:8" s="3" customFormat="1" x14ac:dyDescent="0.25">
      <c r="A1287" t="s">
        <v>102</v>
      </c>
      <c r="B1287" t="s">
        <v>103</v>
      </c>
      <c r="C1287" t="s">
        <v>4197</v>
      </c>
      <c r="D1287" s="5" t="s">
        <v>4130</v>
      </c>
      <c r="E1287" s="25" t="s">
        <v>4198</v>
      </c>
      <c r="F1287" t="s">
        <v>104</v>
      </c>
      <c r="G1287" t="s">
        <v>4199</v>
      </c>
      <c r="H1287" s="24">
        <v>46120</v>
      </c>
    </row>
    <row r="1288" spans="1:8" s="2" customFormat="1" x14ac:dyDescent="0.25">
      <c r="A1288" t="s">
        <v>102</v>
      </c>
      <c r="B1288" t="s">
        <v>103</v>
      </c>
      <c r="C1288" t="s">
        <v>4200</v>
      </c>
      <c r="D1288" s="5" t="s">
        <v>4130</v>
      </c>
      <c r="E1288" s="25" t="s">
        <v>4201</v>
      </c>
      <c r="F1288" t="s">
        <v>8</v>
      </c>
      <c r="G1288" t="s">
        <v>4202</v>
      </c>
      <c r="H1288" s="24">
        <v>46120</v>
      </c>
    </row>
    <row r="1289" spans="1:8" s="3" customFormat="1" x14ac:dyDescent="0.25">
      <c r="A1289" t="s">
        <v>102</v>
      </c>
      <c r="B1289" t="s">
        <v>103</v>
      </c>
      <c r="C1289" t="s">
        <v>4203</v>
      </c>
      <c r="D1289" s="5" t="s">
        <v>4130</v>
      </c>
      <c r="E1289" s="25" t="s">
        <v>4204</v>
      </c>
      <c r="F1289" t="s">
        <v>104</v>
      </c>
      <c r="G1289" t="s">
        <v>4205</v>
      </c>
      <c r="H1289" s="24">
        <v>46120</v>
      </c>
    </row>
    <row r="1290" spans="1:8" s="2" customFormat="1" x14ac:dyDescent="0.25">
      <c r="A1290" t="s">
        <v>102</v>
      </c>
      <c r="B1290" t="s">
        <v>103</v>
      </c>
      <c r="C1290" t="s">
        <v>4206</v>
      </c>
      <c r="D1290" s="5" t="s">
        <v>4130</v>
      </c>
      <c r="E1290" s="25" t="s">
        <v>4207</v>
      </c>
      <c r="F1290" t="s">
        <v>8</v>
      </c>
      <c r="G1290" t="s">
        <v>4208</v>
      </c>
      <c r="H1290" s="24">
        <v>46120</v>
      </c>
    </row>
    <row r="1291" spans="1:8" s="3" customFormat="1" x14ac:dyDescent="0.25">
      <c r="A1291" t="s">
        <v>102</v>
      </c>
      <c r="B1291" t="s">
        <v>103</v>
      </c>
      <c r="C1291" t="s">
        <v>4203</v>
      </c>
      <c r="D1291" s="5" t="s">
        <v>4130</v>
      </c>
      <c r="E1291" s="25" t="s">
        <v>4209</v>
      </c>
      <c r="F1291" t="s">
        <v>104</v>
      </c>
      <c r="G1291" t="s">
        <v>4210</v>
      </c>
      <c r="H1291" s="24">
        <v>46120</v>
      </c>
    </row>
    <row r="1292" spans="1:8" s="2" customFormat="1" x14ac:dyDescent="0.25">
      <c r="A1292" t="s">
        <v>102</v>
      </c>
      <c r="B1292" t="s">
        <v>103</v>
      </c>
      <c r="C1292" t="s">
        <v>4206</v>
      </c>
      <c r="D1292" s="5" t="s">
        <v>4130</v>
      </c>
      <c r="E1292" s="25" t="s">
        <v>4211</v>
      </c>
      <c r="F1292" t="s">
        <v>8</v>
      </c>
      <c r="G1292" t="s">
        <v>4212</v>
      </c>
      <c r="H1292" s="24">
        <v>46120</v>
      </c>
    </row>
    <row r="1293" spans="1:8" s="3" customFormat="1" x14ac:dyDescent="0.25">
      <c r="A1293" t="s">
        <v>125</v>
      </c>
      <c r="B1293" t="s">
        <v>129</v>
      </c>
      <c r="C1293" t="s">
        <v>4213</v>
      </c>
      <c r="D1293" s="5" t="s">
        <v>4130</v>
      </c>
      <c r="E1293" s="25" t="s">
        <v>4214</v>
      </c>
      <c r="F1293" t="s">
        <v>127</v>
      </c>
      <c r="G1293" t="s">
        <v>4215</v>
      </c>
      <c r="H1293" s="24">
        <v>46120</v>
      </c>
    </row>
    <row r="1294" spans="1:8" s="2" customFormat="1" x14ac:dyDescent="0.25">
      <c r="A1294" t="s">
        <v>14</v>
      </c>
      <c r="B1294" t="s">
        <v>3731</v>
      </c>
      <c r="C1294" t="s">
        <v>4216</v>
      </c>
      <c r="D1294" s="5" t="s">
        <v>4130</v>
      </c>
      <c r="E1294" s="25" t="s">
        <v>4217</v>
      </c>
      <c r="F1294" t="s">
        <v>13</v>
      </c>
      <c r="G1294" t="s">
        <v>4218</v>
      </c>
      <c r="H1294" s="24">
        <v>46120</v>
      </c>
    </row>
    <row r="1295" spans="1:8" s="3" customFormat="1" x14ac:dyDescent="0.25">
      <c r="A1295" t="s">
        <v>130</v>
      </c>
      <c r="B1295" t="s">
        <v>4219</v>
      </c>
      <c r="C1295" t="s">
        <v>4220</v>
      </c>
      <c r="D1295" s="5" t="s">
        <v>4130</v>
      </c>
      <c r="E1295" s="25" t="s">
        <v>4221</v>
      </c>
      <c r="F1295" t="s">
        <v>119</v>
      </c>
      <c r="G1295" t="s">
        <v>4222</v>
      </c>
      <c r="H1295" s="24">
        <v>46120</v>
      </c>
    </row>
    <row r="1296" spans="1:8" s="2" customFormat="1" x14ac:dyDescent="0.25">
      <c r="A1296" t="s">
        <v>130</v>
      </c>
      <c r="B1296" t="s">
        <v>4223</v>
      </c>
      <c r="C1296" t="s">
        <v>4224</v>
      </c>
      <c r="D1296" s="5" t="s">
        <v>4130</v>
      </c>
      <c r="E1296" s="25" t="s">
        <v>4225</v>
      </c>
      <c r="F1296" t="s">
        <v>119</v>
      </c>
      <c r="G1296" t="s">
        <v>4226</v>
      </c>
      <c r="H1296" s="24">
        <v>46120</v>
      </c>
    </row>
    <row r="1297" spans="1:8" s="3" customFormat="1" x14ac:dyDescent="0.25">
      <c r="A1297" t="s">
        <v>130</v>
      </c>
      <c r="B1297" t="s">
        <v>4227</v>
      </c>
      <c r="C1297" t="s">
        <v>4228</v>
      </c>
      <c r="D1297" s="5" t="s">
        <v>4130</v>
      </c>
      <c r="E1297" s="25" t="s">
        <v>4229</v>
      </c>
      <c r="F1297" t="s">
        <v>119</v>
      </c>
      <c r="G1297" t="s">
        <v>4230</v>
      </c>
      <c r="H1297" s="24">
        <v>46120</v>
      </c>
    </row>
    <row r="1298" spans="1:8" s="2" customFormat="1" x14ac:dyDescent="0.25">
      <c r="A1298" t="s">
        <v>414</v>
      </c>
      <c r="B1298" t="s">
        <v>107</v>
      </c>
      <c r="C1298" t="s">
        <v>4231</v>
      </c>
      <c r="D1298" s="5" t="s">
        <v>4130</v>
      </c>
      <c r="E1298" s="25" t="s">
        <v>4232</v>
      </c>
      <c r="F1298" t="s">
        <v>418</v>
      </c>
      <c r="G1298" t="s">
        <v>4233</v>
      </c>
      <c r="H1298" s="24">
        <v>46120</v>
      </c>
    </row>
    <row r="1299" spans="1:8" s="3" customFormat="1" x14ac:dyDescent="0.25">
      <c r="A1299" t="s">
        <v>643</v>
      </c>
      <c r="B1299" t="s">
        <v>107</v>
      </c>
      <c r="C1299" t="s">
        <v>4234</v>
      </c>
      <c r="D1299" s="5" t="s">
        <v>4130</v>
      </c>
      <c r="E1299" s="25" t="s">
        <v>4235</v>
      </c>
      <c r="F1299" t="s">
        <v>108</v>
      </c>
      <c r="G1299" t="s">
        <v>4236</v>
      </c>
      <c r="H1299" s="24">
        <v>46120</v>
      </c>
    </row>
    <row r="1300" spans="1:8" s="2" customFormat="1" x14ac:dyDescent="0.25">
      <c r="A1300" t="s">
        <v>11</v>
      </c>
      <c r="B1300" t="s">
        <v>12</v>
      </c>
      <c r="C1300" t="s">
        <v>4237</v>
      </c>
      <c r="D1300" s="5" t="s">
        <v>4130</v>
      </c>
      <c r="E1300" s="25" t="s">
        <v>4238</v>
      </c>
      <c r="F1300" t="s">
        <v>8</v>
      </c>
      <c r="G1300" t="s">
        <v>4239</v>
      </c>
      <c r="H1300" s="24">
        <v>46120</v>
      </c>
    </row>
    <row r="1301" spans="1:8" s="3" customFormat="1" x14ac:dyDescent="0.25">
      <c r="A1301" t="s">
        <v>106</v>
      </c>
      <c r="B1301" t="s">
        <v>107</v>
      </c>
      <c r="C1301" t="s">
        <v>4240</v>
      </c>
      <c r="D1301" s="5" t="s">
        <v>4130</v>
      </c>
      <c r="E1301" s="25" t="s">
        <v>4241</v>
      </c>
      <c r="F1301" t="s">
        <v>108</v>
      </c>
      <c r="G1301" t="s">
        <v>4242</v>
      </c>
      <c r="H1301" s="24">
        <v>46120</v>
      </c>
    </row>
    <row r="1302" spans="1:8" s="2" customFormat="1" x14ac:dyDescent="0.25">
      <c r="A1302" t="s">
        <v>102</v>
      </c>
      <c r="B1302" t="s">
        <v>103</v>
      </c>
      <c r="C1302" t="s">
        <v>4243</v>
      </c>
      <c r="D1302" s="5" t="s">
        <v>4130</v>
      </c>
      <c r="E1302" s="25" t="s">
        <v>4244</v>
      </c>
      <c r="F1302" t="s">
        <v>104</v>
      </c>
      <c r="G1302" t="s">
        <v>4245</v>
      </c>
      <c r="H1302" s="24">
        <v>46120</v>
      </c>
    </row>
    <row r="1303" spans="1:8" s="3" customFormat="1" x14ac:dyDescent="0.25">
      <c r="A1303" t="s">
        <v>102</v>
      </c>
      <c r="B1303" t="s">
        <v>103</v>
      </c>
      <c r="C1303" t="s">
        <v>4246</v>
      </c>
      <c r="D1303" s="5" t="s">
        <v>4130</v>
      </c>
      <c r="E1303" s="25" t="s">
        <v>4247</v>
      </c>
      <c r="F1303" t="s">
        <v>8</v>
      </c>
      <c r="G1303" t="s">
        <v>4248</v>
      </c>
      <c r="H1303" s="24">
        <v>46120</v>
      </c>
    </row>
    <row r="1304" spans="1:8" s="2" customFormat="1" x14ac:dyDescent="0.25">
      <c r="A1304" t="s">
        <v>110</v>
      </c>
      <c r="B1304" t="s">
        <v>115</v>
      </c>
      <c r="C1304" t="s">
        <v>4249</v>
      </c>
      <c r="D1304" s="5" t="s">
        <v>4250</v>
      </c>
      <c r="E1304" s="25" t="s">
        <v>4251</v>
      </c>
      <c r="F1304" t="s">
        <v>112</v>
      </c>
      <c r="G1304" t="s">
        <v>4252</v>
      </c>
      <c r="H1304" s="24">
        <v>46089</v>
      </c>
    </row>
    <row r="1305" spans="1:8" s="3" customFormat="1" x14ac:dyDescent="0.25">
      <c r="A1305" t="s">
        <v>116</v>
      </c>
      <c r="B1305" t="s">
        <v>117</v>
      </c>
      <c r="C1305" t="s">
        <v>4253</v>
      </c>
      <c r="D1305" s="5" t="s">
        <v>4250</v>
      </c>
      <c r="E1305" s="25" t="s">
        <v>4254</v>
      </c>
      <c r="F1305" t="s">
        <v>118</v>
      </c>
      <c r="G1305" t="s">
        <v>4255</v>
      </c>
      <c r="H1305" s="24">
        <v>46089</v>
      </c>
    </row>
    <row r="1306" spans="1:8" s="2" customFormat="1" x14ac:dyDescent="0.25">
      <c r="A1306" t="s">
        <v>110</v>
      </c>
      <c r="B1306" t="s">
        <v>111</v>
      </c>
      <c r="C1306" t="s">
        <v>4256</v>
      </c>
      <c r="D1306" s="5" t="s">
        <v>4250</v>
      </c>
      <c r="E1306" s="25" t="s">
        <v>4257</v>
      </c>
      <c r="F1306" t="s">
        <v>112</v>
      </c>
      <c r="G1306" t="s">
        <v>4258</v>
      </c>
      <c r="H1306" s="24">
        <v>46089</v>
      </c>
    </row>
    <row r="1307" spans="1:8" s="3" customFormat="1" x14ac:dyDescent="0.25">
      <c r="A1307" t="s">
        <v>102</v>
      </c>
      <c r="B1307" t="s">
        <v>103</v>
      </c>
      <c r="C1307" t="s">
        <v>4259</v>
      </c>
      <c r="D1307" s="5" t="s">
        <v>4250</v>
      </c>
      <c r="E1307" s="25" t="s">
        <v>4260</v>
      </c>
      <c r="F1307" t="s">
        <v>104</v>
      </c>
      <c r="G1307" t="s">
        <v>4261</v>
      </c>
      <c r="H1307" s="24">
        <v>46089</v>
      </c>
    </row>
    <row r="1308" spans="1:8" s="2" customFormat="1" x14ac:dyDescent="0.25">
      <c r="A1308" t="s">
        <v>102</v>
      </c>
      <c r="B1308" t="s">
        <v>103</v>
      </c>
      <c r="C1308" t="s">
        <v>4262</v>
      </c>
      <c r="D1308" s="5" t="s">
        <v>4250</v>
      </c>
      <c r="E1308" s="25" t="s">
        <v>4263</v>
      </c>
      <c r="F1308" t="s">
        <v>8</v>
      </c>
      <c r="G1308" t="s">
        <v>4264</v>
      </c>
      <c r="H1308" s="24">
        <v>46089</v>
      </c>
    </row>
    <row r="1309" spans="1:8" s="3" customFormat="1" x14ac:dyDescent="0.25">
      <c r="A1309" t="s">
        <v>11</v>
      </c>
      <c r="B1309" t="s">
        <v>12</v>
      </c>
      <c r="C1309" t="s">
        <v>4265</v>
      </c>
      <c r="D1309" s="5" t="s">
        <v>4250</v>
      </c>
      <c r="E1309" s="25" t="s">
        <v>4266</v>
      </c>
      <c r="F1309" t="s">
        <v>104</v>
      </c>
      <c r="G1309" t="s">
        <v>4267</v>
      </c>
      <c r="H1309" s="24">
        <v>46089</v>
      </c>
    </row>
    <row r="1310" spans="1:8" s="2" customFormat="1" x14ac:dyDescent="0.25">
      <c r="A1310" t="s">
        <v>102</v>
      </c>
      <c r="B1310" t="s">
        <v>103</v>
      </c>
      <c r="C1310" t="s">
        <v>4268</v>
      </c>
      <c r="D1310" s="5" t="s">
        <v>4250</v>
      </c>
      <c r="E1310" s="25" t="s">
        <v>4269</v>
      </c>
      <c r="F1310" t="s">
        <v>104</v>
      </c>
      <c r="G1310" t="s">
        <v>4270</v>
      </c>
      <c r="H1310" s="24">
        <v>46089</v>
      </c>
    </row>
    <row r="1311" spans="1:8" s="3" customFormat="1" x14ac:dyDescent="0.25">
      <c r="A1311" t="s">
        <v>102</v>
      </c>
      <c r="B1311" t="s">
        <v>103</v>
      </c>
      <c r="C1311" t="s">
        <v>4271</v>
      </c>
      <c r="D1311" s="5" t="s">
        <v>4250</v>
      </c>
      <c r="E1311" s="25" t="s">
        <v>694</v>
      </c>
      <c r="F1311" t="s">
        <v>8</v>
      </c>
      <c r="G1311" t="s">
        <v>4272</v>
      </c>
      <c r="H1311" s="24">
        <v>46089</v>
      </c>
    </row>
    <row r="1312" spans="1:8" s="2" customFormat="1" x14ac:dyDescent="0.25">
      <c r="A1312" t="s">
        <v>102</v>
      </c>
      <c r="B1312" t="s">
        <v>103</v>
      </c>
      <c r="C1312" t="s">
        <v>4268</v>
      </c>
      <c r="D1312" s="5" t="s">
        <v>4250</v>
      </c>
      <c r="E1312" s="25" t="s">
        <v>4273</v>
      </c>
      <c r="F1312" t="s">
        <v>104</v>
      </c>
      <c r="G1312" t="s">
        <v>4274</v>
      </c>
      <c r="H1312" s="24">
        <v>46089</v>
      </c>
    </row>
    <row r="1313" spans="1:8" s="3" customFormat="1" x14ac:dyDescent="0.25">
      <c r="A1313" t="s">
        <v>102</v>
      </c>
      <c r="B1313" t="s">
        <v>103</v>
      </c>
      <c r="C1313" t="s">
        <v>4271</v>
      </c>
      <c r="D1313" s="5" t="s">
        <v>4250</v>
      </c>
      <c r="E1313" s="25" t="s">
        <v>4275</v>
      </c>
      <c r="F1313" t="s">
        <v>8</v>
      </c>
      <c r="G1313" t="s">
        <v>4276</v>
      </c>
      <c r="H1313" s="24">
        <v>46089</v>
      </c>
    </row>
    <row r="1314" spans="1:8" s="2" customFormat="1" x14ac:dyDescent="0.25">
      <c r="A1314" t="s">
        <v>102</v>
      </c>
      <c r="B1314" t="s">
        <v>103</v>
      </c>
      <c r="C1314" t="s">
        <v>4277</v>
      </c>
      <c r="D1314" s="5" t="s">
        <v>4250</v>
      </c>
      <c r="E1314" s="25" t="s">
        <v>4278</v>
      </c>
      <c r="F1314" t="s">
        <v>104</v>
      </c>
      <c r="G1314" t="s">
        <v>4279</v>
      </c>
      <c r="H1314" s="24">
        <v>46089</v>
      </c>
    </row>
    <row r="1315" spans="1:8" s="3" customFormat="1" x14ac:dyDescent="0.25">
      <c r="A1315" t="s">
        <v>102</v>
      </c>
      <c r="B1315" t="s">
        <v>103</v>
      </c>
      <c r="C1315" t="s">
        <v>4280</v>
      </c>
      <c r="D1315" s="5" t="s">
        <v>4250</v>
      </c>
      <c r="E1315" s="25" t="s">
        <v>4281</v>
      </c>
      <c r="F1315" t="s">
        <v>8</v>
      </c>
      <c r="G1315" t="s">
        <v>4282</v>
      </c>
      <c r="H1315" s="24">
        <v>46089</v>
      </c>
    </row>
    <row r="1316" spans="1:8" s="2" customFormat="1" x14ac:dyDescent="0.25">
      <c r="A1316" t="s">
        <v>102</v>
      </c>
      <c r="B1316" t="s">
        <v>103</v>
      </c>
      <c r="C1316" t="s">
        <v>4283</v>
      </c>
      <c r="D1316" s="5" t="s">
        <v>4250</v>
      </c>
      <c r="E1316" s="25" t="s">
        <v>4284</v>
      </c>
      <c r="F1316" t="s">
        <v>104</v>
      </c>
      <c r="G1316" t="s">
        <v>4285</v>
      </c>
      <c r="H1316" s="24">
        <v>46089</v>
      </c>
    </row>
    <row r="1317" spans="1:8" s="3" customFormat="1" x14ac:dyDescent="0.25">
      <c r="A1317" t="s">
        <v>102</v>
      </c>
      <c r="B1317" t="s">
        <v>103</v>
      </c>
      <c r="C1317" t="s">
        <v>4286</v>
      </c>
      <c r="D1317" s="5" t="s">
        <v>4250</v>
      </c>
      <c r="E1317" s="25" t="s">
        <v>4287</v>
      </c>
      <c r="F1317" t="s">
        <v>8</v>
      </c>
      <c r="G1317" t="s">
        <v>4288</v>
      </c>
      <c r="H1317" s="24">
        <v>46089</v>
      </c>
    </row>
    <row r="1318" spans="1:8" s="2" customFormat="1" x14ac:dyDescent="0.25">
      <c r="A1318" t="s">
        <v>1671</v>
      </c>
      <c r="B1318" t="s">
        <v>107</v>
      </c>
      <c r="C1318" t="s">
        <v>4289</v>
      </c>
      <c r="D1318" s="5" t="s">
        <v>4250</v>
      </c>
      <c r="E1318" s="25" t="s">
        <v>4290</v>
      </c>
      <c r="F1318" t="s">
        <v>1343</v>
      </c>
      <c r="G1318" t="s">
        <v>4291</v>
      </c>
      <c r="H1318" s="24">
        <v>46089</v>
      </c>
    </row>
    <row r="1319" spans="1:8" s="3" customFormat="1" x14ac:dyDescent="0.25">
      <c r="A1319" t="s">
        <v>102</v>
      </c>
      <c r="B1319" t="s">
        <v>103</v>
      </c>
      <c r="C1319" t="s">
        <v>4292</v>
      </c>
      <c r="D1319" s="5" t="s">
        <v>4250</v>
      </c>
      <c r="E1319" s="25" t="s">
        <v>4293</v>
      </c>
      <c r="F1319" t="s">
        <v>104</v>
      </c>
      <c r="G1319" t="s">
        <v>4294</v>
      </c>
      <c r="H1319" s="24">
        <v>46089</v>
      </c>
    </row>
    <row r="1320" spans="1:8" s="2" customFormat="1" x14ac:dyDescent="0.25">
      <c r="A1320" t="s">
        <v>102</v>
      </c>
      <c r="B1320" t="s">
        <v>103</v>
      </c>
      <c r="C1320" t="s">
        <v>4295</v>
      </c>
      <c r="D1320" s="5" t="s">
        <v>4250</v>
      </c>
      <c r="E1320" s="25" t="s">
        <v>4296</v>
      </c>
      <c r="F1320" t="s">
        <v>8</v>
      </c>
      <c r="G1320" t="s">
        <v>4297</v>
      </c>
      <c r="H1320" s="24">
        <v>46089</v>
      </c>
    </row>
    <row r="1321" spans="1:8" s="3" customFormat="1" x14ac:dyDescent="0.25">
      <c r="A1321" t="s">
        <v>102</v>
      </c>
      <c r="B1321" t="s">
        <v>103</v>
      </c>
      <c r="C1321" t="s">
        <v>4298</v>
      </c>
      <c r="D1321" s="5" t="s">
        <v>4250</v>
      </c>
      <c r="E1321" s="25" t="s">
        <v>4299</v>
      </c>
      <c r="F1321" t="s">
        <v>104</v>
      </c>
      <c r="G1321" t="s">
        <v>4300</v>
      </c>
      <c r="H1321" s="24">
        <v>46089</v>
      </c>
    </row>
    <row r="1322" spans="1:8" s="2" customFormat="1" x14ac:dyDescent="0.25">
      <c r="A1322" t="s">
        <v>102</v>
      </c>
      <c r="B1322" t="s">
        <v>103</v>
      </c>
      <c r="C1322" t="s">
        <v>4301</v>
      </c>
      <c r="D1322" s="5" t="s">
        <v>4250</v>
      </c>
      <c r="E1322" s="25" t="s">
        <v>4302</v>
      </c>
      <c r="F1322" t="s">
        <v>8</v>
      </c>
      <c r="G1322" t="s">
        <v>4303</v>
      </c>
      <c r="H1322" s="24">
        <v>46089</v>
      </c>
    </row>
    <row r="1323" spans="1:8" s="3" customFormat="1" x14ac:dyDescent="0.25">
      <c r="A1323" t="s">
        <v>102</v>
      </c>
      <c r="B1323" t="s">
        <v>103</v>
      </c>
      <c r="C1323" t="s">
        <v>4304</v>
      </c>
      <c r="D1323" s="5" t="s">
        <v>4250</v>
      </c>
      <c r="E1323" s="25" t="s">
        <v>4305</v>
      </c>
      <c r="F1323" t="s">
        <v>104</v>
      </c>
      <c r="G1323" t="s">
        <v>4306</v>
      </c>
      <c r="H1323" s="24">
        <v>46089</v>
      </c>
    </row>
    <row r="1324" spans="1:8" s="2" customFormat="1" x14ac:dyDescent="0.25">
      <c r="A1324" t="s">
        <v>102</v>
      </c>
      <c r="B1324" t="s">
        <v>103</v>
      </c>
      <c r="C1324" t="s">
        <v>4307</v>
      </c>
      <c r="D1324" s="5" t="s">
        <v>4250</v>
      </c>
      <c r="E1324" s="25" t="s">
        <v>4308</v>
      </c>
      <c r="F1324" t="s">
        <v>8</v>
      </c>
      <c r="G1324" t="s">
        <v>4309</v>
      </c>
      <c r="H1324" s="24">
        <v>46089</v>
      </c>
    </row>
    <row r="1325" spans="1:8" s="3" customFormat="1" x14ac:dyDescent="0.25">
      <c r="A1325" t="s">
        <v>1705</v>
      </c>
      <c r="B1325" t="s">
        <v>4310</v>
      </c>
      <c r="C1325" t="s">
        <v>4311</v>
      </c>
      <c r="D1325" s="5" t="s">
        <v>4250</v>
      </c>
      <c r="E1325" s="25" t="s">
        <v>4312</v>
      </c>
      <c r="F1325" t="s">
        <v>1708</v>
      </c>
      <c r="G1325" t="s">
        <v>4313</v>
      </c>
      <c r="H1325" s="24">
        <v>46089</v>
      </c>
    </row>
    <row r="1326" spans="1:8" s="2" customFormat="1" x14ac:dyDescent="0.25">
      <c r="A1326" t="s">
        <v>102</v>
      </c>
      <c r="B1326" t="s">
        <v>103</v>
      </c>
      <c r="C1326" t="s">
        <v>4314</v>
      </c>
      <c r="D1326" s="5" t="s">
        <v>4250</v>
      </c>
      <c r="E1326" s="25" t="s">
        <v>4315</v>
      </c>
      <c r="F1326" t="s">
        <v>104</v>
      </c>
      <c r="G1326" t="s">
        <v>4316</v>
      </c>
      <c r="H1326" s="24">
        <v>46089</v>
      </c>
    </row>
    <row r="1327" spans="1:8" s="3" customFormat="1" x14ac:dyDescent="0.25">
      <c r="A1327" t="s">
        <v>102</v>
      </c>
      <c r="B1327" t="s">
        <v>103</v>
      </c>
      <c r="C1327" t="s">
        <v>4317</v>
      </c>
      <c r="D1327" s="5" t="s">
        <v>4250</v>
      </c>
      <c r="E1327" s="25" t="s">
        <v>4318</v>
      </c>
      <c r="F1327" t="s">
        <v>8</v>
      </c>
      <c r="G1327" t="s">
        <v>4319</v>
      </c>
      <c r="H1327" s="24">
        <v>46089</v>
      </c>
    </row>
    <row r="1328" spans="1:8" s="2" customFormat="1" x14ac:dyDescent="0.25">
      <c r="A1328" t="s">
        <v>102</v>
      </c>
      <c r="B1328" t="s">
        <v>103</v>
      </c>
      <c r="C1328" t="s">
        <v>4314</v>
      </c>
      <c r="D1328" s="5" t="s">
        <v>4250</v>
      </c>
      <c r="E1328" s="25" t="s">
        <v>4320</v>
      </c>
      <c r="F1328" t="s">
        <v>104</v>
      </c>
      <c r="G1328" t="s">
        <v>4321</v>
      </c>
      <c r="H1328" s="24">
        <v>46089</v>
      </c>
    </row>
    <row r="1329" spans="1:8" s="3" customFormat="1" x14ac:dyDescent="0.25">
      <c r="A1329" t="s">
        <v>102</v>
      </c>
      <c r="B1329" t="s">
        <v>103</v>
      </c>
      <c r="C1329" t="s">
        <v>4317</v>
      </c>
      <c r="D1329" s="5" t="s">
        <v>4250</v>
      </c>
      <c r="E1329" s="25" t="s">
        <v>4322</v>
      </c>
      <c r="F1329" t="s">
        <v>8</v>
      </c>
      <c r="G1329" t="s">
        <v>4323</v>
      </c>
      <c r="H1329" s="24">
        <v>46089</v>
      </c>
    </row>
    <row r="1330" spans="1:8" s="2" customFormat="1" x14ac:dyDescent="0.25">
      <c r="A1330" t="s">
        <v>106</v>
      </c>
      <c r="B1330" t="s">
        <v>107</v>
      </c>
      <c r="C1330" t="s">
        <v>4324</v>
      </c>
      <c r="D1330" s="5" t="s">
        <v>4250</v>
      </c>
      <c r="E1330" s="25" t="s">
        <v>4325</v>
      </c>
      <c r="F1330" t="s">
        <v>108</v>
      </c>
      <c r="G1330" t="s">
        <v>4326</v>
      </c>
      <c r="H1330" s="24">
        <v>46089</v>
      </c>
    </row>
    <row r="1331" spans="1:8" s="3" customFormat="1" x14ac:dyDescent="0.25">
      <c r="A1331" t="s">
        <v>11</v>
      </c>
      <c r="B1331" t="s">
        <v>12</v>
      </c>
      <c r="C1331" t="s">
        <v>4327</v>
      </c>
      <c r="D1331" s="5" t="s">
        <v>4250</v>
      </c>
      <c r="E1331" s="25" t="s">
        <v>4328</v>
      </c>
      <c r="F1331" t="s">
        <v>8</v>
      </c>
      <c r="G1331" t="s">
        <v>4329</v>
      </c>
      <c r="H1331" s="24">
        <v>46089</v>
      </c>
    </row>
    <row r="1332" spans="1:8" s="2" customFormat="1" x14ac:dyDescent="0.25">
      <c r="A1332" t="s">
        <v>102</v>
      </c>
      <c r="B1332" t="s">
        <v>103</v>
      </c>
      <c r="C1332" t="s">
        <v>4330</v>
      </c>
      <c r="D1332" s="5" t="s">
        <v>4250</v>
      </c>
      <c r="E1332" s="25" t="s">
        <v>4331</v>
      </c>
      <c r="F1332" t="s">
        <v>104</v>
      </c>
      <c r="G1332" t="s">
        <v>4332</v>
      </c>
      <c r="H1332" s="24">
        <v>46089</v>
      </c>
    </row>
    <row r="1333" spans="1:8" s="3" customFormat="1" x14ac:dyDescent="0.25">
      <c r="A1333" t="s">
        <v>102</v>
      </c>
      <c r="B1333" t="s">
        <v>103</v>
      </c>
      <c r="C1333" t="s">
        <v>4333</v>
      </c>
      <c r="D1333" s="5" t="s">
        <v>4250</v>
      </c>
      <c r="E1333" s="25" t="s">
        <v>4334</v>
      </c>
      <c r="F1333" t="s">
        <v>8</v>
      </c>
      <c r="G1333" t="s">
        <v>4335</v>
      </c>
      <c r="H1333" s="24">
        <v>46089</v>
      </c>
    </row>
    <row r="1334" spans="1:8" s="2" customFormat="1" x14ac:dyDescent="0.25">
      <c r="A1334" t="s">
        <v>14</v>
      </c>
      <c r="B1334" t="s">
        <v>15</v>
      </c>
      <c r="C1334" t="s">
        <v>4336</v>
      </c>
      <c r="D1334" s="5" t="s">
        <v>4250</v>
      </c>
      <c r="E1334" s="25" t="s">
        <v>4337</v>
      </c>
      <c r="F1334" t="s">
        <v>13</v>
      </c>
      <c r="G1334" t="s">
        <v>4338</v>
      </c>
      <c r="H1334" s="24">
        <v>46089</v>
      </c>
    </row>
    <row r="1335" spans="1:8" s="3" customFormat="1" x14ac:dyDescent="0.25">
      <c r="A1335" t="s">
        <v>110</v>
      </c>
      <c r="B1335" t="s">
        <v>111</v>
      </c>
      <c r="C1335" t="s">
        <v>4339</v>
      </c>
      <c r="D1335" s="5" t="s">
        <v>4340</v>
      </c>
      <c r="E1335" s="25" t="s">
        <v>4341</v>
      </c>
      <c r="F1335" t="s">
        <v>112</v>
      </c>
      <c r="G1335" t="s">
        <v>4342</v>
      </c>
      <c r="H1335" s="24">
        <v>46061</v>
      </c>
    </row>
    <row r="1336" spans="1:8" s="2" customFormat="1" x14ac:dyDescent="0.25">
      <c r="A1336" t="s">
        <v>116</v>
      </c>
      <c r="B1336" t="s">
        <v>117</v>
      </c>
      <c r="C1336" t="s">
        <v>4343</v>
      </c>
      <c r="D1336" s="5" t="s">
        <v>4340</v>
      </c>
      <c r="E1336" s="25" t="s">
        <v>4344</v>
      </c>
      <c r="F1336" t="s">
        <v>118</v>
      </c>
      <c r="G1336" t="s">
        <v>4345</v>
      </c>
      <c r="H1336" s="24">
        <v>46061</v>
      </c>
    </row>
    <row r="1337" spans="1:8" s="3" customFormat="1" x14ac:dyDescent="0.25">
      <c r="A1337" t="s">
        <v>110</v>
      </c>
      <c r="B1337" t="s">
        <v>115</v>
      </c>
      <c r="C1337" t="s">
        <v>4346</v>
      </c>
      <c r="D1337" s="5" t="s">
        <v>4340</v>
      </c>
      <c r="E1337" s="25" t="s">
        <v>4347</v>
      </c>
      <c r="F1337" t="s">
        <v>112</v>
      </c>
      <c r="G1337" t="s">
        <v>4348</v>
      </c>
      <c r="H1337" s="24">
        <v>46061</v>
      </c>
    </row>
    <row r="1338" spans="1:8" s="2" customFormat="1" x14ac:dyDescent="0.25">
      <c r="A1338" t="s">
        <v>102</v>
      </c>
      <c r="B1338" t="s">
        <v>103</v>
      </c>
      <c r="C1338" t="s">
        <v>4349</v>
      </c>
      <c r="D1338" s="5" t="s">
        <v>4340</v>
      </c>
      <c r="E1338" s="25" t="s">
        <v>4350</v>
      </c>
      <c r="F1338" t="s">
        <v>104</v>
      </c>
      <c r="G1338" t="s">
        <v>4351</v>
      </c>
      <c r="H1338" s="24">
        <v>46061</v>
      </c>
    </row>
    <row r="1339" spans="1:8" s="3" customFormat="1" x14ac:dyDescent="0.25">
      <c r="A1339" t="s">
        <v>102</v>
      </c>
      <c r="B1339" t="s">
        <v>103</v>
      </c>
      <c r="C1339" t="s">
        <v>4352</v>
      </c>
      <c r="D1339" s="5" t="s">
        <v>4340</v>
      </c>
      <c r="E1339" s="25" t="s">
        <v>4353</v>
      </c>
      <c r="F1339" t="s">
        <v>8</v>
      </c>
      <c r="G1339" t="s">
        <v>4354</v>
      </c>
      <c r="H1339" s="24">
        <v>46061</v>
      </c>
    </row>
    <row r="1340" spans="1:8" s="2" customFormat="1" x14ac:dyDescent="0.25">
      <c r="A1340" t="s">
        <v>102</v>
      </c>
      <c r="B1340" t="s">
        <v>103</v>
      </c>
      <c r="C1340" t="s">
        <v>4355</v>
      </c>
      <c r="D1340" s="5" t="s">
        <v>4340</v>
      </c>
      <c r="E1340" s="25" t="s">
        <v>4356</v>
      </c>
      <c r="F1340" t="s">
        <v>104</v>
      </c>
      <c r="G1340" t="s">
        <v>4357</v>
      </c>
      <c r="H1340" s="24">
        <v>46061</v>
      </c>
    </row>
    <row r="1341" spans="1:8" s="3" customFormat="1" x14ac:dyDescent="0.25">
      <c r="A1341" t="s">
        <v>102</v>
      </c>
      <c r="B1341" t="s">
        <v>103</v>
      </c>
      <c r="C1341" t="s">
        <v>4358</v>
      </c>
      <c r="D1341" s="5" t="s">
        <v>4340</v>
      </c>
      <c r="E1341" s="25" t="s">
        <v>4359</v>
      </c>
      <c r="F1341" t="s">
        <v>8</v>
      </c>
      <c r="G1341" t="s">
        <v>4360</v>
      </c>
      <c r="H1341" s="24">
        <v>46061</v>
      </c>
    </row>
    <row r="1342" spans="1:8" s="2" customFormat="1" x14ac:dyDescent="0.25">
      <c r="A1342" t="s">
        <v>102</v>
      </c>
      <c r="B1342" t="s">
        <v>103</v>
      </c>
      <c r="C1342" t="s">
        <v>4361</v>
      </c>
      <c r="D1342" s="5" t="s">
        <v>4340</v>
      </c>
      <c r="E1342" s="25" t="s">
        <v>4362</v>
      </c>
      <c r="F1342" t="s">
        <v>104</v>
      </c>
      <c r="G1342" t="s">
        <v>4363</v>
      </c>
      <c r="H1342" s="24">
        <v>46061</v>
      </c>
    </row>
    <row r="1343" spans="1:8" s="3" customFormat="1" x14ac:dyDescent="0.25">
      <c r="A1343" t="s">
        <v>102</v>
      </c>
      <c r="B1343" t="s">
        <v>103</v>
      </c>
      <c r="C1343" t="s">
        <v>4364</v>
      </c>
      <c r="D1343" s="5" t="s">
        <v>4340</v>
      </c>
      <c r="E1343" s="25" t="s">
        <v>4365</v>
      </c>
      <c r="F1343" t="s">
        <v>8</v>
      </c>
      <c r="G1343" t="s">
        <v>4366</v>
      </c>
      <c r="H1343" s="24">
        <v>46061</v>
      </c>
    </row>
    <row r="1344" spans="1:8" s="2" customFormat="1" x14ac:dyDescent="0.25">
      <c r="A1344" t="s">
        <v>102</v>
      </c>
      <c r="B1344" t="s">
        <v>103</v>
      </c>
      <c r="C1344" t="s">
        <v>4367</v>
      </c>
      <c r="D1344" s="5" t="s">
        <v>4340</v>
      </c>
      <c r="E1344" s="25" t="s">
        <v>4368</v>
      </c>
      <c r="F1344" t="s">
        <v>104</v>
      </c>
      <c r="G1344" t="s">
        <v>4369</v>
      </c>
      <c r="H1344" s="24">
        <v>46061</v>
      </c>
    </row>
    <row r="1345" spans="1:8" s="3" customFormat="1" x14ac:dyDescent="0.25">
      <c r="A1345" t="s">
        <v>102</v>
      </c>
      <c r="B1345" t="s">
        <v>103</v>
      </c>
      <c r="C1345" t="s">
        <v>4370</v>
      </c>
      <c r="D1345" s="5" t="s">
        <v>4340</v>
      </c>
      <c r="E1345" s="25" t="s">
        <v>4371</v>
      </c>
      <c r="F1345" t="s">
        <v>8</v>
      </c>
      <c r="G1345" t="s">
        <v>4372</v>
      </c>
      <c r="H1345" s="24">
        <v>46061</v>
      </c>
    </row>
    <row r="1346" spans="1:8" s="2" customFormat="1" x14ac:dyDescent="0.25">
      <c r="A1346" t="s">
        <v>116</v>
      </c>
      <c r="B1346" t="s">
        <v>117</v>
      </c>
      <c r="C1346" t="s">
        <v>4373</v>
      </c>
      <c r="D1346" s="5" t="s">
        <v>4340</v>
      </c>
      <c r="E1346" s="25" t="s">
        <v>4374</v>
      </c>
      <c r="F1346" t="s">
        <v>118</v>
      </c>
      <c r="G1346" t="s">
        <v>4375</v>
      </c>
      <c r="H1346" s="24">
        <v>46061</v>
      </c>
    </row>
    <row r="1347" spans="1:8" s="3" customFormat="1" x14ac:dyDescent="0.25">
      <c r="A1347" t="s">
        <v>116</v>
      </c>
      <c r="B1347" t="s">
        <v>117</v>
      </c>
      <c r="C1347" t="s">
        <v>4376</v>
      </c>
      <c r="D1347" s="5" t="s">
        <v>4340</v>
      </c>
      <c r="E1347" s="25" t="s">
        <v>4377</v>
      </c>
      <c r="F1347" t="s">
        <v>118</v>
      </c>
      <c r="G1347" t="s">
        <v>4378</v>
      </c>
      <c r="H1347" s="24">
        <v>46061</v>
      </c>
    </row>
    <row r="1348" spans="1:8" s="2" customFormat="1" x14ac:dyDescent="0.25">
      <c r="A1348" t="s">
        <v>102</v>
      </c>
      <c r="B1348" t="s">
        <v>103</v>
      </c>
      <c r="C1348" t="s">
        <v>4379</v>
      </c>
      <c r="D1348" s="5" t="s">
        <v>4340</v>
      </c>
      <c r="E1348" s="25" t="s">
        <v>4380</v>
      </c>
      <c r="F1348" t="s">
        <v>104</v>
      </c>
      <c r="G1348" t="s">
        <v>4381</v>
      </c>
      <c r="H1348" s="24">
        <v>46061</v>
      </c>
    </row>
    <row r="1349" spans="1:8" s="3" customFormat="1" x14ac:dyDescent="0.25">
      <c r="A1349" t="s">
        <v>102</v>
      </c>
      <c r="B1349" t="s">
        <v>103</v>
      </c>
      <c r="C1349" t="s">
        <v>4382</v>
      </c>
      <c r="D1349" s="5" t="s">
        <v>4340</v>
      </c>
      <c r="E1349" s="25" t="s">
        <v>4383</v>
      </c>
      <c r="F1349" t="s">
        <v>8</v>
      </c>
      <c r="G1349" t="s">
        <v>4384</v>
      </c>
      <c r="H1349" s="24">
        <v>46061</v>
      </c>
    </row>
    <row r="1350" spans="1:8" s="2" customFormat="1" x14ac:dyDescent="0.25">
      <c r="A1350" t="s">
        <v>102</v>
      </c>
      <c r="B1350" t="s">
        <v>103</v>
      </c>
      <c r="C1350" t="s">
        <v>4385</v>
      </c>
      <c r="D1350" s="5" t="s">
        <v>4340</v>
      </c>
      <c r="E1350" s="25" t="s">
        <v>4386</v>
      </c>
      <c r="F1350" t="s">
        <v>104</v>
      </c>
      <c r="G1350" t="s">
        <v>4387</v>
      </c>
      <c r="H1350" s="24">
        <v>46061</v>
      </c>
    </row>
    <row r="1351" spans="1:8" s="3" customFormat="1" x14ac:dyDescent="0.25">
      <c r="A1351" t="s">
        <v>102</v>
      </c>
      <c r="B1351" t="s">
        <v>103</v>
      </c>
      <c r="C1351" t="s">
        <v>4388</v>
      </c>
      <c r="D1351" s="5" t="s">
        <v>4340</v>
      </c>
      <c r="E1351" s="25" t="s">
        <v>4389</v>
      </c>
      <c r="F1351" t="s">
        <v>8</v>
      </c>
      <c r="G1351" t="s">
        <v>4390</v>
      </c>
      <c r="H1351" s="24">
        <v>46061</v>
      </c>
    </row>
    <row r="1352" spans="1:8" s="2" customFormat="1" x14ac:dyDescent="0.25">
      <c r="A1352" t="s">
        <v>102</v>
      </c>
      <c r="B1352" t="s">
        <v>103</v>
      </c>
      <c r="C1352" t="s">
        <v>4391</v>
      </c>
      <c r="D1352" s="5" t="s">
        <v>4340</v>
      </c>
      <c r="E1352" s="25" t="s">
        <v>4392</v>
      </c>
      <c r="F1352" t="s">
        <v>104</v>
      </c>
      <c r="G1352" t="s">
        <v>4393</v>
      </c>
      <c r="H1352" s="24">
        <v>46061</v>
      </c>
    </row>
    <row r="1353" spans="1:8" s="3" customFormat="1" x14ac:dyDescent="0.25">
      <c r="A1353" t="s">
        <v>102</v>
      </c>
      <c r="B1353" t="s">
        <v>103</v>
      </c>
      <c r="C1353" t="s">
        <v>4394</v>
      </c>
      <c r="D1353" s="5" t="s">
        <v>4340</v>
      </c>
      <c r="E1353" s="25" t="s">
        <v>4395</v>
      </c>
      <c r="F1353" t="s">
        <v>8</v>
      </c>
      <c r="G1353" t="s">
        <v>4396</v>
      </c>
      <c r="H1353" s="24">
        <v>46061</v>
      </c>
    </row>
    <row r="1354" spans="1:8" s="2" customFormat="1" x14ac:dyDescent="0.25">
      <c r="A1354" t="s">
        <v>102</v>
      </c>
      <c r="B1354" t="s">
        <v>103</v>
      </c>
      <c r="C1354" t="s">
        <v>4397</v>
      </c>
      <c r="D1354" s="5" t="s">
        <v>4340</v>
      </c>
      <c r="E1354" s="25" t="s">
        <v>4398</v>
      </c>
      <c r="F1354" t="s">
        <v>104</v>
      </c>
      <c r="G1354" t="s">
        <v>4399</v>
      </c>
      <c r="H1354" s="24">
        <v>46061</v>
      </c>
    </row>
    <row r="1355" spans="1:8" s="3" customFormat="1" x14ac:dyDescent="0.25">
      <c r="A1355" t="s">
        <v>102</v>
      </c>
      <c r="B1355" t="s">
        <v>103</v>
      </c>
      <c r="C1355" t="s">
        <v>4400</v>
      </c>
      <c r="D1355" s="5" t="s">
        <v>4340</v>
      </c>
      <c r="E1355" s="25" t="s">
        <v>4401</v>
      </c>
      <c r="F1355" t="s">
        <v>8</v>
      </c>
      <c r="G1355" t="s">
        <v>4402</v>
      </c>
      <c r="H1355" s="24">
        <v>46061</v>
      </c>
    </row>
    <row r="1356" spans="1:8" s="2" customFormat="1" x14ac:dyDescent="0.25">
      <c r="A1356" t="s">
        <v>102</v>
      </c>
      <c r="B1356" t="s">
        <v>103</v>
      </c>
      <c r="C1356" t="s">
        <v>4403</v>
      </c>
      <c r="D1356" s="5" t="s">
        <v>4340</v>
      </c>
      <c r="E1356" s="25" t="s">
        <v>4404</v>
      </c>
      <c r="F1356" t="s">
        <v>104</v>
      </c>
      <c r="G1356" t="s">
        <v>4405</v>
      </c>
      <c r="H1356" s="24">
        <v>46061</v>
      </c>
    </row>
    <row r="1357" spans="1:8" s="3" customFormat="1" x14ac:dyDescent="0.25">
      <c r="A1357" t="s">
        <v>102</v>
      </c>
      <c r="B1357" t="s">
        <v>103</v>
      </c>
      <c r="C1357" t="s">
        <v>4406</v>
      </c>
      <c r="D1357" s="5" t="s">
        <v>4340</v>
      </c>
      <c r="E1357" s="25" t="s">
        <v>4407</v>
      </c>
      <c r="F1357" t="s">
        <v>8</v>
      </c>
      <c r="G1357" t="s">
        <v>4408</v>
      </c>
      <c r="H1357" s="24">
        <v>46061</v>
      </c>
    </row>
    <row r="1358" spans="1:8" s="2" customFormat="1" x14ac:dyDescent="0.25">
      <c r="A1358" t="s">
        <v>14</v>
      </c>
      <c r="B1358" t="s">
        <v>15</v>
      </c>
      <c r="C1358" t="s">
        <v>4409</v>
      </c>
      <c r="D1358" s="5" t="s">
        <v>4340</v>
      </c>
      <c r="E1358" s="25" t="s">
        <v>4410</v>
      </c>
      <c r="F1358" t="s">
        <v>13</v>
      </c>
      <c r="G1358" t="s">
        <v>4411</v>
      </c>
      <c r="H1358" s="24">
        <v>46061</v>
      </c>
    </row>
    <row r="1359" spans="1:8" s="3" customFormat="1" x14ac:dyDescent="0.25">
      <c r="A1359" t="s">
        <v>110</v>
      </c>
      <c r="B1359" t="s">
        <v>115</v>
      </c>
      <c r="C1359" t="s">
        <v>4412</v>
      </c>
      <c r="D1359" s="5" t="s">
        <v>4413</v>
      </c>
      <c r="E1359" s="25" t="s">
        <v>4414</v>
      </c>
      <c r="F1359" t="s">
        <v>112</v>
      </c>
      <c r="G1359" t="s">
        <v>4415</v>
      </c>
      <c r="H1359" s="24">
        <v>46030</v>
      </c>
    </row>
    <row r="1360" spans="1:8" s="2" customFormat="1" x14ac:dyDescent="0.25">
      <c r="A1360" t="s">
        <v>102</v>
      </c>
      <c r="B1360" t="s">
        <v>103</v>
      </c>
      <c r="C1360" t="s">
        <v>4416</v>
      </c>
      <c r="D1360" s="5" t="s">
        <v>4413</v>
      </c>
      <c r="E1360" s="25" t="s">
        <v>4417</v>
      </c>
      <c r="F1360" t="s">
        <v>104</v>
      </c>
      <c r="G1360" t="s">
        <v>4418</v>
      </c>
      <c r="H1360" s="24">
        <v>46030</v>
      </c>
    </row>
    <row r="1361" spans="1:8" s="3" customFormat="1" x14ac:dyDescent="0.25">
      <c r="A1361" t="s">
        <v>102</v>
      </c>
      <c r="B1361" t="s">
        <v>103</v>
      </c>
      <c r="C1361" t="s">
        <v>4419</v>
      </c>
      <c r="D1361" s="5" t="s">
        <v>4413</v>
      </c>
      <c r="E1361" s="25" t="s">
        <v>4420</v>
      </c>
      <c r="F1361" t="s">
        <v>8</v>
      </c>
      <c r="G1361" t="s">
        <v>4421</v>
      </c>
      <c r="H1361" s="24">
        <v>46030</v>
      </c>
    </row>
    <row r="1362" spans="1:8" s="2" customFormat="1" x14ac:dyDescent="0.25">
      <c r="A1362" t="s">
        <v>110</v>
      </c>
      <c r="B1362" t="s">
        <v>111</v>
      </c>
      <c r="C1362" t="s">
        <v>4422</v>
      </c>
      <c r="D1362" s="5" t="s">
        <v>4413</v>
      </c>
      <c r="E1362" s="25" t="s">
        <v>893</v>
      </c>
      <c r="F1362" t="s">
        <v>112</v>
      </c>
      <c r="G1362" t="s">
        <v>4423</v>
      </c>
      <c r="H1362" s="24">
        <v>46030</v>
      </c>
    </row>
    <row r="1363" spans="1:8" s="3" customFormat="1" x14ac:dyDescent="0.25">
      <c r="A1363" t="s">
        <v>11</v>
      </c>
      <c r="B1363" t="s">
        <v>12</v>
      </c>
      <c r="C1363" t="s">
        <v>4424</v>
      </c>
      <c r="D1363" s="5" t="s">
        <v>4413</v>
      </c>
      <c r="E1363" s="25" t="s">
        <v>4425</v>
      </c>
      <c r="F1363" t="s">
        <v>104</v>
      </c>
      <c r="G1363" t="s">
        <v>4426</v>
      </c>
      <c r="H1363" s="24">
        <v>46030</v>
      </c>
    </row>
    <row r="1364" spans="1:8" s="2" customFormat="1" x14ac:dyDescent="0.25">
      <c r="A1364" t="s">
        <v>130</v>
      </c>
      <c r="B1364" t="s">
        <v>131</v>
      </c>
      <c r="C1364" t="s">
        <v>4427</v>
      </c>
      <c r="D1364" s="5" t="s">
        <v>4413</v>
      </c>
      <c r="E1364" s="25" t="s">
        <v>4428</v>
      </c>
      <c r="F1364" t="s">
        <v>119</v>
      </c>
      <c r="G1364" t="s">
        <v>4429</v>
      </c>
      <c r="H1364" s="24">
        <v>46030</v>
      </c>
    </row>
    <row r="1365" spans="1:8" s="3" customFormat="1" x14ac:dyDescent="0.25">
      <c r="A1365" t="s">
        <v>102</v>
      </c>
      <c r="B1365" t="s">
        <v>103</v>
      </c>
      <c r="C1365" t="s">
        <v>4430</v>
      </c>
      <c r="D1365" s="5" t="s">
        <v>4413</v>
      </c>
      <c r="E1365" s="25" t="s">
        <v>4431</v>
      </c>
      <c r="F1365" t="s">
        <v>104</v>
      </c>
      <c r="G1365" t="s">
        <v>4432</v>
      </c>
      <c r="H1365" s="24">
        <v>46030</v>
      </c>
    </row>
    <row r="1366" spans="1:8" s="2" customFormat="1" x14ac:dyDescent="0.25">
      <c r="A1366" t="s">
        <v>102</v>
      </c>
      <c r="B1366" t="s">
        <v>103</v>
      </c>
      <c r="C1366" t="s">
        <v>4433</v>
      </c>
      <c r="D1366" s="5" t="s">
        <v>4413</v>
      </c>
      <c r="E1366" s="25" t="s">
        <v>4434</v>
      </c>
      <c r="F1366" t="s">
        <v>8</v>
      </c>
      <c r="G1366" t="s">
        <v>4435</v>
      </c>
      <c r="H1366" s="24">
        <v>46030</v>
      </c>
    </row>
    <row r="1367" spans="1:8" s="3" customFormat="1" x14ac:dyDescent="0.25">
      <c r="A1367" t="s">
        <v>102</v>
      </c>
      <c r="B1367" t="s">
        <v>103</v>
      </c>
      <c r="C1367" t="s">
        <v>4436</v>
      </c>
      <c r="D1367" s="5" t="s">
        <v>4413</v>
      </c>
      <c r="E1367" s="25" t="s">
        <v>4437</v>
      </c>
      <c r="F1367" t="s">
        <v>104</v>
      </c>
      <c r="G1367" t="s">
        <v>4438</v>
      </c>
      <c r="H1367" s="24">
        <v>46030</v>
      </c>
    </row>
    <row r="1368" spans="1:8" s="2" customFormat="1" x14ac:dyDescent="0.25">
      <c r="A1368" t="s">
        <v>102</v>
      </c>
      <c r="B1368" t="s">
        <v>103</v>
      </c>
      <c r="C1368" t="s">
        <v>4439</v>
      </c>
      <c r="D1368" s="5" t="s">
        <v>4413</v>
      </c>
      <c r="E1368" s="25" t="s">
        <v>4440</v>
      </c>
      <c r="F1368" t="s">
        <v>8</v>
      </c>
      <c r="G1368" t="s">
        <v>4441</v>
      </c>
      <c r="H1368" s="24">
        <v>46030</v>
      </c>
    </row>
    <row r="1369" spans="1:8" s="3" customFormat="1" x14ac:dyDescent="0.25">
      <c r="A1369" t="s">
        <v>116</v>
      </c>
      <c r="B1369" t="s">
        <v>117</v>
      </c>
      <c r="C1369" t="s">
        <v>4442</v>
      </c>
      <c r="D1369" s="5" t="s">
        <v>4413</v>
      </c>
      <c r="E1369" s="25" t="s">
        <v>4443</v>
      </c>
      <c r="F1369" t="s">
        <v>118</v>
      </c>
      <c r="G1369" t="s">
        <v>4444</v>
      </c>
      <c r="H1369" s="24">
        <v>46030</v>
      </c>
    </row>
    <row r="1370" spans="1:8" s="2" customFormat="1" x14ac:dyDescent="0.25">
      <c r="A1370" t="s">
        <v>102</v>
      </c>
      <c r="B1370" t="s">
        <v>103</v>
      </c>
      <c r="C1370" t="s">
        <v>4445</v>
      </c>
      <c r="D1370" s="5" t="s">
        <v>4413</v>
      </c>
      <c r="E1370" s="25" t="s">
        <v>4446</v>
      </c>
      <c r="F1370" t="s">
        <v>104</v>
      </c>
      <c r="G1370" t="s">
        <v>4447</v>
      </c>
      <c r="H1370" s="24">
        <v>46030</v>
      </c>
    </row>
    <row r="1371" spans="1:8" s="3" customFormat="1" x14ac:dyDescent="0.25">
      <c r="A1371" t="s">
        <v>102</v>
      </c>
      <c r="B1371" t="s">
        <v>103</v>
      </c>
      <c r="C1371" t="s">
        <v>4439</v>
      </c>
      <c r="D1371" s="5" t="s">
        <v>4413</v>
      </c>
      <c r="E1371" s="25" t="s">
        <v>4448</v>
      </c>
      <c r="F1371" t="s">
        <v>8</v>
      </c>
      <c r="G1371" t="s">
        <v>4449</v>
      </c>
      <c r="H1371" s="24">
        <v>46030</v>
      </c>
    </row>
    <row r="1372" spans="1:8" s="2" customFormat="1" x14ac:dyDescent="0.25">
      <c r="A1372" t="s">
        <v>102</v>
      </c>
      <c r="B1372" t="s">
        <v>103</v>
      </c>
      <c r="C1372" t="s">
        <v>4445</v>
      </c>
      <c r="D1372" s="5" t="s">
        <v>4413</v>
      </c>
      <c r="E1372" s="25" t="s">
        <v>4450</v>
      </c>
      <c r="F1372" t="s">
        <v>104</v>
      </c>
      <c r="G1372" t="s">
        <v>4451</v>
      </c>
      <c r="H1372" s="24">
        <v>46030</v>
      </c>
    </row>
    <row r="1373" spans="1:8" s="3" customFormat="1" x14ac:dyDescent="0.25">
      <c r="A1373" t="s">
        <v>102</v>
      </c>
      <c r="B1373" t="s">
        <v>103</v>
      </c>
      <c r="C1373" t="s">
        <v>4452</v>
      </c>
      <c r="D1373" s="5" t="s">
        <v>4413</v>
      </c>
      <c r="E1373" s="25" t="s">
        <v>4453</v>
      </c>
      <c r="F1373" t="s">
        <v>8</v>
      </c>
      <c r="G1373" t="s">
        <v>4454</v>
      </c>
      <c r="H1373" s="24">
        <v>46030</v>
      </c>
    </row>
    <row r="1374" spans="1:8" s="2" customFormat="1" x14ac:dyDescent="0.25">
      <c r="A1374" t="s">
        <v>102</v>
      </c>
      <c r="B1374" t="s">
        <v>103</v>
      </c>
      <c r="C1374" t="s">
        <v>4455</v>
      </c>
      <c r="D1374" s="5" t="s">
        <v>4413</v>
      </c>
      <c r="E1374" s="25" t="s">
        <v>4456</v>
      </c>
      <c r="F1374" t="s">
        <v>104</v>
      </c>
      <c r="G1374" t="s">
        <v>4457</v>
      </c>
      <c r="H1374" s="24">
        <v>46030</v>
      </c>
    </row>
    <row r="1375" spans="1:8" s="3" customFormat="1" x14ac:dyDescent="0.25">
      <c r="A1375" t="s">
        <v>102</v>
      </c>
      <c r="B1375" t="s">
        <v>103</v>
      </c>
      <c r="C1375" t="s">
        <v>4458</v>
      </c>
      <c r="D1375" s="5" t="s">
        <v>4413</v>
      </c>
      <c r="E1375" s="25" t="s">
        <v>4459</v>
      </c>
      <c r="F1375" t="s">
        <v>8</v>
      </c>
      <c r="G1375" t="s">
        <v>4460</v>
      </c>
      <c r="H1375" s="24">
        <v>46030</v>
      </c>
    </row>
    <row r="1376" spans="1:8" s="2" customFormat="1" x14ac:dyDescent="0.25">
      <c r="A1376" t="s">
        <v>102</v>
      </c>
      <c r="B1376" t="s">
        <v>103</v>
      </c>
      <c r="C1376" t="s">
        <v>4461</v>
      </c>
      <c r="D1376" s="5" t="s">
        <v>4413</v>
      </c>
      <c r="E1376" s="25" t="s">
        <v>4462</v>
      </c>
      <c r="F1376" t="s">
        <v>104</v>
      </c>
      <c r="G1376" t="s">
        <v>4463</v>
      </c>
      <c r="H1376" s="24">
        <v>46030</v>
      </c>
    </row>
    <row r="1377" spans="1:8" s="3" customFormat="1" x14ac:dyDescent="0.25">
      <c r="A1377" t="s">
        <v>102</v>
      </c>
      <c r="B1377" t="s">
        <v>103</v>
      </c>
      <c r="C1377" t="s">
        <v>4464</v>
      </c>
      <c r="D1377" s="5" t="s">
        <v>4413</v>
      </c>
      <c r="E1377" s="25" t="s">
        <v>4465</v>
      </c>
      <c r="F1377" t="s">
        <v>8</v>
      </c>
      <c r="G1377" t="s">
        <v>4466</v>
      </c>
      <c r="H1377" s="24">
        <v>46030</v>
      </c>
    </row>
    <row r="1378" spans="1:8" s="2" customFormat="1" x14ac:dyDescent="0.25">
      <c r="A1378" t="s">
        <v>102</v>
      </c>
      <c r="B1378" t="s">
        <v>103</v>
      </c>
      <c r="C1378" t="s">
        <v>4467</v>
      </c>
      <c r="D1378" s="5" t="s">
        <v>4413</v>
      </c>
      <c r="E1378" s="25" t="s">
        <v>4468</v>
      </c>
      <c r="F1378" t="s">
        <v>104</v>
      </c>
      <c r="G1378" t="s">
        <v>4469</v>
      </c>
      <c r="H1378" s="24">
        <v>46030</v>
      </c>
    </row>
    <row r="1379" spans="1:8" s="3" customFormat="1" x14ac:dyDescent="0.25">
      <c r="A1379" t="s">
        <v>102</v>
      </c>
      <c r="B1379" t="s">
        <v>103</v>
      </c>
      <c r="C1379" t="s">
        <v>4470</v>
      </c>
      <c r="D1379" s="5" t="s">
        <v>4413</v>
      </c>
      <c r="E1379" s="25" t="s">
        <v>4471</v>
      </c>
      <c r="F1379" t="s">
        <v>8</v>
      </c>
      <c r="G1379" t="s">
        <v>4472</v>
      </c>
      <c r="H1379" s="24">
        <v>46030</v>
      </c>
    </row>
    <row r="1380" spans="1:8" s="2" customFormat="1" x14ac:dyDescent="0.25">
      <c r="A1380" t="s">
        <v>102</v>
      </c>
      <c r="B1380" t="s">
        <v>103</v>
      </c>
      <c r="C1380" t="s">
        <v>4473</v>
      </c>
      <c r="D1380" s="5" t="s">
        <v>4413</v>
      </c>
      <c r="E1380" s="25" t="s">
        <v>4474</v>
      </c>
      <c r="F1380" t="s">
        <v>104</v>
      </c>
      <c r="G1380" t="s">
        <v>4475</v>
      </c>
      <c r="H1380" s="24">
        <v>46030</v>
      </c>
    </row>
    <row r="1381" spans="1:8" s="3" customFormat="1" x14ac:dyDescent="0.25">
      <c r="A1381" t="s">
        <v>102</v>
      </c>
      <c r="B1381" t="s">
        <v>103</v>
      </c>
      <c r="C1381" t="s">
        <v>4476</v>
      </c>
      <c r="D1381" s="5" t="s">
        <v>4413</v>
      </c>
      <c r="E1381" s="25" t="s">
        <v>4477</v>
      </c>
      <c r="F1381" t="s">
        <v>8</v>
      </c>
      <c r="G1381" t="s">
        <v>4478</v>
      </c>
      <c r="H1381" s="24">
        <v>46030</v>
      </c>
    </row>
    <row r="1382" spans="1:8" s="2" customFormat="1" x14ac:dyDescent="0.25">
      <c r="A1382" t="s">
        <v>130</v>
      </c>
      <c r="B1382" t="s">
        <v>131</v>
      </c>
      <c r="C1382" t="s">
        <v>4479</v>
      </c>
      <c r="D1382" s="5" t="s">
        <v>4413</v>
      </c>
      <c r="E1382" s="25" t="s">
        <v>4480</v>
      </c>
      <c r="F1382" t="s">
        <v>119</v>
      </c>
      <c r="G1382" t="s">
        <v>4481</v>
      </c>
      <c r="H1382" s="24">
        <v>46030</v>
      </c>
    </row>
    <row r="1383" spans="1:8" s="3" customFormat="1" x14ac:dyDescent="0.25">
      <c r="A1383" t="s">
        <v>102</v>
      </c>
      <c r="B1383" t="s">
        <v>103</v>
      </c>
      <c r="C1383" t="s">
        <v>4482</v>
      </c>
      <c r="D1383" s="5" t="s">
        <v>4413</v>
      </c>
      <c r="E1383" s="25" t="s">
        <v>4483</v>
      </c>
      <c r="F1383" t="s">
        <v>104</v>
      </c>
      <c r="G1383" t="s">
        <v>4484</v>
      </c>
      <c r="H1383" s="24">
        <v>46030</v>
      </c>
    </row>
    <row r="1384" spans="1:8" s="2" customFormat="1" x14ac:dyDescent="0.25">
      <c r="A1384" t="s">
        <v>102</v>
      </c>
      <c r="B1384" t="s">
        <v>103</v>
      </c>
      <c r="C1384" t="s">
        <v>4485</v>
      </c>
      <c r="D1384" s="5" t="s">
        <v>4413</v>
      </c>
      <c r="E1384" s="25" t="s">
        <v>4486</v>
      </c>
      <c r="F1384" t="s">
        <v>8</v>
      </c>
      <c r="G1384" t="s">
        <v>4487</v>
      </c>
      <c r="H1384" s="24">
        <v>46030</v>
      </c>
    </row>
    <row r="1385" spans="1:8" s="3" customFormat="1" x14ac:dyDescent="0.25">
      <c r="A1385" t="s">
        <v>11</v>
      </c>
      <c r="B1385" t="s">
        <v>12</v>
      </c>
      <c r="C1385" t="s">
        <v>4488</v>
      </c>
      <c r="D1385" s="5" t="s">
        <v>4413</v>
      </c>
      <c r="E1385" s="25" t="s">
        <v>4489</v>
      </c>
      <c r="F1385" t="s">
        <v>8</v>
      </c>
      <c r="G1385" t="s">
        <v>4490</v>
      </c>
      <c r="H1385" s="24">
        <v>46030</v>
      </c>
    </row>
    <row r="1386" spans="1:8" s="2" customFormat="1" x14ac:dyDescent="0.25">
      <c r="A1386" t="s">
        <v>14</v>
      </c>
      <c r="B1386" t="s">
        <v>15</v>
      </c>
      <c r="C1386" t="s">
        <v>4491</v>
      </c>
      <c r="D1386" s="5" t="s">
        <v>4413</v>
      </c>
      <c r="E1386" s="25" t="s">
        <v>4492</v>
      </c>
      <c r="F1386" t="s">
        <v>13</v>
      </c>
      <c r="G1386" t="s">
        <v>4493</v>
      </c>
      <c r="H1386" s="24">
        <v>46030</v>
      </c>
    </row>
    <row r="1387" spans="1:8" s="3" customFormat="1" x14ac:dyDescent="0.25">
      <c r="A1387" t="s">
        <v>102</v>
      </c>
      <c r="B1387" t="s">
        <v>103</v>
      </c>
      <c r="C1387" t="s">
        <v>4494</v>
      </c>
      <c r="D1387" s="5" t="s">
        <v>4413</v>
      </c>
      <c r="E1387" s="25" t="s">
        <v>4495</v>
      </c>
      <c r="F1387" t="s">
        <v>104</v>
      </c>
      <c r="G1387" t="s">
        <v>4496</v>
      </c>
      <c r="H1387" s="24">
        <v>46030</v>
      </c>
    </row>
    <row r="1388" spans="1:8" s="2" customFormat="1" x14ac:dyDescent="0.25">
      <c r="A1388" t="s">
        <v>102</v>
      </c>
      <c r="B1388" t="s">
        <v>103</v>
      </c>
      <c r="C1388" t="s">
        <v>4497</v>
      </c>
      <c r="D1388" s="5" t="s">
        <v>4413</v>
      </c>
      <c r="E1388" s="25" t="s">
        <v>4498</v>
      </c>
      <c r="F1388" t="s">
        <v>8</v>
      </c>
      <c r="G1388" t="s">
        <v>4499</v>
      </c>
      <c r="H1388" s="24">
        <v>46030</v>
      </c>
    </row>
    <row r="1389" spans="1:8" s="3" customFormat="1" x14ac:dyDescent="0.25">
      <c r="A1389"/>
      <c r="B1389"/>
      <c r="C1389"/>
      <c r="D1389" s="5"/>
      <c r="E1389" s="25"/>
      <c r="F1389"/>
      <c r="G1389"/>
      <c r="H1389" s="24"/>
    </row>
    <row r="1390" spans="1:8" s="2" customFormat="1" x14ac:dyDescent="0.25">
      <c r="A1390"/>
      <c r="B1390"/>
      <c r="C1390"/>
      <c r="D1390" s="5"/>
      <c r="E1390" s="25"/>
      <c r="F1390"/>
      <c r="G1390"/>
      <c r="H1390" s="24"/>
    </row>
    <row r="1391" spans="1:8" s="3" customFormat="1" x14ac:dyDescent="0.25">
      <c r="A1391"/>
      <c r="B1391"/>
      <c r="C1391"/>
      <c r="D1391" s="5"/>
      <c r="E1391" s="25"/>
      <c r="F1391"/>
      <c r="G1391"/>
      <c r="H1391" s="24"/>
    </row>
    <row r="1392" spans="1:8" s="2" customFormat="1" x14ac:dyDescent="0.25">
      <c r="A1392"/>
      <c r="B1392"/>
      <c r="C1392"/>
      <c r="D1392" s="5"/>
      <c r="E1392" s="25"/>
      <c r="F1392"/>
      <c r="G1392"/>
      <c r="H1392" s="24"/>
    </row>
    <row r="1393" spans="1:8" s="3" customFormat="1" x14ac:dyDescent="0.25">
      <c r="A1393"/>
      <c r="B1393"/>
      <c r="C1393"/>
      <c r="D1393" s="5"/>
      <c r="E1393" s="25"/>
      <c r="F1393"/>
      <c r="G1393"/>
      <c r="H1393" s="24"/>
    </row>
    <row r="1394" spans="1:8" s="2" customFormat="1" x14ac:dyDescent="0.25">
      <c r="A1394"/>
      <c r="B1394"/>
      <c r="C1394"/>
      <c r="D1394" s="5"/>
      <c r="E1394" s="25"/>
      <c r="F1394"/>
      <c r="G1394"/>
      <c r="H1394" s="24"/>
    </row>
    <row r="1395" spans="1:8" s="3" customFormat="1" x14ac:dyDescent="0.25">
      <c r="A1395"/>
      <c r="B1395"/>
      <c r="C1395"/>
      <c r="D1395" s="5"/>
      <c r="E1395" s="25"/>
      <c r="F1395"/>
      <c r="G1395"/>
      <c r="H1395" s="24"/>
    </row>
    <row r="1396" spans="1:8" s="2" customFormat="1" x14ac:dyDescent="0.25">
      <c r="A1396"/>
      <c r="B1396"/>
      <c r="C1396"/>
      <c r="D1396" s="5"/>
      <c r="E1396" s="25"/>
      <c r="F1396"/>
      <c r="G1396"/>
      <c r="H1396" s="24"/>
    </row>
    <row r="1397" spans="1:8" s="3" customFormat="1" x14ac:dyDescent="0.25">
      <c r="A1397"/>
      <c r="B1397"/>
      <c r="C1397"/>
      <c r="D1397" s="5"/>
      <c r="E1397" s="25"/>
      <c r="F1397"/>
      <c r="G1397"/>
      <c r="H1397" s="24"/>
    </row>
    <row r="1398" spans="1:8" s="2" customFormat="1" x14ac:dyDescent="0.25">
      <c r="A1398"/>
      <c r="B1398"/>
      <c r="C1398"/>
      <c r="D1398" s="5"/>
      <c r="E1398" s="25"/>
      <c r="F1398"/>
      <c r="G1398"/>
      <c r="H1398" s="24"/>
    </row>
    <row r="1399" spans="1:8" s="3" customFormat="1" x14ac:dyDescent="0.25">
      <c r="A1399"/>
      <c r="B1399"/>
      <c r="C1399"/>
      <c r="D1399" s="5"/>
      <c r="E1399" s="25"/>
      <c r="F1399"/>
      <c r="G1399"/>
      <c r="H1399" s="24"/>
    </row>
    <row r="1400" spans="1:8" s="2" customFormat="1" x14ac:dyDescent="0.25">
      <c r="A1400"/>
      <c r="B1400"/>
      <c r="C1400"/>
      <c r="D1400" s="5"/>
      <c r="E1400" s="25"/>
      <c r="F1400"/>
      <c r="G1400"/>
      <c r="H1400" s="24"/>
    </row>
    <row r="1401" spans="1:8" s="3" customFormat="1" x14ac:dyDescent="0.25">
      <c r="A1401"/>
      <c r="B1401"/>
      <c r="C1401"/>
      <c r="D1401" s="5"/>
      <c r="E1401" s="25"/>
      <c r="F1401"/>
      <c r="G1401"/>
      <c r="H1401" s="24"/>
    </row>
    <row r="1402" spans="1:8" s="2" customFormat="1" x14ac:dyDescent="0.25">
      <c r="A1402"/>
      <c r="B1402"/>
      <c r="C1402"/>
      <c r="D1402" s="5"/>
      <c r="E1402" s="25"/>
      <c r="F1402"/>
      <c r="G1402"/>
      <c r="H1402" s="24"/>
    </row>
    <row r="1403" spans="1:8" s="3" customFormat="1" x14ac:dyDescent="0.25">
      <c r="A1403"/>
      <c r="B1403"/>
      <c r="C1403"/>
      <c r="D1403" s="5"/>
      <c r="E1403" s="25"/>
      <c r="F1403"/>
      <c r="G1403"/>
      <c r="H1403" s="24"/>
    </row>
    <row r="1404" spans="1:8" s="2" customFormat="1" x14ac:dyDescent="0.25">
      <c r="A1404"/>
      <c r="B1404"/>
      <c r="C1404"/>
      <c r="D1404" s="5"/>
      <c r="E1404" s="25"/>
      <c r="F1404"/>
      <c r="G1404"/>
      <c r="H1404" s="24"/>
    </row>
    <row r="1405" spans="1:8" s="3" customFormat="1" x14ac:dyDescent="0.25">
      <c r="A1405"/>
      <c r="B1405"/>
      <c r="C1405"/>
      <c r="D1405" s="5"/>
      <c r="E1405" s="25"/>
      <c r="F1405"/>
      <c r="G1405"/>
      <c r="H1405" s="24"/>
    </row>
    <row r="1406" spans="1:8" s="2" customFormat="1" x14ac:dyDescent="0.25">
      <c r="A1406"/>
      <c r="B1406"/>
      <c r="C1406"/>
      <c r="D1406" s="5"/>
      <c r="E1406" s="25"/>
      <c r="F1406"/>
      <c r="G1406"/>
      <c r="H1406" s="24"/>
    </row>
    <row r="1407" spans="1:8" s="3" customFormat="1" x14ac:dyDescent="0.25">
      <c r="A1407"/>
      <c r="B1407"/>
      <c r="C1407"/>
      <c r="D1407" s="5"/>
      <c r="E1407" s="25"/>
      <c r="F1407"/>
      <c r="G1407"/>
      <c r="H1407" s="24"/>
    </row>
    <row r="1408" spans="1:8" s="2" customFormat="1" x14ac:dyDescent="0.25">
      <c r="A1408"/>
      <c r="B1408"/>
      <c r="C1408"/>
      <c r="D1408" s="5"/>
      <c r="E1408" s="25"/>
      <c r="F1408"/>
      <c r="G1408"/>
      <c r="H1408" s="24"/>
    </row>
    <row r="1409" spans="1:8" s="3" customFormat="1" x14ac:dyDescent="0.25">
      <c r="A1409"/>
      <c r="B1409"/>
      <c r="C1409"/>
      <c r="D1409" s="5"/>
      <c r="E1409" s="25"/>
      <c r="F1409"/>
      <c r="G1409"/>
      <c r="H1409" s="24"/>
    </row>
    <row r="1410" spans="1:8" s="2" customFormat="1" x14ac:dyDescent="0.25">
      <c r="A1410"/>
      <c r="B1410"/>
      <c r="C1410"/>
      <c r="D1410" s="5"/>
      <c r="E1410" s="25"/>
      <c r="F1410"/>
      <c r="G1410"/>
      <c r="H1410" s="24"/>
    </row>
    <row r="1411" spans="1:8" s="3" customFormat="1" x14ac:dyDescent="0.25">
      <c r="A1411"/>
      <c r="B1411"/>
      <c r="C1411"/>
      <c r="D1411" s="5"/>
      <c r="E1411" s="25"/>
      <c r="F1411"/>
      <c r="G1411"/>
      <c r="H1411" s="24"/>
    </row>
    <row r="1412" spans="1:8" s="2" customFormat="1" x14ac:dyDescent="0.25">
      <c r="A1412"/>
      <c r="B1412"/>
      <c r="C1412"/>
      <c r="D1412" s="5"/>
      <c r="E1412" s="25"/>
      <c r="F1412"/>
      <c r="G1412"/>
      <c r="H1412" s="24"/>
    </row>
    <row r="1413" spans="1:8" s="3" customFormat="1" x14ac:dyDescent="0.25">
      <c r="A1413"/>
      <c r="B1413"/>
      <c r="C1413"/>
      <c r="D1413" s="5"/>
      <c r="E1413" s="25"/>
      <c r="F1413"/>
      <c r="G1413"/>
      <c r="H1413" s="24"/>
    </row>
    <row r="1414" spans="1:8" s="2" customFormat="1" x14ac:dyDescent="0.25">
      <c r="A1414"/>
      <c r="B1414"/>
      <c r="C1414"/>
      <c r="D1414" s="5"/>
      <c r="E1414" s="25"/>
      <c r="F1414"/>
      <c r="G1414"/>
      <c r="H1414" s="24"/>
    </row>
    <row r="1415" spans="1:8" s="3" customFormat="1" x14ac:dyDescent="0.25">
      <c r="A1415"/>
      <c r="B1415"/>
      <c r="C1415"/>
      <c r="D1415" s="5"/>
      <c r="E1415" s="25"/>
      <c r="F1415"/>
      <c r="G1415"/>
      <c r="H1415" s="24"/>
    </row>
    <row r="1416" spans="1:8" s="2" customFormat="1" x14ac:dyDescent="0.25">
      <c r="A1416"/>
      <c r="B1416"/>
      <c r="C1416"/>
      <c r="D1416" s="5"/>
      <c r="E1416" s="25"/>
      <c r="F1416"/>
      <c r="G1416"/>
      <c r="H1416" s="24"/>
    </row>
    <row r="1417" spans="1:8" s="3" customFormat="1" x14ac:dyDescent="0.25">
      <c r="A1417"/>
      <c r="B1417"/>
      <c r="C1417"/>
      <c r="D1417" s="5"/>
      <c r="E1417" s="25"/>
      <c r="F1417"/>
      <c r="G1417"/>
      <c r="H1417" s="24"/>
    </row>
    <row r="1418" spans="1:8" s="2" customFormat="1" x14ac:dyDescent="0.25">
      <c r="A1418"/>
      <c r="B1418"/>
      <c r="C1418"/>
      <c r="D1418" s="5"/>
      <c r="E1418" s="25"/>
      <c r="F1418"/>
      <c r="G1418"/>
      <c r="H1418" s="24"/>
    </row>
    <row r="1419" spans="1:8" s="3" customFormat="1" x14ac:dyDescent="0.25">
      <c r="A1419"/>
      <c r="B1419"/>
      <c r="C1419"/>
      <c r="D1419" s="5"/>
      <c r="E1419" s="25"/>
      <c r="F1419"/>
      <c r="G1419"/>
      <c r="H1419" s="24"/>
    </row>
    <row r="1420" spans="1:8" s="2" customFormat="1" x14ac:dyDescent="0.25">
      <c r="A1420"/>
      <c r="B1420"/>
      <c r="C1420"/>
      <c r="D1420" s="5"/>
      <c r="E1420" s="25"/>
      <c r="F1420"/>
      <c r="G1420"/>
      <c r="H1420" s="24"/>
    </row>
    <row r="1421" spans="1:8" s="3" customFormat="1" x14ac:dyDescent="0.25">
      <c r="A1421"/>
      <c r="B1421"/>
      <c r="C1421"/>
      <c r="D1421" s="5"/>
      <c r="E1421" s="25"/>
      <c r="F1421"/>
      <c r="G1421"/>
      <c r="H1421" s="24"/>
    </row>
    <row r="1422" spans="1:8" s="2" customFormat="1" x14ac:dyDescent="0.25">
      <c r="A1422"/>
      <c r="B1422"/>
      <c r="C1422"/>
      <c r="D1422" s="5"/>
      <c r="E1422" s="25"/>
      <c r="F1422"/>
      <c r="G1422"/>
      <c r="H1422" s="24"/>
    </row>
    <row r="1423" spans="1:8" s="3" customFormat="1" x14ac:dyDescent="0.25">
      <c r="A1423"/>
      <c r="B1423"/>
      <c r="C1423"/>
      <c r="D1423" s="5"/>
      <c r="E1423" s="25"/>
      <c r="F1423"/>
      <c r="G1423"/>
      <c r="H1423" s="24"/>
    </row>
    <row r="1424" spans="1:8" s="2" customFormat="1" x14ac:dyDescent="0.25">
      <c r="A1424"/>
      <c r="B1424"/>
      <c r="C1424"/>
      <c r="D1424" s="5"/>
      <c r="E1424" s="25"/>
      <c r="F1424"/>
      <c r="G1424"/>
      <c r="H1424" s="24"/>
    </row>
    <row r="1425" spans="1:8" s="3" customFormat="1" x14ac:dyDescent="0.25">
      <c r="A1425"/>
      <c r="B1425"/>
      <c r="C1425"/>
      <c r="D1425" s="5"/>
      <c r="E1425" s="25"/>
      <c r="F1425"/>
      <c r="G1425"/>
      <c r="H1425" s="24"/>
    </row>
    <row r="1426" spans="1:8" s="2" customFormat="1" x14ac:dyDescent="0.25">
      <c r="A1426"/>
      <c r="B1426"/>
      <c r="C1426"/>
      <c r="D1426" s="5"/>
      <c r="E1426" s="25"/>
      <c r="F1426"/>
      <c r="G1426"/>
      <c r="H1426" s="24"/>
    </row>
    <row r="1427" spans="1:8" s="3" customFormat="1" x14ac:dyDescent="0.25">
      <c r="A1427"/>
      <c r="B1427"/>
      <c r="C1427"/>
      <c r="D1427" s="5"/>
      <c r="E1427" s="25"/>
      <c r="F1427"/>
      <c r="G1427"/>
      <c r="H1427" s="24"/>
    </row>
    <row r="1428" spans="1:8" s="2" customFormat="1" x14ac:dyDescent="0.25">
      <c r="A1428"/>
      <c r="B1428"/>
      <c r="C1428"/>
      <c r="D1428" s="5"/>
      <c r="E1428" s="25"/>
      <c r="F1428"/>
      <c r="G1428"/>
      <c r="H1428" s="24"/>
    </row>
    <row r="1429" spans="1:8" s="3" customFormat="1" x14ac:dyDescent="0.25">
      <c r="A1429"/>
      <c r="B1429"/>
      <c r="C1429"/>
      <c r="D1429" s="5"/>
      <c r="E1429" s="25"/>
      <c r="F1429"/>
      <c r="G1429"/>
      <c r="H1429" s="24"/>
    </row>
    <row r="1430" spans="1:8" s="2" customFormat="1" x14ac:dyDescent="0.25">
      <c r="A1430"/>
      <c r="B1430"/>
      <c r="C1430"/>
      <c r="D1430" s="5"/>
      <c r="E1430" s="25"/>
      <c r="F1430"/>
      <c r="G1430"/>
      <c r="H1430" s="24"/>
    </row>
    <row r="1431" spans="1:8" s="3" customFormat="1" x14ac:dyDescent="0.25">
      <c r="A1431"/>
      <c r="B1431"/>
      <c r="C1431"/>
      <c r="D1431" s="5"/>
      <c r="E1431" s="25"/>
      <c r="F1431"/>
      <c r="G1431"/>
      <c r="H1431" s="24"/>
    </row>
    <row r="1432" spans="1:8" s="2" customFormat="1" x14ac:dyDescent="0.25">
      <c r="A1432"/>
      <c r="B1432"/>
      <c r="C1432"/>
      <c r="D1432" s="5"/>
      <c r="E1432" s="25"/>
      <c r="F1432"/>
      <c r="G1432"/>
      <c r="H1432" s="24"/>
    </row>
    <row r="1433" spans="1:8" s="3" customFormat="1" x14ac:dyDescent="0.25">
      <c r="A1433"/>
      <c r="B1433"/>
      <c r="C1433"/>
      <c r="D1433" s="5"/>
      <c r="E1433" s="25"/>
      <c r="F1433"/>
      <c r="G1433"/>
      <c r="H1433" s="24"/>
    </row>
    <row r="1434" spans="1:8" s="2" customFormat="1" x14ac:dyDescent="0.25">
      <c r="A1434"/>
      <c r="B1434"/>
      <c r="C1434"/>
      <c r="D1434" s="5"/>
      <c r="E1434" s="25"/>
      <c r="F1434"/>
      <c r="G1434"/>
      <c r="H1434" s="24"/>
    </row>
    <row r="1435" spans="1:8" s="3" customFormat="1" x14ac:dyDescent="0.25">
      <c r="A1435"/>
      <c r="B1435"/>
      <c r="C1435"/>
      <c r="D1435" s="5"/>
      <c r="E1435" s="25"/>
      <c r="F1435"/>
      <c r="G1435"/>
      <c r="H1435" s="24"/>
    </row>
    <row r="1436" spans="1:8" s="2" customFormat="1" x14ac:dyDescent="0.25">
      <c r="A1436"/>
      <c r="B1436"/>
      <c r="C1436"/>
      <c r="D1436" s="5"/>
      <c r="E1436" s="25"/>
      <c r="F1436"/>
      <c r="G1436"/>
      <c r="H1436" s="24"/>
    </row>
    <row r="1437" spans="1:8" s="3" customFormat="1" x14ac:dyDescent="0.25">
      <c r="A1437"/>
      <c r="B1437"/>
      <c r="C1437"/>
      <c r="D1437" s="5"/>
      <c r="E1437" s="25"/>
      <c r="F1437"/>
      <c r="G1437"/>
      <c r="H1437" s="24"/>
    </row>
    <row r="1438" spans="1:8" s="2" customFormat="1" x14ac:dyDescent="0.25">
      <c r="A1438"/>
      <c r="B1438"/>
      <c r="C1438"/>
      <c r="D1438" s="5"/>
      <c r="E1438" s="25"/>
      <c r="F1438"/>
      <c r="G1438"/>
      <c r="H1438" s="24"/>
    </row>
    <row r="1439" spans="1:8" s="3" customFormat="1" x14ac:dyDescent="0.25">
      <c r="A1439"/>
      <c r="B1439"/>
      <c r="C1439"/>
      <c r="D1439" s="5"/>
      <c r="E1439" s="25"/>
      <c r="F1439"/>
      <c r="G1439"/>
      <c r="H1439" s="24"/>
    </row>
    <row r="1440" spans="1:8" s="2" customFormat="1" x14ac:dyDescent="0.25">
      <c r="A1440"/>
      <c r="B1440"/>
      <c r="C1440"/>
      <c r="D1440" s="5"/>
      <c r="E1440" s="25"/>
      <c r="F1440"/>
      <c r="G1440"/>
      <c r="H1440" s="24"/>
    </row>
    <row r="1441" spans="1:8" s="3" customFormat="1" x14ac:dyDescent="0.25">
      <c r="A1441"/>
      <c r="B1441"/>
      <c r="C1441"/>
      <c r="D1441" s="5"/>
      <c r="E1441" s="25"/>
      <c r="F1441"/>
      <c r="G1441"/>
      <c r="H1441" s="24"/>
    </row>
    <row r="1442" spans="1:8" s="2" customFormat="1" x14ac:dyDescent="0.25">
      <c r="A1442"/>
      <c r="B1442"/>
      <c r="C1442"/>
      <c r="D1442" s="5"/>
      <c r="E1442" s="25"/>
      <c r="F1442"/>
      <c r="G1442"/>
      <c r="H1442" s="24"/>
    </row>
    <row r="1443" spans="1:8" s="3" customFormat="1" x14ac:dyDescent="0.25">
      <c r="A1443"/>
      <c r="B1443"/>
      <c r="C1443"/>
      <c r="D1443" s="5"/>
      <c r="E1443" s="25"/>
      <c r="F1443"/>
      <c r="G1443"/>
      <c r="H1443" s="24"/>
    </row>
    <row r="1444" spans="1:8" s="2" customFormat="1" x14ac:dyDescent="0.25">
      <c r="A1444"/>
      <c r="B1444"/>
      <c r="C1444"/>
      <c r="D1444" s="5"/>
      <c r="E1444" s="25"/>
      <c r="F1444"/>
      <c r="G1444"/>
      <c r="H1444" s="24"/>
    </row>
    <row r="1445" spans="1:8" s="3" customFormat="1" x14ac:dyDescent="0.25">
      <c r="A1445"/>
      <c r="B1445"/>
      <c r="C1445"/>
      <c r="D1445" s="5"/>
      <c r="E1445" s="25"/>
      <c r="F1445"/>
      <c r="G1445"/>
      <c r="H1445" s="24"/>
    </row>
    <row r="1446" spans="1:8" s="2" customFormat="1" x14ac:dyDescent="0.25">
      <c r="A1446"/>
      <c r="B1446"/>
      <c r="C1446"/>
      <c r="D1446" s="5"/>
      <c r="E1446" s="25"/>
      <c r="F1446"/>
      <c r="G1446"/>
      <c r="H1446" s="24"/>
    </row>
    <row r="1447" spans="1:8" s="3" customFormat="1" x14ac:dyDescent="0.25">
      <c r="A1447"/>
      <c r="B1447"/>
      <c r="C1447"/>
      <c r="D1447" s="5"/>
      <c r="E1447" s="25"/>
      <c r="F1447"/>
      <c r="G1447"/>
      <c r="H1447" s="24"/>
    </row>
    <row r="1448" spans="1:8" s="2" customFormat="1" x14ac:dyDescent="0.25">
      <c r="A1448"/>
      <c r="B1448"/>
      <c r="C1448"/>
      <c r="D1448" s="5"/>
      <c r="E1448" s="25"/>
      <c r="F1448"/>
      <c r="G1448"/>
      <c r="H1448" s="24"/>
    </row>
    <row r="1449" spans="1:8" s="3" customFormat="1" x14ac:dyDescent="0.25">
      <c r="A1449"/>
      <c r="B1449"/>
      <c r="C1449"/>
      <c r="D1449" s="5"/>
      <c r="E1449" s="25"/>
      <c r="F1449"/>
      <c r="G1449"/>
      <c r="H1449" s="24"/>
    </row>
    <row r="1450" spans="1:8" s="2" customFormat="1" x14ac:dyDescent="0.25">
      <c r="A1450"/>
      <c r="B1450"/>
      <c r="C1450"/>
      <c r="D1450" s="5"/>
      <c r="E1450" s="25"/>
      <c r="F1450"/>
      <c r="G1450"/>
      <c r="H1450" s="24"/>
    </row>
    <row r="1451" spans="1:8" s="3" customFormat="1" x14ac:dyDescent="0.25">
      <c r="A1451"/>
      <c r="B1451"/>
      <c r="C1451"/>
      <c r="D1451" s="5"/>
      <c r="E1451" s="25"/>
      <c r="F1451"/>
      <c r="G1451"/>
      <c r="H1451" s="24"/>
    </row>
    <row r="1452" spans="1:8" s="2" customFormat="1" x14ac:dyDescent="0.25">
      <c r="A1452"/>
      <c r="B1452"/>
      <c r="C1452"/>
      <c r="D1452" s="5"/>
      <c r="E1452" s="25"/>
      <c r="F1452"/>
      <c r="G1452"/>
      <c r="H1452" s="24"/>
    </row>
    <row r="1453" spans="1:8" s="3" customFormat="1" x14ac:dyDescent="0.25">
      <c r="A1453"/>
      <c r="B1453"/>
      <c r="C1453"/>
      <c r="D1453" s="5"/>
      <c r="E1453" s="25"/>
      <c r="F1453"/>
      <c r="G1453"/>
      <c r="H1453" s="24"/>
    </row>
    <row r="1454" spans="1:8" s="2" customFormat="1" x14ac:dyDescent="0.25">
      <c r="A1454"/>
      <c r="B1454"/>
      <c r="C1454"/>
      <c r="D1454" s="5"/>
      <c r="E1454" s="25"/>
      <c r="F1454"/>
      <c r="G1454"/>
      <c r="H1454" s="24"/>
    </row>
    <row r="1455" spans="1:8" s="3" customFormat="1" x14ac:dyDescent="0.25">
      <c r="A1455"/>
      <c r="B1455"/>
      <c r="C1455"/>
      <c r="D1455" s="5"/>
      <c r="E1455" s="25"/>
      <c r="F1455"/>
      <c r="G1455"/>
      <c r="H1455" s="24"/>
    </row>
    <row r="1456" spans="1:8" s="2" customFormat="1" x14ac:dyDescent="0.25">
      <c r="A1456"/>
      <c r="B1456"/>
      <c r="C1456"/>
      <c r="D1456" s="5"/>
      <c r="E1456" s="25"/>
      <c r="F1456"/>
      <c r="G1456"/>
      <c r="H1456" s="24"/>
    </row>
    <row r="1457" spans="1:8" s="3" customFormat="1" x14ac:dyDescent="0.25">
      <c r="A1457"/>
      <c r="B1457"/>
      <c r="C1457"/>
      <c r="D1457" s="5"/>
      <c r="E1457" s="25"/>
      <c r="F1457"/>
      <c r="G1457"/>
      <c r="H1457" s="24"/>
    </row>
    <row r="1458" spans="1:8" s="2" customFormat="1" x14ac:dyDescent="0.25">
      <c r="A1458"/>
      <c r="B1458"/>
      <c r="C1458"/>
      <c r="D1458" s="5"/>
      <c r="E1458" s="25"/>
      <c r="F1458"/>
      <c r="G1458"/>
      <c r="H1458" s="24"/>
    </row>
    <row r="1459" spans="1:8" s="3" customFormat="1" x14ac:dyDescent="0.25">
      <c r="A1459"/>
      <c r="B1459"/>
      <c r="C1459"/>
      <c r="D1459" s="5"/>
      <c r="E1459" s="25"/>
      <c r="F1459"/>
      <c r="G1459"/>
      <c r="H1459" s="24"/>
    </row>
    <row r="1460" spans="1:8" s="2" customFormat="1" x14ac:dyDescent="0.25">
      <c r="A1460"/>
      <c r="B1460"/>
      <c r="C1460"/>
      <c r="D1460" s="5"/>
      <c r="E1460" s="25"/>
      <c r="F1460"/>
      <c r="G1460"/>
      <c r="H1460" s="24"/>
    </row>
    <row r="1461" spans="1:8" s="3" customFormat="1" x14ac:dyDescent="0.25">
      <c r="A1461"/>
      <c r="B1461"/>
      <c r="C1461"/>
      <c r="D1461" s="5"/>
      <c r="E1461" s="25"/>
      <c r="F1461"/>
      <c r="G1461"/>
      <c r="H1461" s="24"/>
    </row>
    <row r="1462" spans="1:8" s="2" customFormat="1" x14ac:dyDescent="0.25">
      <c r="A1462"/>
      <c r="B1462"/>
      <c r="C1462"/>
      <c r="D1462" s="5"/>
      <c r="E1462" s="25"/>
      <c r="F1462"/>
      <c r="G1462"/>
      <c r="H1462" s="24"/>
    </row>
    <row r="1463" spans="1:8" s="3" customFormat="1" x14ac:dyDescent="0.25">
      <c r="A1463"/>
      <c r="B1463"/>
      <c r="C1463"/>
      <c r="D1463" s="5"/>
      <c r="E1463" s="25"/>
      <c r="F1463"/>
      <c r="G1463"/>
      <c r="H1463" s="24"/>
    </row>
    <row r="1464" spans="1:8" s="2" customFormat="1" x14ac:dyDescent="0.25">
      <c r="A1464"/>
      <c r="B1464"/>
      <c r="C1464"/>
      <c r="D1464" s="5"/>
      <c r="E1464" s="25"/>
      <c r="F1464"/>
      <c r="G1464"/>
      <c r="H1464" s="24"/>
    </row>
    <row r="1465" spans="1:8" s="3" customFormat="1" x14ac:dyDescent="0.25">
      <c r="A1465"/>
      <c r="B1465"/>
      <c r="C1465"/>
      <c r="D1465" s="5"/>
      <c r="E1465" s="25"/>
      <c r="F1465"/>
      <c r="G1465"/>
      <c r="H1465" s="24"/>
    </row>
    <row r="1466" spans="1:8" s="2" customFormat="1" x14ac:dyDescent="0.25">
      <c r="A1466"/>
      <c r="B1466"/>
      <c r="C1466"/>
      <c r="D1466" s="5"/>
      <c r="E1466" s="25"/>
      <c r="F1466"/>
      <c r="G1466"/>
      <c r="H1466" s="24"/>
    </row>
    <row r="1467" spans="1:8" s="3" customFormat="1" x14ac:dyDescent="0.25">
      <c r="A1467"/>
      <c r="B1467"/>
      <c r="C1467"/>
      <c r="D1467" s="5"/>
      <c r="E1467" s="25"/>
      <c r="F1467"/>
      <c r="G1467"/>
      <c r="H1467" s="24"/>
    </row>
    <row r="1468" spans="1:8" s="2" customFormat="1" x14ac:dyDescent="0.25">
      <c r="A1468"/>
      <c r="B1468"/>
      <c r="C1468"/>
      <c r="D1468" s="5"/>
      <c r="E1468" s="25"/>
      <c r="F1468"/>
      <c r="G1468"/>
      <c r="H1468" s="24"/>
    </row>
    <row r="1469" spans="1:8" s="3" customFormat="1" x14ac:dyDescent="0.25">
      <c r="A1469"/>
      <c r="B1469"/>
      <c r="C1469"/>
      <c r="D1469" s="5"/>
      <c r="E1469" s="25"/>
      <c r="F1469"/>
      <c r="G1469"/>
      <c r="H1469" s="24"/>
    </row>
    <row r="1470" spans="1:8" s="2" customFormat="1" x14ac:dyDescent="0.25">
      <c r="A1470"/>
      <c r="B1470"/>
      <c r="C1470"/>
      <c r="D1470" s="5"/>
      <c r="E1470" s="25"/>
      <c r="F1470"/>
      <c r="G1470"/>
      <c r="H1470" s="24"/>
    </row>
    <row r="1471" spans="1:8" s="3" customFormat="1" x14ac:dyDescent="0.25">
      <c r="A1471"/>
      <c r="B1471"/>
      <c r="C1471"/>
      <c r="D1471" s="5"/>
      <c r="E1471" s="25"/>
      <c r="F1471"/>
      <c r="G1471"/>
      <c r="H1471" s="24"/>
    </row>
    <row r="1472" spans="1:8" s="2" customFormat="1" x14ac:dyDescent="0.25">
      <c r="A1472"/>
      <c r="B1472"/>
      <c r="C1472"/>
      <c r="D1472" s="5"/>
      <c r="E1472" s="25"/>
      <c r="F1472"/>
      <c r="G1472"/>
      <c r="H1472" s="24"/>
    </row>
    <row r="1473" spans="1:8" s="3" customFormat="1" x14ac:dyDescent="0.25">
      <c r="A1473"/>
      <c r="B1473"/>
      <c r="C1473"/>
      <c r="D1473" s="5"/>
      <c r="E1473" s="25"/>
      <c r="F1473"/>
      <c r="G1473"/>
      <c r="H1473" s="24"/>
    </row>
    <row r="1474" spans="1:8" s="2" customFormat="1" x14ac:dyDescent="0.25">
      <c r="A1474"/>
      <c r="B1474"/>
      <c r="C1474"/>
      <c r="D1474" s="5"/>
      <c r="E1474" s="25"/>
      <c r="F1474"/>
      <c r="G1474"/>
      <c r="H1474" s="24"/>
    </row>
    <row r="1475" spans="1:8" s="3" customFormat="1" x14ac:dyDescent="0.25">
      <c r="A1475"/>
      <c r="B1475"/>
      <c r="C1475"/>
      <c r="D1475" s="5"/>
      <c r="E1475" s="25"/>
      <c r="F1475"/>
      <c r="G1475"/>
      <c r="H1475" s="24"/>
    </row>
    <row r="1476" spans="1:8" s="2" customFormat="1" x14ac:dyDescent="0.25">
      <c r="A1476"/>
      <c r="B1476"/>
      <c r="C1476"/>
      <c r="D1476" s="5"/>
      <c r="E1476" s="25"/>
      <c r="F1476"/>
      <c r="G1476"/>
      <c r="H1476" s="24"/>
    </row>
    <row r="1477" spans="1:8" s="3" customFormat="1" x14ac:dyDescent="0.25">
      <c r="A1477"/>
      <c r="B1477"/>
      <c r="C1477"/>
      <c r="D1477" s="5"/>
      <c r="E1477" s="25"/>
      <c r="F1477"/>
      <c r="G1477"/>
      <c r="H1477" s="24"/>
    </row>
    <row r="1478" spans="1:8" s="2" customFormat="1" x14ac:dyDescent="0.25">
      <c r="A1478"/>
      <c r="B1478"/>
      <c r="C1478"/>
      <c r="D1478" s="5"/>
      <c r="E1478" s="25"/>
      <c r="F1478"/>
      <c r="G1478"/>
      <c r="H1478" s="24"/>
    </row>
    <row r="1479" spans="1:8" s="3" customFormat="1" x14ac:dyDescent="0.25">
      <c r="A1479"/>
      <c r="B1479"/>
      <c r="C1479"/>
      <c r="D1479" s="5"/>
      <c r="E1479" s="25"/>
      <c r="F1479"/>
      <c r="G1479"/>
      <c r="H1479" s="24"/>
    </row>
    <row r="1480" spans="1:8" s="2" customFormat="1" x14ac:dyDescent="0.25">
      <c r="A1480"/>
      <c r="B1480"/>
      <c r="C1480"/>
      <c r="D1480" s="5"/>
      <c r="E1480" s="25"/>
      <c r="F1480"/>
      <c r="G1480"/>
      <c r="H1480" s="24"/>
    </row>
    <row r="1481" spans="1:8" s="3" customFormat="1" x14ac:dyDescent="0.25">
      <c r="A1481"/>
      <c r="B1481"/>
      <c r="C1481"/>
      <c r="D1481" s="5"/>
      <c r="E1481" s="25"/>
      <c r="F1481"/>
      <c r="G1481"/>
      <c r="H1481" s="24"/>
    </row>
    <row r="1482" spans="1:8" s="2" customFormat="1" x14ac:dyDescent="0.25">
      <c r="A1482"/>
      <c r="B1482"/>
      <c r="C1482"/>
      <c r="D1482" s="5"/>
      <c r="E1482" s="25"/>
      <c r="F1482"/>
      <c r="G1482"/>
      <c r="H1482" s="24"/>
    </row>
    <row r="1483" spans="1:8" s="3" customFormat="1" x14ac:dyDescent="0.25">
      <c r="A1483"/>
      <c r="B1483"/>
      <c r="C1483"/>
      <c r="D1483" s="5"/>
      <c r="E1483" s="25"/>
      <c r="F1483"/>
      <c r="G1483"/>
      <c r="H1483" s="24"/>
    </row>
    <row r="1484" spans="1:8" s="2" customFormat="1" x14ac:dyDescent="0.25">
      <c r="A1484"/>
      <c r="B1484"/>
      <c r="C1484"/>
      <c r="D1484" s="5"/>
      <c r="E1484" s="25"/>
      <c r="F1484"/>
      <c r="G1484"/>
      <c r="H1484" s="24"/>
    </row>
    <row r="1485" spans="1:8" s="3" customFormat="1" x14ac:dyDescent="0.25">
      <c r="A1485"/>
      <c r="B1485"/>
      <c r="C1485"/>
      <c r="D1485" s="5"/>
      <c r="E1485" s="25"/>
      <c r="F1485"/>
      <c r="G1485"/>
      <c r="H1485" s="24"/>
    </row>
    <row r="1486" spans="1:8" s="2" customFormat="1" x14ac:dyDescent="0.25">
      <c r="A1486"/>
      <c r="B1486"/>
      <c r="C1486"/>
      <c r="D1486" s="5"/>
      <c r="E1486" s="25"/>
      <c r="F1486"/>
      <c r="G1486"/>
      <c r="H1486" s="24"/>
    </row>
    <row r="1487" spans="1:8" s="3" customFormat="1" x14ac:dyDescent="0.25">
      <c r="A1487"/>
      <c r="B1487"/>
      <c r="C1487"/>
      <c r="D1487" s="5"/>
      <c r="E1487" s="25"/>
      <c r="F1487"/>
      <c r="G1487"/>
      <c r="H1487" s="24"/>
    </row>
    <row r="1488" spans="1:8" x14ac:dyDescent="0.25">
      <c r="D1488" s="5"/>
      <c r="E1488" s="25"/>
      <c r="H1488" s="24"/>
    </row>
    <row r="1489" spans="4:8" x14ac:dyDescent="0.25">
      <c r="D1489" s="5"/>
      <c r="E1489" s="25"/>
      <c r="H1489" s="24"/>
    </row>
    <row r="1490" spans="4:8" x14ac:dyDescent="0.25">
      <c r="D1490" s="5"/>
      <c r="E1490" s="25"/>
      <c r="H1490" s="24"/>
    </row>
    <row r="1491" spans="4:8" x14ac:dyDescent="0.25">
      <c r="E1491" s="25"/>
      <c r="H1491" s="24"/>
    </row>
    <row r="1492" spans="4:8" x14ac:dyDescent="0.25">
      <c r="E1492" s="25"/>
      <c r="H1492" s="24"/>
    </row>
    <row r="1493" spans="4:8" x14ac:dyDescent="0.25">
      <c r="E1493" s="25"/>
      <c r="H1493" s="24"/>
    </row>
    <row r="1494" spans="4:8" x14ac:dyDescent="0.25">
      <c r="E1494" s="25"/>
      <c r="H1494" s="24"/>
    </row>
    <row r="1495" spans="4:8" x14ac:dyDescent="0.25">
      <c r="E1495" s="25"/>
      <c r="H1495" s="24"/>
    </row>
    <row r="1496" spans="4:8" x14ac:dyDescent="0.25">
      <c r="E1496" s="25"/>
      <c r="H1496" s="24"/>
    </row>
    <row r="1497" spans="4:8" x14ac:dyDescent="0.25">
      <c r="E1497" s="25"/>
      <c r="H1497" s="24"/>
    </row>
    <row r="1498" spans="4:8" x14ac:dyDescent="0.25">
      <c r="E1498" s="25"/>
      <c r="H1498" s="24"/>
    </row>
    <row r="1499" spans="4:8" x14ac:dyDescent="0.25">
      <c r="E1499" s="25"/>
      <c r="H1499" s="24"/>
    </row>
    <row r="1500" spans="4:8" x14ac:dyDescent="0.25">
      <c r="E1500" s="25"/>
      <c r="H1500" s="24"/>
    </row>
    <row r="1501" spans="4:8" x14ac:dyDescent="0.25">
      <c r="E1501" s="25"/>
      <c r="H1501" s="24"/>
    </row>
    <row r="1502" spans="4:8" x14ac:dyDescent="0.25">
      <c r="E1502" s="25"/>
      <c r="H1502" s="24"/>
    </row>
    <row r="1503" spans="4:8" x14ac:dyDescent="0.25">
      <c r="E1503" s="25"/>
      <c r="H1503" s="24"/>
    </row>
    <row r="1504" spans="4:8" x14ac:dyDescent="0.25">
      <c r="E1504" s="25"/>
      <c r="H1504" s="24"/>
    </row>
    <row r="1505" spans="5:8" x14ac:dyDescent="0.25">
      <c r="E1505" s="25"/>
      <c r="H1505" s="24"/>
    </row>
    <row r="1506" spans="5:8" x14ac:dyDescent="0.25">
      <c r="E1506" s="25"/>
      <c r="H1506" s="24"/>
    </row>
    <row r="1507" spans="5:8" x14ac:dyDescent="0.25">
      <c r="E1507" s="25"/>
      <c r="H1507" s="24"/>
    </row>
    <row r="1508" spans="5:8" x14ac:dyDescent="0.25">
      <c r="E1508" s="25"/>
      <c r="H1508" s="24"/>
    </row>
    <row r="1509" spans="5:8" x14ac:dyDescent="0.25">
      <c r="E1509" s="25"/>
      <c r="H1509" s="24"/>
    </row>
    <row r="1510" spans="5:8" x14ac:dyDescent="0.25">
      <c r="E1510" s="25"/>
      <c r="H1510" s="24"/>
    </row>
    <row r="1511" spans="5:8" x14ac:dyDescent="0.25">
      <c r="E1511" s="25"/>
      <c r="H1511" s="24"/>
    </row>
    <row r="1512" spans="5:8" x14ac:dyDescent="0.25">
      <c r="E1512" s="25"/>
      <c r="H1512" s="24"/>
    </row>
    <row r="1513" spans="5:8" x14ac:dyDescent="0.25">
      <c r="E1513" s="25"/>
      <c r="H1513" s="24"/>
    </row>
    <row r="1514" spans="5:8" x14ac:dyDescent="0.25">
      <c r="E1514" s="25"/>
      <c r="H1514" s="24"/>
    </row>
    <row r="1515" spans="5:8" x14ac:dyDescent="0.25">
      <c r="E1515" s="25"/>
      <c r="H1515" s="24"/>
    </row>
    <row r="1516" spans="5:8" x14ac:dyDescent="0.25">
      <c r="E1516" s="25"/>
      <c r="H1516" s="24"/>
    </row>
    <row r="1517" spans="5:8" x14ac:dyDescent="0.25">
      <c r="E1517" s="25"/>
      <c r="H1517" s="24"/>
    </row>
    <row r="1518" spans="5:8" x14ac:dyDescent="0.25">
      <c r="E1518" s="25"/>
      <c r="H1518" s="24"/>
    </row>
    <row r="1519" spans="5:8" x14ac:dyDescent="0.25">
      <c r="E1519" s="25"/>
      <c r="H1519" s="24"/>
    </row>
    <row r="1520" spans="5:8" x14ac:dyDescent="0.25">
      <c r="E1520" s="25"/>
      <c r="H1520" s="24"/>
    </row>
    <row r="1521" spans="5:8" x14ac:dyDescent="0.25">
      <c r="E1521" s="25"/>
      <c r="H1521" s="24"/>
    </row>
    <row r="1522" spans="5:8" x14ac:dyDescent="0.25">
      <c r="E1522" s="25"/>
      <c r="H1522" s="24"/>
    </row>
    <row r="1523" spans="5:8" x14ac:dyDescent="0.25">
      <c r="E1523" s="25"/>
      <c r="H1523" s="24"/>
    </row>
    <row r="1524" spans="5:8" x14ac:dyDescent="0.25">
      <c r="E1524" s="25"/>
      <c r="H1524" s="24"/>
    </row>
    <row r="1525" spans="5:8" x14ac:dyDescent="0.25">
      <c r="E1525" s="25"/>
      <c r="H1525" s="24"/>
    </row>
    <row r="1526" spans="5:8" x14ac:dyDescent="0.25">
      <c r="E1526" s="25"/>
      <c r="H1526" s="24"/>
    </row>
    <row r="1527" spans="5:8" x14ac:dyDescent="0.25">
      <c r="E1527" s="25"/>
      <c r="H1527" s="24"/>
    </row>
    <row r="1528" spans="5:8" x14ac:dyDescent="0.25">
      <c r="E1528" s="25"/>
      <c r="H1528" s="24"/>
    </row>
    <row r="1529" spans="5:8" x14ac:dyDescent="0.25">
      <c r="E1529" s="25"/>
      <c r="H1529" s="24"/>
    </row>
    <row r="1530" spans="5:8" x14ac:dyDescent="0.25">
      <c r="E1530" s="25"/>
      <c r="H1530" s="24"/>
    </row>
    <row r="1531" spans="5:8" x14ac:dyDescent="0.25">
      <c r="E1531" s="25"/>
      <c r="H1531" s="24"/>
    </row>
    <row r="1532" spans="5:8" x14ac:dyDescent="0.25">
      <c r="E1532" s="25"/>
      <c r="H1532" s="24"/>
    </row>
    <row r="1533" spans="5:8" x14ac:dyDescent="0.25">
      <c r="E1533" s="25"/>
      <c r="H1533" s="24"/>
    </row>
    <row r="1534" spans="5:8" x14ac:dyDescent="0.25">
      <c r="E1534" s="25"/>
      <c r="H1534" s="24"/>
    </row>
    <row r="1535" spans="5:8" x14ac:dyDescent="0.25">
      <c r="E1535" s="25"/>
      <c r="H1535" s="24"/>
    </row>
    <row r="1536" spans="5:8" x14ac:dyDescent="0.25">
      <c r="E1536" s="25"/>
      <c r="H1536" s="24"/>
    </row>
    <row r="1537" spans="5:8" x14ac:dyDescent="0.25">
      <c r="E1537" s="25"/>
      <c r="H1537" s="24"/>
    </row>
    <row r="1538" spans="5:8" x14ac:dyDescent="0.25">
      <c r="E1538" s="25"/>
      <c r="H1538" s="24"/>
    </row>
    <row r="1539" spans="5:8" x14ac:dyDescent="0.25">
      <c r="E1539" s="25"/>
      <c r="H1539" s="24"/>
    </row>
    <row r="1540" spans="5:8" x14ac:dyDescent="0.25">
      <c r="E1540" s="25"/>
      <c r="H1540" s="24"/>
    </row>
    <row r="1541" spans="5:8" x14ac:dyDescent="0.25">
      <c r="E1541" s="25"/>
      <c r="H1541" s="24"/>
    </row>
    <row r="1542" spans="5:8" x14ac:dyDescent="0.25">
      <c r="E1542" s="25"/>
      <c r="H1542" s="24"/>
    </row>
    <row r="1543" spans="5:8" x14ac:dyDescent="0.25">
      <c r="E1543" s="25"/>
      <c r="H1543" s="24"/>
    </row>
    <row r="1544" spans="5:8" x14ac:dyDescent="0.25">
      <c r="E1544" s="25"/>
      <c r="H1544" s="24"/>
    </row>
    <row r="1545" spans="5:8" x14ac:dyDescent="0.25">
      <c r="E1545" s="25"/>
      <c r="H1545" s="24"/>
    </row>
    <row r="1546" spans="5:8" x14ac:dyDescent="0.25">
      <c r="E1546" s="25"/>
      <c r="H1546" s="24"/>
    </row>
    <row r="1547" spans="5:8" x14ac:dyDescent="0.25">
      <c r="E1547" s="25"/>
      <c r="H1547" s="24"/>
    </row>
    <row r="1548" spans="5:8" x14ac:dyDescent="0.25">
      <c r="E1548" s="25"/>
      <c r="H1548" s="24"/>
    </row>
    <row r="1549" spans="5:8" x14ac:dyDescent="0.25">
      <c r="E1549" s="25"/>
      <c r="H1549" s="24"/>
    </row>
    <row r="1550" spans="5:8" x14ac:dyDescent="0.25">
      <c r="E1550" s="25"/>
      <c r="H1550" s="24"/>
    </row>
    <row r="1551" spans="5:8" x14ac:dyDescent="0.25">
      <c r="E1551" s="25"/>
      <c r="H1551" s="24"/>
    </row>
    <row r="1552" spans="5:8" x14ac:dyDescent="0.25">
      <c r="E1552" s="25"/>
      <c r="H1552" s="24"/>
    </row>
    <row r="1553" spans="5:8" x14ac:dyDescent="0.25">
      <c r="E1553" s="25"/>
      <c r="H1553" s="24"/>
    </row>
    <row r="1554" spans="5:8" x14ac:dyDescent="0.25">
      <c r="E1554" s="25"/>
      <c r="H1554" s="24"/>
    </row>
    <row r="1555" spans="5:8" x14ac:dyDescent="0.25">
      <c r="E1555" s="25"/>
      <c r="H1555" s="24"/>
    </row>
    <row r="1556" spans="5:8" x14ac:dyDescent="0.25">
      <c r="E1556" s="25"/>
      <c r="H1556" s="24"/>
    </row>
    <row r="1557" spans="5:8" x14ac:dyDescent="0.25">
      <c r="E1557" s="25"/>
      <c r="H1557" s="24"/>
    </row>
    <row r="1558" spans="5:8" x14ac:dyDescent="0.25">
      <c r="E1558" s="25"/>
      <c r="H1558" s="24"/>
    </row>
    <row r="1559" spans="5:8" x14ac:dyDescent="0.25">
      <c r="E1559" s="25"/>
      <c r="H1559" s="24"/>
    </row>
    <row r="1560" spans="5:8" x14ac:dyDescent="0.25">
      <c r="E1560" s="25"/>
      <c r="H1560" s="24"/>
    </row>
    <row r="1561" spans="5:8" x14ac:dyDescent="0.25">
      <c r="E1561" s="25"/>
      <c r="H1561" s="24"/>
    </row>
    <row r="1562" spans="5:8" x14ac:dyDescent="0.25">
      <c r="E1562" s="25"/>
      <c r="H1562" s="24"/>
    </row>
    <row r="1563" spans="5:8" x14ac:dyDescent="0.25">
      <c r="E1563" s="25"/>
      <c r="H1563" s="24"/>
    </row>
    <row r="1564" spans="5:8" x14ac:dyDescent="0.25">
      <c r="E1564" s="25"/>
      <c r="H1564" s="24"/>
    </row>
    <row r="1565" spans="5:8" x14ac:dyDescent="0.25">
      <c r="E1565" s="25"/>
      <c r="H1565" s="24"/>
    </row>
    <row r="1566" spans="5:8" x14ac:dyDescent="0.25">
      <c r="E1566" s="25"/>
      <c r="H1566" s="24"/>
    </row>
    <row r="1567" spans="5:8" x14ac:dyDescent="0.25">
      <c r="E1567" s="25"/>
      <c r="H1567" s="24"/>
    </row>
    <row r="1568" spans="5:8" x14ac:dyDescent="0.25">
      <c r="E1568" s="25"/>
      <c r="H1568" s="24"/>
    </row>
    <row r="1569" spans="5:8" x14ac:dyDescent="0.25">
      <c r="E1569" s="25"/>
      <c r="H1569" s="24"/>
    </row>
    <row r="1570" spans="5:8" x14ac:dyDescent="0.25">
      <c r="E1570" s="25"/>
      <c r="H1570" s="24"/>
    </row>
    <row r="1571" spans="5:8" x14ac:dyDescent="0.25">
      <c r="E1571" s="25"/>
      <c r="H1571" s="24"/>
    </row>
    <row r="1572" spans="5:8" x14ac:dyDescent="0.25">
      <c r="E1572" s="25"/>
      <c r="H1572" s="24"/>
    </row>
    <row r="1573" spans="5:8" x14ac:dyDescent="0.25">
      <c r="E1573" s="25"/>
      <c r="H1573" s="24"/>
    </row>
    <row r="1574" spans="5:8" x14ac:dyDescent="0.25">
      <c r="E1574" s="25"/>
      <c r="H1574" s="24"/>
    </row>
    <row r="1575" spans="5:8" x14ac:dyDescent="0.25">
      <c r="E1575" s="25"/>
      <c r="H1575" s="24"/>
    </row>
    <row r="1576" spans="5:8" x14ac:dyDescent="0.25">
      <c r="E1576" s="25"/>
      <c r="H1576" s="24"/>
    </row>
    <row r="1577" spans="5:8" x14ac:dyDescent="0.25">
      <c r="E1577" s="25"/>
      <c r="H1577" s="24"/>
    </row>
    <row r="1578" spans="5:8" x14ac:dyDescent="0.25">
      <c r="E1578" s="25"/>
      <c r="H1578" s="24"/>
    </row>
    <row r="1579" spans="5:8" x14ac:dyDescent="0.25">
      <c r="E1579" s="25"/>
      <c r="H1579" s="24"/>
    </row>
    <row r="1580" spans="5:8" x14ac:dyDescent="0.25">
      <c r="E1580" s="25"/>
      <c r="H1580" s="24"/>
    </row>
    <row r="1581" spans="5:8" x14ac:dyDescent="0.25">
      <c r="E1581" s="25"/>
      <c r="H1581" s="24"/>
    </row>
    <row r="1582" spans="5:8" x14ac:dyDescent="0.25">
      <c r="E1582" s="25"/>
      <c r="H1582" s="24"/>
    </row>
    <row r="1583" spans="5:8" x14ac:dyDescent="0.25">
      <c r="E1583" s="25"/>
      <c r="H1583" s="24"/>
    </row>
    <row r="1584" spans="5:8" x14ac:dyDescent="0.25">
      <c r="E1584" s="25"/>
      <c r="H1584" s="24"/>
    </row>
    <row r="1585" spans="5:8" x14ac:dyDescent="0.25">
      <c r="E1585" s="25"/>
      <c r="H1585" s="24"/>
    </row>
    <row r="1586" spans="5:8" x14ac:dyDescent="0.25">
      <c r="E1586" s="25"/>
      <c r="H1586" s="24"/>
    </row>
    <row r="1587" spans="5:8" x14ac:dyDescent="0.25">
      <c r="E1587" s="25"/>
      <c r="H1587" s="24"/>
    </row>
    <row r="1588" spans="5:8" x14ac:dyDescent="0.25">
      <c r="E1588" s="25"/>
      <c r="H1588" s="24"/>
    </row>
    <row r="1589" spans="5:8" x14ac:dyDescent="0.25">
      <c r="E1589" s="25"/>
      <c r="H1589" s="24"/>
    </row>
    <row r="1590" spans="5:8" x14ac:dyDescent="0.25">
      <c r="E1590" s="25"/>
      <c r="H1590" s="24"/>
    </row>
    <row r="1591" spans="5:8" x14ac:dyDescent="0.25">
      <c r="E1591" s="25"/>
      <c r="H1591" s="24"/>
    </row>
    <row r="1592" spans="5:8" x14ac:dyDescent="0.25">
      <c r="E1592" s="25"/>
      <c r="H1592" s="24"/>
    </row>
    <row r="1593" spans="5:8" x14ac:dyDescent="0.25">
      <c r="E1593" s="25"/>
      <c r="H1593" s="24"/>
    </row>
    <row r="1594" spans="5:8" x14ac:dyDescent="0.25">
      <c r="E1594" s="25"/>
      <c r="H1594" s="24"/>
    </row>
    <row r="1595" spans="5:8" x14ac:dyDescent="0.25">
      <c r="E1595" s="25"/>
      <c r="H1595" s="24"/>
    </row>
    <row r="1596" spans="5:8" x14ac:dyDescent="0.25">
      <c r="E1596" s="25"/>
      <c r="H1596" s="24"/>
    </row>
    <row r="1597" spans="5:8" x14ac:dyDescent="0.25">
      <c r="E1597" s="25"/>
      <c r="H1597" s="24"/>
    </row>
    <row r="1598" spans="5:8" x14ac:dyDescent="0.25">
      <c r="E1598" s="25"/>
      <c r="H1598" s="24"/>
    </row>
    <row r="1599" spans="5:8" x14ac:dyDescent="0.25">
      <c r="E1599" s="25"/>
      <c r="H1599" s="24"/>
    </row>
    <row r="1600" spans="5:8" x14ac:dyDescent="0.25">
      <c r="E1600" s="25"/>
      <c r="H1600" s="24"/>
    </row>
    <row r="1601" spans="5:8" x14ac:dyDescent="0.25">
      <c r="E1601" s="25"/>
      <c r="H1601" s="24"/>
    </row>
    <row r="1602" spans="5:8" x14ac:dyDescent="0.25">
      <c r="E1602" s="25"/>
      <c r="H1602" s="24"/>
    </row>
    <row r="1603" spans="5:8" x14ac:dyDescent="0.25">
      <c r="E1603" s="25"/>
      <c r="H1603" s="24"/>
    </row>
    <row r="1604" spans="5:8" x14ac:dyDescent="0.25">
      <c r="E1604" s="25"/>
      <c r="H1604" s="24"/>
    </row>
    <row r="1605" spans="5:8" x14ac:dyDescent="0.25">
      <c r="E1605" s="25"/>
      <c r="H1605" s="24"/>
    </row>
    <row r="1606" spans="5:8" x14ac:dyDescent="0.25">
      <c r="E1606" s="25"/>
      <c r="H1606" s="24"/>
    </row>
    <row r="1607" spans="5:8" x14ac:dyDescent="0.25">
      <c r="E1607" s="25"/>
      <c r="H1607" s="24"/>
    </row>
    <row r="1608" spans="5:8" x14ac:dyDescent="0.25">
      <c r="E1608" s="25"/>
      <c r="H1608" s="24"/>
    </row>
    <row r="1609" spans="5:8" x14ac:dyDescent="0.25">
      <c r="E1609" s="25"/>
      <c r="H1609" s="24"/>
    </row>
    <row r="1610" spans="5:8" x14ac:dyDescent="0.25">
      <c r="E1610" s="25"/>
      <c r="H1610" s="24"/>
    </row>
    <row r="1611" spans="5:8" x14ac:dyDescent="0.25">
      <c r="E1611" s="25"/>
      <c r="H1611" s="24"/>
    </row>
    <row r="1612" spans="5:8" x14ac:dyDescent="0.25">
      <c r="E1612" s="25"/>
      <c r="H1612" s="24"/>
    </row>
    <row r="1613" spans="5:8" x14ac:dyDescent="0.25">
      <c r="E1613" s="25"/>
      <c r="H1613" s="24"/>
    </row>
    <row r="1614" spans="5:8" x14ac:dyDescent="0.25">
      <c r="E1614" s="25"/>
      <c r="H1614" s="24"/>
    </row>
    <row r="1615" spans="5:8" x14ac:dyDescent="0.25">
      <c r="E1615" s="25"/>
      <c r="H1615" s="24"/>
    </row>
    <row r="1616" spans="5:8" x14ac:dyDescent="0.25">
      <c r="E1616" s="25"/>
      <c r="H1616" s="24"/>
    </row>
    <row r="1617" spans="5:8" x14ac:dyDescent="0.25">
      <c r="E1617" s="25"/>
      <c r="H1617" s="24"/>
    </row>
    <row r="1618" spans="5:8" x14ac:dyDescent="0.25">
      <c r="E1618" s="25"/>
      <c r="H1618" s="24"/>
    </row>
    <row r="1619" spans="5:8" x14ac:dyDescent="0.25">
      <c r="E1619" s="25"/>
      <c r="H1619" s="24"/>
    </row>
    <row r="1620" spans="5:8" x14ac:dyDescent="0.25">
      <c r="E1620" s="25"/>
      <c r="H1620" s="24"/>
    </row>
    <row r="1621" spans="5:8" x14ac:dyDescent="0.25">
      <c r="E1621" s="25"/>
      <c r="H1621" s="24"/>
    </row>
    <row r="1622" spans="5:8" x14ac:dyDescent="0.25">
      <c r="E1622" s="25"/>
      <c r="H1622" s="24"/>
    </row>
    <row r="1623" spans="5:8" x14ac:dyDescent="0.25">
      <c r="E1623" s="25"/>
      <c r="H1623" s="24"/>
    </row>
    <row r="1624" spans="5:8" x14ac:dyDescent="0.25">
      <c r="E1624" s="25"/>
      <c r="H1624" s="24"/>
    </row>
    <row r="1625" spans="5:8" x14ac:dyDescent="0.25">
      <c r="E1625" s="25"/>
      <c r="H1625" s="24"/>
    </row>
    <row r="1626" spans="5:8" x14ac:dyDescent="0.25">
      <c r="E1626" s="25"/>
      <c r="H1626" s="24"/>
    </row>
    <row r="1627" spans="5:8" x14ac:dyDescent="0.25">
      <c r="E1627" s="25"/>
      <c r="H1627" s="24"/>
    </row>
    <row r="1628" spans="5:8" x14ac:dyDescent="0.25">
      <c r="E1628" s="25"/>
      <c r="H1628" s="24"/>
    </row>
    <row r="1629" spans="5:8" x14ac:dyDescent="0.25">
      <c r="E1629" s="25"/>
      <c r="H1629" s="24"/>
    </row>
    <row r="1630" spans="5:8" x14ac:dyDescent="0.25">
      <c r="E1630" s="25"/>
      <c r="H1630" s="24"/>
    </row>
    <row r="1631" spans="5:8" x14ac:dyDescent="0.25">
      <c r="E1631" s="25"/>
      <c r="H1631" s="24"/>
    </row>
    <row r="1632" spans="5:8" x14ac:dyDescent="0.25">
      <c r="E1632" s="25"/>
      <c r="H1632" s="24"/>
    </row>
    <row r="1633" spans="5:8" x14ac:dyDescent="0.25">
      <c r="E1633" s="25"/>
      <c r="H1633" s="24"/>
    </row>
    <row r="1634" spans="5:8" x14ac:dyDescent="0.25">
      <c r="E1634" s="25"/>
      <c r="H1634" s="24"/>
    </row>
    <row r="1635" spans="5:8" x14ac:dyDescent="0.25">
      <c r="E1635" s="25"/>
      <c r="H1635" s="24"/>
    </row>
    <row r="1636" spans="5:8" x14ac:dyDescent="0.25">
      <c r="E1636" s="25"/>
      <c r="H1636" s="24"/>
    </row>
    <row r="1637" spans="5:8" x14ac:dyDescent="0.25">
      <c r="E1637" s="25"/>
      <c r="H1637" s="24"/>
    </row>
    <row r="1638" spans="5:8" x14ac:dyDescent="0.25">
      <c r="E1638" s="25"/>
      <c r="H1638" s="24"/>
    </row>
    <row r="1639" spans="5:8" x14ac:dyDescent="0.25">
      <c r="E1639" s="25"/>
      <c r="H1639" s="24"/>
    </row>
    <row r="1640" spans="5:8" x14ac:dyDescent="0.25">
      <c r="E1640" s="25"/>
      <c r="H1640" s="24"/>
    </row>
    <row r="1641" spans="5:8" x14ac:dyDescent="0.25">
      <c r="E1641" s="25"/>
      <c r="H1641" s="24"/>
    </row>
    <row r="1642" spans="5:8" x14ac:dyDescent="0.25">
      <c r="E1642" s="25"/>
      <c r="H1642" s="24"/>
    </row>
    <row r="1643" spans="5:8" x14ac:dyDescent="0.25">
      <c r="E1643" s="25"/>
      <c r="H1643" s="24"/>
    </row>
    <row r="1644" spans="5:8" x14ac:dyDescent="0.25">
      <c r="E1644" s="25"/>
      <c r="H1644" s="24"/>
    </row>
    <row r="1645" spans="5:8" x14ac:dyDescent="0.25">
      <c r="E1645" s="25"/>
      <c r="H1645" s="24"/>
    </row>
    <row r="1646" spans="5:8" x14ac:dyDescent="0.25">
      <c r="E1646" s="25"/>
      <c r="H1646" s="24"/>
    </row>
    <row r="1647" spans="5:8" x14ac:dyDescent="0.25">
      <c r="E1647" s="25"/>
      <c r="H1647" s="24"/>
    </row>
    <row r="1648" spans="5:8" x14ac:dyDescent="0.25">
      <c r="E1648" s="25"/>
      <c r="H1648" s="24"/>
    </row>
    <row r="1649" spans="5:8" x14ac:dyDescent="0.25">
      <c r="E1649" s="25"/>
      <c r="H1649" s="24"/>
    </row>
    <row r="1650" spans="5:8" x14ac:dyDescent="0.25">
      <c r="E1650" s="25"/>
      <c r="H1650" s="24"/>
    </row>
    <row r="1651" spans="5:8" x14ac:dyDescent="0.25">
      <c r="E1651" s="25"/>
      <c r="H1651" s="24"/>
    </row>
    <row r="1652" spans="5:8" x14ac:dyDescent="0.25">
      <c r="E1652" s="25"/>
      <c r="H1652" s="24"/>
    </row>
    <row r="1653" spans="5:8" x14ac:dyDescent="0.25">
      <c r="E1653" s="25"/>
      <c r="H1653" s="24"/>
    </row>
    <row r="1654" spans="5:8" x14ac:dyDescent="0.25">
      <c r="E1654" s="25"/>
      <c r="H1654" s="24"/>
    </row>
    <row r="1655" spans="5:8" x14ac:dyDescent="0.25">
      <c r="E1655" s="25"/>
      <c r="H1655" s="24"/>
    </row>
    <row r="1656" spans="5:8" x14ac:dyDescent="0.25">
      <c r="E1656" s="25"/>
      <c r="H1656" s="24"/>
    </row>
    <row r="1657" spans="5:8" x14ac:dyDescent="0.25">
      <c r="E1657" s="25"/>
      <c r="H1657" s="24"/>
    </row>
    <row r="1658" spans="5:8" x14ac:dyDescent="0.25">
      <c r="E1658" s="25"/>
      <c r="H1658" s="24"/>
    </row>
    <row r="1659" spans="5:8" x14ac:dyDescent="0.25">
      <c r="E1659" s="25"/>
      <c r="H1659" s="24"/>
    </row>
    <row r="1660" spans="5:8" x14ac:dyDescent="0.25">
      <c r="E1660" s="25"/>
      <c r="H1660" s="24"/>
    </row>
    <row r="1661" spans="5:8" x14ac:dyDescent="0.25">
      <c r="E1661" s="25"/>
      <c r="H1661" s="24"/>
    </row>
    <row r="1662" spans="5:8" x14ac:dyDescent="0.25">
      <c r="E1662" s="25"/>
      <c r="H1662" s="24"/>
    </row>
    <row r="1663" spans="5:8" x14ac:dyDescent="0.25">
      <c r="E1663" s="25"/>
      <c r="H1663" s="24"/>
    </row>
    <row r="1664" spans="5:8" x14ac:dyDescent="0.25">
      <c r="E1664" s="25"/>
      <c r="H1664" s="24"/>
    </row>
    <row r="1665" spans="5:8" x14ac:dyDescent="0.25">
      <c r="E1665" s="25"/>
      <c r="H1665" s="24"/>
    </row>
    <row r="1666" spans="5:8" x14ac:dyDescent="0.25">
      <c r="E1666" s="25"/>
      <c r="H1666" s="24"/>
    </row>
    <row r="1667" spans="5:8" x14ac:dyDescent="0.25">
      <c r="E1667" s="25"/>
      <c r="H1667" s="24"/>
    </row>
    <row r="1668" spans="5:8" x14ac:dyDescent="0.25">
      <c r="E1668" s="25"/>
      <c r="H1668" s="24"/>
    </row>
    <row r="1669" spans="5:8" x14ac:dyDescent="0.25">
      <c r="E1669" s="25"/>
      <c r="H1669" s="24"/>
    </row>
    <row r="1670" spans="5:8" x14ac:dyDescent="0.25">
      <c r="E1670" s="25"/>
      <c r="H1670" s="24"/>
    </row>
    <row r="1671" spans="5:8" x14ac:dyDescent="0.25">
      <c r="E1671" s="25"/>
      <c r="H1671" s="24"/>
    </row>
    <row r="1672" spans="5:8" x14ac:dyDescent="0.25">
      <c r="E1672" s="25"/>
      <c r="H1672" s="24"/>
    </row>
    <row r="1673" spans="5:8" x14ac:dyDescent="0.25">
      <c r="E1673" s="25"/>
      <c r="H1673" s="24"/>
    </row>
    <row r="1674" spans="5:8" x14ac:dyDescent="0.25">
      <c r="E1674" s="25"/>
      <c r="H1674" s="24"/>
    </row>
    <row r="1675" spans="5:8" x14ac:dyDescent="0.25">
      <c r="E1675" s="25"/>
      <c r="H1675" s="24"/>
    </row>
    <row r="1676" spans="5:8" x14ac:dyDescent="0.25">
      <c r="E1676" s="25"/>
      <c r="H1676" s="24"/>
    </row>
    <row r="1677" spans="5:8" x14ac:dyDescent="0.25">
      <c r="E1677" s="25"/>
      <c r="H1677" s="24"/>
    </row>
    <row r="1678" spans="5:8" x14ac:dyDescent="0.25">
      <c r="E1678" s="25"/>
      <c r="H1678" s="24"/>
    </row>
    <row r="1679" spans="5:8" x14ac:dyDescent="0.25">
      <c r="E1679" s="25"/>
      <c r="H1679" s="24"/>
    </row>
    <row r="1680" spans="5:8" x14ac:dyDescent="0.25">
      <c r="E1680" s="25"/>
      <c r="H1680" s="24"/>
    </row>
    <row r="1681" spans="5:8" x14ac:dyDescent="0.25">
      <c r="E1681" s="25"/>
      <c r="H1681" s="24"/>
    </row>
    <row r="1682" spans="5:8" x14ac:dyDescent="0.25">
      <c r="E1682" s="25"/>
      <c r="H1682" s="24"/>
    </row>
    <row r="1683" spans="5:8" x14ac:dyDescent="0.25">
      <c r="E1683" s="25"/>
      <c r="H1683" s="24"/>
    </row>
    <row r="1684" spans="5:8" x14ac:dyDescent="0.25">
      <c r="E1684" s="25"/>
      <c r="H1684" s="24"/>
    </row>
    <row r="1685" spans="5:8" x14ac:dyDescent="0.25">
      <c r="E1685" s="25"/>
      <c r="H1685" s="24"/>
    </row>
    <row r="1686" spans="5:8" x14ac:dyDescent="0.25">
      <c r="E1686" s="25"/>
      <c r="H1686" s="24"/>
    </row>
    <row r="1687" spans="5:8" x14ac:dyDescent="0.25">
      <c r="E1687" s="25"/>
      <c r="H1687" s="24"/>
    </row>
    <row r="1688" spans="5:8" x14ac:dyDescent="0.25">
      <c r="E1688" s="25"/>
      <c r="H1688" s="24"/>
    </row>
    <row r="1689" spans="5:8" x14ac:dyDescent="0.25">
      <c r="E1689" s="25"/>
      <c r="H1689" s="24"/>
    </row>
    <row r="1690" spans="5:8" x14ac:dyDescent="0.25">
      <c r="E1690" s="25"/>
      <c r="H1690" s="24"/>
    </row>
    <row r="1691" spans="5:8" x14ac:dyDescent="0.25">
      <c r="E1691" s="25"/>
      <c r="H1691" s="24"/>
    </row>
    <row r="1692" spans="5:8" x14ac:dyDescent="0.25">
      <c r="E1692" s="25"/>
      <c r="H1692" s="24"/>
    </row>
    <row r="1693" spans="5:8" x14ac:dyDescent="0.25">
      <c r="E1693" s="25"/>
      <c r="H1693" s="24"/>
    </row>
    <row r="1694" spans="5:8" x14ac:dyDescent="0.25">
      <c r="E1694" s="25"/>
      <c r="H1694" s="24"/>
    </row>
    <row r="1695" spans="5:8" x14ac:dyDescent="0.25">
      <c r="E1695" s="25"/>
      <c r="H1695" s="24"/>
    </row>
    <row r="1696" spans="5:8" x14ac:dyDescent="0.25">
      <c r="E1696" s="25"/>
      <c r="H1696" s="24"/>
    </row>
    <row r="1697" spans="5:8" x14ac:dyDescent="0.25">
      <c r="E1697" s="25"/>
      <c r="H1697" s="24"/>
    </row>
    <row r="1698" spans="5:8" x14ac:dyDescent="0.25">
      <c r="E1698" s="25"/>
      <c r="H1698" s="24"/>
    </row>
    <row r="1699" spans="5:8" x14ac:dyDescent="0.25">
      <c r="E1699" s="25"/>
      <c r="H1699" s="24"/>
    </row>
    <row r="1700" spans="5:8" x14ac:dyDescent="0.25">
      <c r="E1700" s="25"/>
      <c r="H1700" s="24"/>
    </row>
    <row r="1701" spans="5:8" x14ac:dyDescent="0.25">
      <c r="E1701" s="25"/>
      <c r="H1701" s="24"/>
    </row>
    <row r="1702" spans="5:8" x14ac:dyDescent="0.25">
      <c r="E1702" s="25"/>
      <c r="H1702" s="24"/>
    </row>
    <row r="1703" spans="5:8" x14ac:dyDescent="0.25">
      <c r="E1703" s="25"/>
      <c r="H1703" s="24"/>
    </row>
    <row r="1704" spans="5:8" x14ac:dyDescent="0.25">
      <c r="E1704" s="25"/>
      <c r="H1704" s="24"/>
    </row>
    <row r="1705" spans="5:8" x14ac:dyDescent="0.25">
      <c r="E1705" s="25"/>
      <c r="H1705" s="24"/>
    </row>
    <row r="1706" spans="5:8" x14ac:dyDescent="0.25">
      <c r="E1706" s="25"/>
      <c r="H1706" s="24"/>
    </row>
    <row r="1707" spans="5:8" x14ac:dyDescent="0.25">
      <c r="E1707" s="25"/>
      <c r="H1707" s="24"/>
    </row>
    <row r="1708" spans="5:8" x14ac:dyDescent="0.25">
      <c r="E1708" s="25"/>
      <c r="H1708" s="24"/>
    </row>
    <row r="1709" spans="5:8" x14ac:dyDescent="0.25">
      <c r="E1709" s="25"/>
      <c r="H1709" s="24"/>
    </row>
    <row r="1710" spans="5:8" x14ac:dyDescent="0.25">
      <c r="E1710" s="25"/>
      <c r="H1710" s="24"/>
    </row>
    <row r="1711" spans="5:8" x14ac:dyDescent="0.25">
      <c r="E1711" s="25"/>
      <c r="H1711" s="24"/>
    </row>
    <row r="1712" spans="5:8" x14ac:dyDescent="0.25">
      <c r="E1712" s="25"/>
      <c r="H1712" s="24"/>
    </row>
    <row r="1713" spans="5:8" x14ac:dyDescent="0.25">
      <c r="E1713" s="25"/>
      <c r="H1713" s="24"/>
    </row>
    <row r="1714" spans="5:8" x14ac:dyDescent="0.25">
      <c r="E1714" s="25"/>
      <c r="H1714" s="24"/>
    </row>
    <row r="1715" spans="5:8" x14ac:dyDescent="0.25">
      <c r="E1715" s="25"/>
      <c r="H1715" s="24"/>
    </row>
    <row r="1716" spans="5:8" x14ac:dyDescent="0.25">
      <c r="E1716" s="25"/>
      <c r="H1716" s="24"/>
    </row>
    <row r="1717" spans="5:8" x14ac:dyDescent="0.25">
      <c r="E1717" s="25"/>
      <c r="H1717" s="24"/>
    </row>
    <row r="1718" spans="5:8" x14ac:dyDescent="0.25">
      <c r="E1718" s="25"/>
      <c r="H1718" s="24"/>
    </row>
    <row r="1719" spans="5:8" x14ac:dyDescent="0.25">
      <c r="E1719" s="25"/>
      <c r="H1719" s="24"/>
    </row>
    <row r="1720" spans="5:8" x14ac:dyDescent="0.25">
      <c r="E1720" s="25"/>
      <c r="H1720" s="24"/>
    </row>
    <row r="1721" spans="5:8" x14ac:dyDescent="0.25">
      <c r="E1721" s="25"/>
      <c r="H1721" s="24"/>
    </row>
    <row r="1722" spans="5:8" x14ac:dyDescent="0.25">
      <c r="E1722" s="25"/>
      <c r="H1722" s="24"/>
    </row>
    <row r="1723" spans="5:8" x14ac:dyDescent="0.25">
      <c r="E1723" s="25"/>
      <c r="H1723" s="24"/>
    </row>
    <row r="1724" spans="5:8" x14ac:dyDescent="0.25">
      <c r="E1724" s="25"/>
      <c r="H1724" s="24"/>
    </row>
    <row r="1725" spans="5:8" x14ac:dyDescent="0.25">
      <c r="E1725" s="25"/>
      <c r="H1725" s="24"/>
    </row>
    <row r="1726" spans="5:8" x14ac:dyDescent="0.25">
      <c r="E1726" s="25"/>
      <c r="H1726" s="24"/>
    </row>
    <row r="1727" spans="5:8" x14ac:dyDescent="0.25">
      <c r="E1727" s="25"/>
      <c r="H1727" s="24"/>
    </row>
    <row r="1728" spans="5:8" x14ac:dyDescent="0.25">
      <c r="E1728" s="25"/>
      <c r="H1728" s="24"/>
    </row>
    <row r="1729" spans="5:8" x14ac:dyDescent="0.25">
      <c r="E1729" s="25"/>
      <c r="H1729" s="24"/>
    </row>
    <row r="1730" spans="5:8" x14ac:dyDescent="0.25">
      <c r="E1730" s="25"/>
      <c r="H1730" s="24"/>
    </row>
    <row r="1731" spans="5:8" x14ac:dyDescent="0.25">
      <c r="E1731" s="25"/>
      <c r="H1731" s="24"/>
    </row>
    <row r="1732" spans="5:8" x14ac:dyDescent="0.25">
      <c r="E1732" s="25"/>
      <c r="H1732" s="24"/>
    </row>
    <row r="1733" spans="5:8" x14ac:dyDescent="0.25">
      <c r="E1733" s="25"/>
      <c r="H1733" s="24"/>
    </row>
    <row r="1734" spans="5:8" x14ac:dyDescent="0.25">
      <c r="E1734" s="25"/>
      <c r="H1734" s="24"/>
    </row>
    <row r="1735" spans="5:8" x14ac:dyDescent="0.25">
      <c r="E1735" s="25"/>
      <c r="H1735" s="24"/>
    </row>
    <row r="1736" spans="5:8" x14ac:dyDescent="0.25">
      <c r="E1736" s="25"/>
      <c r="H1736" s="24"/>
    </row>
    <row r="1737" spans="5:8" x14ac:dyDescent="0.25">
      <c r="E1737" s="25"/>
      <c r="H1737" s="24"/>
    </row>
    <row r="1738" spans="5:8" x14ac:dyDescent="0.25">
      <c r="E1738" s="25"/>
      <c r="H1738" s="24"/>
    </row>
    <row r="1739" spans="5:8" x14ac:dyDescent="0.25">
      <c r="E1739" s="25"/>
      <c r="H1739" s="24"/>
    </row>
    <row r="1740" spans="5:8" x14ac:dyDescent="0.25">
      <c r="E1740" s="25"/>
      <c r="H1740" s="24"/>
    </row>
    <row r="1741" spans="5:8" x14ac:dyDescent="0.25">
      <c r="E1741" s="25"/>
      <c r="H1741" s="24"/>
    </row>
    <row r="1742" spans="5:8" x14ac:dyDescent="0.25">
      <c r="E1742" s="25"/>
      <c r="H1742" s="24"/>
    </row>
    <row r="1743" spans="5:8" x14ac:dyDescent="0.25">
      <c r="E1743" s="25"/>
      <c r="H1743" s="24"/>
    </row>
    <row r="1744" spans="5:8" x14ac:dyDescent="0.25">
      <c r="E1744" s="25"/>
      <c r="H1744" s="24"/>
    </row>
    <row r="1745" spans="5:8" x14ac:dyDescent="0.25">
      <c r="E1745" s="25"/>
      <c r="H1745" s="24"/>
    </row>
    <row r="1746" spans="5:8" x14ac:dyDescent="0.25">
      <c r="E1746" s="25"/>
      <c r="H1746" s="24"/>
    </row>
    <row r="1747" spans="5:8" x14ac:dyDescent="0.25">
      <c r="E1747" s="25"/>
      <c r="H1747" s="24"/>
    </row>
    <row r="1748" spans="5:8" x14ac:dyDescent="0.25">
      <c r="E1748" s="25"/>
      <c r="H1748" s="24"/>
    </row>
    <row r="1749" spans="5:8" x14ac:dyDescent="0.25">
      <c r="E1749" s="25"/>
      <c r="H1749" s="24"/>
    </row>
    <row r="1750" spans="5:8" x14ac:dyDescent="0.25">
      <c r="E1750" s="25"/>
      <c r="H1750" s="24"/>
    </row>
    <row r="1751" spans="5:8" x14ac:dyDescent="0.25">
      <c r="E1751" s="25"/>
      <c r="H1751" s="24"/>
    </row>
    <row r="1752" spans="5:8" x14ac:dyDescent="0.25">
      <c r="E1752" s="25"/>
      <c r="H1752" s="24"/>
    </row>
    <row r="1753" spans="5:8" x14ac:dyDescent="0.25">
      <c r="E1753" s="25"/>
      <c r="H1753" s="24"/>
    </row>
    <row r="1754" spans="5:8" x14ac:dyDescent="0.25">
      <c r="E1754" s="25"/>
      <c r="H1754" s="24"/>
    </row>
    <row r="1755" spans="5:8" x14ac:dyDescent="0.25">
      <c r="E1755" s="25"/>
      <c r="H1755" s="24"/>
    </row>
    <row r="1756" spans="5:8" x14ac:dyDescent="0.25">
      <c r="E1756" s="25"/>
      <c r="H1756" s="24"/>
    </row>
    <row r="1757" spans="5:8" x14ac:dyDescent="0.25">
      <c r="E1757" s="25"/>
      <c r="H1757" s="24"/>
    </row>
    <row r="1758" spans="5:8" x14ac:dyDescent="0.25">
      <c r="E1758" s="25"/>
      <c r="H1758" s="24"/>
    </row>
    <row r="1759" spans="5:8" x14ac:dyDescent="0.25">
      <c r="E1759" s="25"/>
      <c r="H1759" s="24"/>
    </row>
    <row r="1760" spans="5:8" x14ac:dyDescent="0.25">
      <c r="E1760" s="25"/>
      <c r="H1760" s="24"/>
    </row>
    <row r="1761" spans="5:8" x14ac:dyDescent="0.25">
      <c r="E1761" s="25"/>
      <c r="H1761" s="24"/>
    </row>
    <row r="1762" spans="5:8" x14ac:dyDescent="0.25">
      <c r="E1762" s="25"/>
      <c r="H1762" s="24"/>
    </row>
    <row r="1763" spans="5:8" x14ac:dyDescent="0.25">
      <c r="E1763" s="25"/>
      <c r="H1763" s="24"/>
    </row>
    <row r="1764" spans="5:8" x14ac:dyDescent="0.25">
      <c r="E1764" s="25"/>
      <c r="H1764" s="24"/>
    </row>
    <row r="1765" spans="5:8" x14ac:dyDescent="0.25">
      <c r="E1765" s="25"/>
      <c r="H1765" s="24"/>
    </row>
    <row r="1766" spans="5:8" x14ac:dyDescent="0.25">
      <c r="E1766" s="25"/>
      <c r="H1766" s="24"/>
    </row>
    <row r="1767" spans="5:8" x14ac:dyDescent="0.25">
      <c r="E1767" s="25"/>
      <c r="H1767" s="24"/>
    </row>
    <row r="1768" spans="5:8" x14ac:dyDescent="0.25">
      <c r="E1768" s="25"/>
      <c r="H1768" s="24"/>
    </row>
    <row r="1769" spans="5:8" x14ac:dyDescent="0.25">
      <c r="E1769" s="25"/>
      <c r="H1769" s="24"/>
    </row>
    <row r="1770" spans="5:8" x14ac:dyDescent="0.25">
      <c r="E1770" s="25"/>
      <c r="H1770" s="24"/>
    </row>
    <row r="1771" spans="5:8" x14ac:dyDescent="0.25">
      <c r="E1771" s="25"/>
      <c r="H1771" s="24"/>
    </row>
    <row r="1772" spans="5:8" x14ac:dyDescent="0.25">
      <c r="E1772" s="25"/>
      <c r="H1772" s="24"/>
    </row>
    <row r="1773" spans="5:8" x14ac:dyDescent="0.25">
      <c r="E1773" s="25"/>
      <c r="H1773" s="24"/>
    </row>
    <row r="1774" spans="5:8" x14ac:dyDescent="0.25">
      <c r="E1774" s="25"/>
      <c r="H1774" s="24"/>
    </row>
    <row r="1775" spans="5:8" x14ac:dyDescent="0.25">
      <c r="E1775" s="25"/>
      <c r="H1775" s="24"/>
    </row>
    <row r="1776" spans="5:8" x14ac:dyDescent="0.25">
      <c r="E1776" s="25"/>
      <c r="H1776" s="24"/>
    </row>
    <row r="1777" spans="5:8" x14ac:dyDescent="0.25">
      <c r="E1777" s="25"/>
      <c r="H1777" s="24"/>
    </row>
    <row r="1778" spans="5:8" x14ac:dyDescent="0.25">
      <c r="E1778" s="25"/>
      <c r="H1778" s="24"/>
    </row>
    <row r="1779" spans="5:8" x14ac:dyDescent="0.25">
      <c r="E1779" s="25"/>
      <c r="H1779" s="24"/>
    </row>
    <row r="1780" spans="5:8" x14ac:dyDescent="0.25">
      <c r="E1780" s="25"/>
      <c r="H1780" s="24"/>
    </row>
    <row r="1781" spans="5:8" x14ac:dyDescent="0.25">
      <c r="E1781" s="25"/>
      <c r="H1781" s="24"/>
    </row>
    <row r="1782" spans="5:8" x14ac:dyDescent="0.25">
      <c r="E1782" s="25"/>
      <c r="H1782" s="24"/>
    </row>
    <row r="1783" spans="5:8" x14ac:dyDescent="0.25">
      <c r="E1783" s="25"/>
      <c r="H1783" s="24"/>
    </row>
    <row r="1784" spans="5:8" x14ac:dyDescent="0.25">
      <c r="E1784" s="25"/>
      <c r="H1784" s="24"/>
    </row>
    <row r="1785" spans="5:8" x14ac:dyDescent="0.25">
      <c r="E1785" s="25"/>
      <c r="H1785" s="24"/>
    </row>
    <row r="1786" spans="5:8" x14ac:dyDescent="0.25">
      <c r="E1786" s="25"/>
      <c r="H1786" s="24"/>
    </row>
    <row r="1787" spans="5:8" x14ac:dyDescent="0.25">
      <c r="E1787" s="25"/>
      <c r="H1787" s="24"/>
    </row>
    <row r="1788" spans="5:8" x14ac:dyDescent="0.25">
      <c r="E1788" s="25"/>
      <c r="H1788" s="24"/>
    </row>
    <row r="1789" spans="5:8" x14ac:dyDescent="0.25">
      <c r="E1789" s="25"/>
      <c r="H1789" s="24"/>
    </row>
    <row r="1790" spans="5:8" x14ac:dyDescent="0.25">
      <c r="E1790" s="25"/>
      <c r="H1790" s="24"/>
    </row>
    <row r="1791" spans="5:8" x14ac:dyDescent="0.25">
      <c r="E1791" s="25"/>
      <c r="H1791" s="24"/>
    </row>
    <row r="1792" spans="5:8" x14ac:dyDescent="0.25">
      <c r="E1792" s="25"/>
      <c r="H1792" s="24"/>
    </row>
    <row r="1793" spans="5:8" x14ac:dyDescent="0.25">
      <c r="E1793" s="25"/>
      <c r="H1793" s="24"/>
    </row>
    <row r="1794" spans="5:8" x14ac:dyDescent="0.25">
      <c r="E1794" s="25"/>
      <c r="H1794" s="24"/>
    </row>
    <row r="1795" spans="5:8" x14ac:dyDescent="0.25">
      <c r="E1795" s="25"/>
      <c r="H1795" s="24"/>
    </row>
    <row r="1796" spans="5:8" x14ac:dyDescent="0.25">
      <c r="E1796" s="25"/>
      <c r="H1796" s="24"/>
    </row>
    <row r="1797" spans="5:8" x14ac:dyDescent="0.25">
      <c r="E1797" s="25"/>
      <c r="H1797" s="24"/>
    </row>
    <row r="1798" spans="5:8" x14ac:dyDescent="0.25">
      <c r="E1798" s="25"/>
      <c r="H1798" s="24"/>
    </row>
    <row r="1799" spans="5:8" x14ac:dyDescent="0.25">
      <c r="E1799" s="25"/>
      <c r="H1799" s="24"/>
    </row>
    <row r="1800" spans="5:8" x14ac:dyDescent="0.25">
      <c r="E1800" s="25"/>
      <c r="H1800" s="24"/>
    </row>
    <row r="1801" spans="5:8" x14ac:dyDescent="0.25">
      <c r="E1801" s="25"/>
      <c r="H1801" s="24"/>
    </row>
    <row r="1802" spans="5:8" x14ac:dyDescent="0.25">
      <c r="E1802" s="25"/>
      <c r="H1802" s="24"/>
    </row>
    <row r="1803" spans="5:8" x14ac:dyDescent="0.25">
      <c r="E1803" s="25"/>
      <c r="H1803" s="24"/>
    </row>
    <row r="1804" spans="5:8" x14ac:dyDescent="0.25">
      <c r="E1804" s="25"/>
      <c r="H1804" s="24"/>
    </row>
    <row r="1805" spans="5:8" x14ac:dyDescent="0.25">
      <c r="E1805" s="25"/>
      <c r="H1805" s="24"/>
    </row>
    <row r="1806" spans="5:8" x14ac:dyDescent="0.25">
      <c r="E1806" s="25"/>
      <c r="H1806" s="24"/>
    </row>
    <row r="1807" spans="5:8" x14ac:dyDescent="0.25">
      <c r="E1807" s="25"/>
      <c r="H1807" s="24"/>
    </row>
    <row r="1808" spans="5:8" x14ac:dyDescent="0.25">
      <c r="E1808" s="25"/>
      <c r="H1808" s="24"/>
    </row>
    <row r="1809" spans="5:8" x14ac:dyDescent="0.25">
      <c r="E1809" s="25"/>
      <c r="H1809" s="24"/>
    </row>
    <row r="1810" spans="5:8" x14ac:dyDescent="0.25">
      <c r="E1810" s="25"/>
      <c r="H1810" s="24"/>
    </row>
    <row r="1811" spans="5:8" x14ac:dyDescent="0.25">
      <c r="E1811" s="25"/>
      <c r="H1811" s="24"/>
    </row>
    <row r="1812" spans="5:8" x14ac:dyDescent="0.25">
      <c r="E1812" s="25"/>
      <c r="H1812" s="24"/>
    </row>
    <row r="1813" spans="5:8" x14ac:dyDescent="0.25">
      <c r="E1813" s="25"/>
      <c r="H1813" s="24"/>
    </row>
    <row r="1814" spans="5:8" x14ac:dyDescent="0.25">
      <c r="E1814" s="25"/>
      <c r="H1814" s="24"/>
    </row>
    <row r="1815" spans="5:8" x14ac:dyDescent="0.25">
      <c r="E1815" s="25"/>
      <c r="H1815" s="24"/>
    </row>
    <row r="1816" spans="5:8" x14ac:dyDescent="0.25">
      <c r="E1816" s="25"/>
      <c r="H1816" s="24"/>
    </row>
    <row r="1817" spans="5:8" x14ac:dyDescent="0.25">
      <c r="E1817" s="25"/>
      <c r="H1817" s="24"/>
    </row>
    <row r="1818" spans="5:8" x14ac:dyDescent="0.25">
      <c r="E1818" s="25"/>
      <c r="H1818" s="24"/>
    </row>
    <row r="1819" spans="5:8" x14ac:dyDescent="0.25">
      <c r="E1819" s="25"/>
      <c r="H1819" s="24"/>
    </row>
    <row r="1820" spans="5:8" x14ac:dyDescent="0.25">
      <c r="E1820" s="25"/>
      <c r="H1820" s="24"/>
    </row>
    <row r="1821" spans="5:8" x14ac:dyDescent="0.25">
      <c r="E1821" s="25"/>
      <c r="H1821" s="24"/>
    </row>
    <row r="1822" spans="5:8" x14ac:dyDescent="0.25">
      <c r="E1822" s="25"/>
      <c r="H1822" s="24"/>
    </row>
    <row r="1823" spans="5:8" x14ac:dyDescent="0.25">
      <c r="E1823" s="25"/>
      <c r="H1823" s="24"/>
    </row>
    <row r="1824" spans="5:8" x14ac:dyDescent="0.25">
      <c r="E1824" s="25"/>
      <c r="H1824" s="24"/>
    </row>
    <row r="1825" spans="5:8" x14ac:dyDescent="0.25">
      <c r="E1825" s="25"/>
      <c r="H1825" s="24"/>
    </row>
    <row r="1826" spans="5:8" x14ac:dyDescent="0.25">
      <c r="E1826" s="25"/>
      <c r="H1826" s="24"/>
    </row>
    <row r="1827" spans="5:8" x14ac:dyDescent="0.25">
      <c r="E1827" s="25"/>
      <c r="H1827" s="24"/>
    </row>
    <row r="1828" spans="5:8" x14ac:dyDescent="0.25">
      <c r="E1828" s="25"/>
      <c r="H1828" s="24"/>
    </row>
    <row r="1829" spans="5:8" x14ac:dyDescent="0.25">
      <c r="E1829" s="25"/>
      <c r="H1829" s="24"/>
    </row>
    <row r="1830" spans="5:8" x14ac:dyDescent="0.25">
      <c r="E1830" s="25"/>
      <c r="H1830" s="24"/>
    </row>
    <row r="1831" spans="5:8" x14ac:dyDescent="0.25">
      <c r="E1831" s="25"/>
      <c r="H1831" s="24"/>
    </row>
    <row r="1832" spans="5:8" x14ac:dyDescent="0.25">
      <c r="E1832" s="25"/>
      <c r="H1832" s="24"/>
    </row>
    <row r="1833" spans="5:8" x14ac:dyDescent="0.25">
      <c r="E1833" s="25"/>
      <c r="H1833" s="24"/>
    </row>
    <row r="1834" spans="5:8" x14ac:dyDescent="0.25">
      <c r="E1834" s="25"/>
      <c r="H1834" s="24"/>
    </row>
    <row r="1835" spans="5:8" x14ac:dyDescent="0.25">
      <c r="E1835" s="25"/>
      <c r="H1835" s="24"/>
    </row>
    <row r="1836" spans="5:8" x14ac:dyDescent="0.25">
      <c r="E1836" s="25"/>
      <c r="H1836" s="24"/>
    </row>
    <row r="1837" spans="5:8" x14ac:dyDescent="0.25">
      <c r="E1837" s="25"/>
      <c r="H1837" s="24"/>
    </row>
    <row r="1838" spans="5:8" x14ac:dyDescent="0.25">
      <c r="E1838" s="25"/>
      <c r="H1838" s="24"/>
    </row>
    <row r="1839" spans="5:8" x14ac:dyDescent="0.25">
      <c r="E1839" s="25"/>
      <c r="H1839" s="24"/>
    </row>
    <row r="1840" spans="5:8" x14ac:dyDescent="0.25">
      <c r="E1840" s="25"/>
      <c r="H1840" s="24"/>
    </row>
    <row r="1841" spans="5:8" x14ac:dyDescent="0.25">
      <c r="E1841" s="25"/>
      <c r="H1841" s="24"/>
    </row>
    <row r="1842" spans="5:8" x14ac:dyDescent="0.25">
      <c r="E1842" s="25"/>
      <c r="H1842" s="24"/>
    </row>
    <row r="1843" spans="5:8" x14ac:dyDescent="0.25">
      <c r="E1843" s="25"/>
      <c r="H1843" s="24"/>
    </row>
    <row r="1844" spans="5:8" x14ac:dyDescent="0.25">
      <c r="E1844" s="25"/>
      <c r="H1844" s="24"/>
    </row>
    <row r="1845" spans="5:8" x14ac:dyDescent="0.25">
      <c r="E1845" s="25"/>
      <c r="H1845" s="24"/>
    </row>
    <row r="1846" spans="5:8" x14ac:dyDescent="0.25">
      <c r="E1846" s="25"/>
      <c r="H1846" s="24"/>
    </row>
    <row r="1847" spans="5:8" x14ac:dyDescent="0.25">
      <c r="E1847" s="25"/>
      <c r="H1847" s="24"/>
    </row>
    <row r="1848" spans="5:8" x14ac:dyDescent="0.25">
      <c r="E1848" s="25"/>
      <c r="H1848" s="24"/>
    </row>
    <row r="1849" spans="5:8" x14ac:dyDescent="0.25">
      <c r="E1849" s="25"/>
      <c r="H1849" s="24"/>
    </row>
    <row r="1850" spans="5:8" x14ac:dyDescent="0.25">
      <c r="E1850" s="25"/>
      <c r="H1850" s="24"/>
    </row>
    <row r="1851" spans="5:8" x14ac:dyDescent="0.25">
      <c r="E1851" s="25"/>
      <c r="H1851" s="24"/>
    </row>
    <row r="1852" spans="5:8" x14ac:dyDescent="0.25">
      <c r="E1852" s="25"/>
      <c r="H1852" s="24"/>
    </row>
    <row r="1853" spans="5:8" x14ac:dyDescent="0.25">
      <c r="E1853" s="25"/>
      <c r="H1853" s="24"/>
    </row>
    <row r="1854" spans="5:8" x14ac:dyDescent="0.25">
      <c r="E1854" s="25"/>
      <c r="H1854" s="24"/>
    </row>
    <row r="1855" spans="5:8" x14ac:dyDescent="0.25">
      <c r="E1855" s="25"/>
      <c r="H1855" s="24"/>
    </row>
    <row r="1856" spans="5:8" x14ac:dyDescent="0.25">
      <c r="E1856" s="25"/>
      <c r="H1856" s="24"/>
    </row>
    <row r="1857" spans="5:8" x14ac:dyDescent="0.25">
      <c r="E1857" s="25"/>
      <c r="H1857" s="24"/>
    </row>
    <row r="1858" spans="5:8" x14ac:dyDescent="0.25">
      <c r="E1858" s="25"/>
      <c r="H1858" s="24"/>
    </row>
    <row r="1859" spans="5:8" x14ac:dyDescent="0.25">
      <c r="E1859" s="25"/>
      <c r="H1859" s="24"/>
    </row>
    <row r="1860" spans="5:8" x14ac:dyDescent="0.25">
      <c r="E1860" s="25"/>
      <c r="H1860" s="24"/>
    </row>
    <row r="1861" spans="5:8" x14ac:dyDescent="0.25">
      <c r="E1861" s="25"/>
      <c r="H1861" s="24"/>
    </row>
    <row r="1862" spans="5:8" x14ac:dyDescent="0.25">
      <c r="E1862" s="25"/>
      <c r="H1862" s="24"/>
    </row>
    <row r="1863" spans="5:8" x14ac:dyDescent="0.25">
      <c r="E1863" s="25"/>
      <c r="H1863" s="24"/>
    </row>
    <row r="1864" spans="5:8" x14ac:dyDescent="0.25">
      <c r="E1864" s="25"/>
      <c r="H1864" s="24"/>
    </row>
    <row r="1865" spans="5:8" x14ac:dyDescent="0.25">
      <c r="E1865" s="25"/>
      <c r="H1865" s="24"/>
    </row>
    <row r="1866" spans="5:8" x14ac:dyDescent="0.25">
      <c r="E1866" s="25"/>
      <c r="H1866" s="24"/>
    </row>
    <row r="1867" spans="5:8" x14ac:dyDescent="0.25">
      <c r="E1867" s="25"/>
      <c r="H1867" s="24"/>
    </row>
    <row r="1868" spans="5:8" x14ac:dyDescent="0.25">
      <c r="E1868" s="25"/>
      <c r="H1868" s="24"/>
    </row>
    <row r="1869" spans="5:8" x14ac:dyDescent="0.25">
      <c r="E1869" s="25"/>
      <c r="H1869" s="24"/>
    </row>
    <row r="1870" spans="5:8" x14ac:dyDescent="0.25">
      <c r="E1870" s="25"/>
      <c r="H1870" s="24"/>
    </row>
    <row r="1871" spans="5:8" x14ac:dyDescent="0.25">
      <c r="E1871" s="25"/>
      <c r="H1871" s="24"/>
    </row>
    <row r="1872" spans="5:8" x14ac:dyDescent="0.25">
      <c r="E1872" s="25"/>
      <c r="H1872" s="24"/>
    </row>
    <row r="1873" spans="5:8" x14ac:dyDescent="0.25">
      <c r="E1873" s="25"/>
      <c r="H1873" s="24"/>
    </row>
    <row r="1874" spans="5:8" x14ac:dyDescent="0.25">
      <c r="E1874" s="25"/>
      <c r="H1874" s="24"/>
    </row>
    <row r="1875" spans="5:8" x14ac:dyDescent="0.25">
      <c r="E1875" s="25"/>
      <c r="H1875" s="24"/>
    </row>
    <row r="1876" spans="5:8" x14ac:dyDescent="0.25">
      <c r="E1876" s="25"/>
      <c r="H1876" s="24"/>
    </row>
    <row r="1877" spans="5:8" x14ac:dyDescent="0.25">
      <c r="E1877" s="25"/>
      <c r="H1877" s="24"/>
    </row>
    <row r="1878" spans="5:8" x14ac:dyDescent="0.25">
      <c r="E1878" s="25"/>
      <c r="H1878" s="24"/>
    </row>
    <row r="1879" spans="5:8" x14ac:dyDescent="0.25">
      <c r="E1879" s="25"/>
      <c r="H1879" s="24"/>
    </row>
    <row r="1880" spans="5:8" x14ac:dyDescent="0.25">
      <c r="E1880" s="25"/>
      <c r="H1880" s="24"/>
    </row>
    <row r="1881" spans="5:8" x14ac:dyDescent="0.25">
      <c r="E1881" s="25"/>
      <c r="H1881" s="24"/>
    </row>
    <row r="1882" spans="5:8" x14ac:dyDescent="0.25">
      <c r="E1882" s="25"/>
      <c r="H1882" s="24"/>
    </row>
    <row r="1883" spans="5:8" x14ac:dyDescent="0.25">
      <c r="E1883" s="25"/>
      <c r="H1883" s="24"/>
    </row>
    <row r="1884" spans="5:8" x14ac:dyDescent="0.25">
      <c r="E1884" s="25"/>
      <c r="H1884" s="24"/>
    </row>
    <row r="1885" spans="5:8" x14ac:dyDescent="0.25">
      <c r="E1885" s="25"/>
      <c r="H1885" s="24"/>
    </row>
    <row r="1886" spans="5:8" x14ac:dyDescent="0.25">
      <c r="E1886" s="25"/>
      <c r="H1886" s="24"/>
    </row>
    <row r="1887" spans="5:8" x14ac:dyDescent="0.25">
      <c r="E1887" s="25"/>
      <c r="H1887" s="24"/>
    </row>
    <row r="1888" spans="5:8" x14ac:dyDescent="0.25">
      <c r="E1888" s="25"/>
      <c r="H1888" s="24"/>
    </row>
    <row r="1889" spans="5:8" x14ac:dyDescent="0.25">
      <c r="E1889" s="25"/>
      <c r="H1889" s="24"/>
    </row>
    <row r="1890" spans="5:8" x14ac:dyDescent="0.25">
      <c r="E1890" s="25"/>
      <c r="H1890" s="24"/>
    </row>
    <row r="1891" spans="5:8" x14ac:dyDescent="0.25">
      <c r="E1891" s="25"/>
      <c r="H1891" s="24"/>
    </row>
    <row r="1892" spans="5:8" x14ac:dyDescent="0.25">
      <c r="E1892" s="25"/>
      <c r="H1892" s="24"/>
    </row>
    <row r="1893" spans="5:8" x14ac:dyDescent="0.25">
      <c r="E1893" s="25"/>
      <c r="H1893" s="24"/>
    </row>
    <row r="1894" spans="5:8" x14ac:dyDescent="0.25">
      <c r="E1894" s="25"/>
      <c r="H1894" s="24"/>
    </row>
    <row r="1895" spans="5:8" x14ac:dyDescent="0.25">
      <c r="E1895" s="25"/>
      <c r="H1895" s="24"/>
    </row>
    <row r="1896" spans="5:8" x14ac:dyDescent="0.25">
      <c r="E1896" s="25"/>
      <c r="H1896" s="24"/>
    </row>
    <row r="1897" spans="5:8" x14ac:dyDescent="0.25">
      <c r="E1897" s="25"/>
      <c r="H1897" s="24"/>
    </row>
    <row r="1898" spans="5:8" x14ac:dyDescent="0.25">
      <c r="E1898" s="25"/>
      <c r="H1898" s="24"/>
    </row>
    <row r="1899" spans="5:8" x14ac:dyDescent="0.25">
      <c r="E1899" s="25"/>
      <c r="H1899" s="24"/>
    </row>
    <row r="1900" spans="5:8" x14ac:dyDescent="0.25">
      <c r="E1900" s="25"/>
      <c r="H1900" s="24"/>
    </row>
    <row r="1901" spans="5:8" x14ac:dyDescent="0.25">
      <c r="E1901" s="25"/>
      <c r="H1901" s="24"/>
    </row>
    <row r="1902" spans="5:8" x14ac:dyDescent="0.25">
      <c r="E1902" s="25"/>
      <c r="H1902" s="24"/>
    </row>
    <row r="1903" spans="5:8" x14ac:dyDescent="0.25">
      <c r="E1903" s="25"/>
      <c r="H1903" s="24"/>
    </row>
    <row r="1904" spans="5:8" x14ac:dyDescent="0.25">
      <c r="E1904" s="25"/>
      <c r="H1904" s="24"/>
    </row>
    <row r="1905" spans="5:8" x14ac:dyDescent="0.25">
      <c r="E1905" s="25"/>
      <c r="H1905" s="24"/>
    </row>
    <row r="1906" spans="5:8" x14ac:dyDescent="0.25">
      <c r="E1906" s="25"/>
      <c r="H1906" s="24"/>
    </row>
    <row r="1907" spans="5:8" x14ac:dyDescent="0.25">
      <c r="E1907" s="25"/>
      <c r="H1907" s="24"/>
    </row>
    <row r="1908" spans="5:8" x14ac:dyDescent="0.25">
      <c r="E1908" s="25"/>
      <c r="H1908" s="24"/>
    </row>
    <row r="1909" spans="5:8" x14ac:dyDescent="0.25">
      <c r="E1909" s="25"/>
      <c r="H1909" s="24"/>
    </row>
    <row r="1910" spans="5:8" x14ac:dyDescent="0.25">
      <c r="E1910" s="25"/>
      <c r="H1910" s="24"/>
    </row>
    <row r="1911" spans="5:8" x14ac:dyDescent="0.25">
      <c r="E1911" s="25"/>
      <c r="H1911" s="24"/>
    </row>
    <row r="1912" spans="5:8" x14ac:dyDescent="0.25">
      <c r="E1912" s="25"/>
      <c r="H1912" s="24"/>
    </row>
    <row r="1913" spans="5:8" x14ac:dyDescent="0.25">
      <c r="E1913" s="25"/>
      <c r="H1913" s="24"/>
    </row>
    <row r="1914" spans="5:8" x14ac:dyDescent="0.25">
      <c r="E1914" s="25"/>
      <c r="H1914" s="24"/>
    </row>
    <row r="1915" spans="5:8" x14ac:dyDescent="0.25">
      <c r="E1915" s="25"/>
      <c r="H1915" s="24"/>
    </row>
    <row r="1916" spans="5:8" x14ac:dyDescent="0.25">
      <c r="E1916" s="25"/>
      <c r="H1916" s="24"/>
    </row>
    <row r="1917" spans="5:8" x14ac:dyDescent="0.25">
      <c r="E1917" s="25"/>
      <c r="H1917" s="24"/>
    </row>
    <row r="1918" spans="5:8" x14ac:dyDescent="0.25">
      <c r="E1918" s="25"/>
      <c r="H1918" s="24"/>
    </row>
    <row r="1919" spans="5:8" x14ac:dyDescent="0.25">
      <c r="E1919" s="25"/>
      <c r="H1919" s="24"/>
    </row>
    <row r="1920" spans="5:8" x14ac:dyDescent="0.25">
      <c r="E1920" s="25"/>
      <c r="H1920" s="24"/>
    </row>
    <row r="1921" spans="5:8" x14ac:dyDescent="0.25">
      <c r="E1921" s="25"/>
      <c r="H1921" s="24"/>
    </row>
    <row r="1922" spans="5:8" x14ac:dyDescent="0.25">
      <c r="E1922" s="25"/>
      <c r="H1922" s="24"/>
    </row>
    <row r="1923" spans="5:8" x14ac:dyDescent="0.25">
      <c r="E1923" s="25"/>
      <c r="H1923" s="24"/>
    </row>
    <row r="1924" spans="5:8" x14ac:dyDescent="0.25">
      <c r="E1924" s="25"/>
      <c r="H1924" s="24"/>
    </row>
    <row r="1925" spans="5:8" x14ac:dyDescent="0.25">
      <c r="E1925" s="25"/>
      <c r="H1925" s="24"/>
    </row>
    <row r="1926" spans="5:8" x14ac:dyDescent="0.25">
      <c r="E1926" s="25"/>
      <c r="H1926" s="24"/>
    </row>
    <row r="1927" spans="5:8" x14ac:dyDescent="0.25">
      <c r="E1927" s="25"/>
      <c r="H1927" s="24"/>
    </row>
    <row r="1928" spans="5:8" x14ac:dyDescent="0.25">
      <c r="E1928" s="25"/>
      <c r="H1928" s="24"/>
    </row>
    <row r="1929" spans="5:8" x14ac:dyDescent="0.25">
      <c r="E1929" s="25"/>
      <c r="H1929" s="24"/>
    </row>
    <row r="1930" spans="5:8" x14ac:dyDescent="0.25">
      <c r="E1930" s="25"/>
      <c r="H1930" s="24"/>
    </row>
    <row r="1931" spans="5:8" x14ac:dyDescent="0.25">
      <c r="E1931" s="25"/>
      <c r="H1931" s="24"/>
    </row>
    <row r="1932" spans="5:8" x14ac:dyDescent="0.25">
      <c r="E1932" s="25"/>
      <c r="H1932" s="24"/>
    </row>
    <row r="1933" spans="5:8" x14ac:dyDescent="0.25">
      <c r="E1933" s="25"/>
      <c r="H1933" s="24"/>
    </row>
    <row r="1934" spans="5:8" x14ac:dyDescent="0.25">
      <c r="E1934" s="25"/>
      <c r="H1934" s="24"/>
    </row>
    <row r="1935" spans="5:8" x14ac:dyDescent="0.25">
      <c r="E1935" s="25"/>
      <c r="H1935" s="24"/>
    </row>
    <row r="1936" spans="5:8" x14ac:dyDescent="0.25">
      <c r="E1936" s="25"/>
      <c r="H1936" s="24"/>
    </row>
    <row r="1937" spans="5:8" x14ac:dyDescent="0.25">
      <c r="E1937" s="25"/>
      <c r="H1937" s="24"/>
    </row>
    <row r="1938" spans="5:8" x14ac:dyDescent="0.25">
      <c r="E1938" s="25"/>
      <c r="H1938" s="24"/>
    </row>
    <row r="1939" spans="5:8" x14ac:dyDescent="0.25">
      <c r="E1939" s="25"/>
      <c r="H1939" s="24"/>
    </row>
    <row r="1940" spans="5:8" x14ac:dyDescent="0.25">
      <c r="E1940" s="25"/>
      <c r="H1940" s="24"/>
    </row>
    <row r="1941" spans="5:8" x14ac:dyDescent="0.25">
      <c r="E1941" s="25"/>
      <c r="H1941" s="24"/>
    </row>
    <row r="1942" spans="5:8" x14ac:dyDescent="0.25">
      <c r="E1942" s="25"/>
      <c r="H1942" s="24"/>
    </row>
    <row r="1943" spans="5:8" x14ac:dyDescent="0.25">
      <c r="E1943" s="25"/>
      <c r="H1943" s="24"/>
    </row>
    <row r="1944" spans="5:8" x14ac:dyDescent="0.25">
      <c r="E1944" s="25"/>
      <c r="H1944" s="24"/>
    </row>
    <row r="1945" spans="5:8" x14ac:dyDescent="0.25">
      <c r="E1945" s="25"/>
      <c r="H1945" s="24"/>
    </row>
    <row r="1946" spans="5:8" x14ac:dyDescent="0.25">
      <c r="E1946" s="25"/>
      <c r="H1946" s="24"/>
    </row>
    <row r="1947" spans="5:8" x14ac:dyDescent="0.25">
      <c r="E1947" s="25"/>
      <c r="H1947" s="24"/>
    </row>
    <row r="1948" spans="5:8" x14ac:dyDescent="0.25">
      <c r="E1948" s="25"/>
      <c r="H1948" s="24"/>
    </row>
    <row r="1949" spans="5:8" x14ac:dyDescent="0.25">
      <c r="E1949" s="25"/>
      <c r="H1949" s="24"/>
    </row>
    <row r="1950" spans="5:8" x14ac:dyDescent="0.25">
      <c r="E1950" s="25"/>
      <c r="H1950" s="24"/>
    </row>
    <row r="1951" spans="5:8" x14ac:dyDescent="0.25">
      <c r="E1951" s="25"/>
      <c r="H1951" s="24"/>
    </row>
    <row r="1952" spans="5:8" x14ac:dyDescent="0.25">
      <c r="E1952" s="25"/>
      <c r="H1952" s="24"/>
    </row>
    <row r="1953" spans="5:8" x14ac:dyDescent="0.25">
      <c r="E1953" s="25"/>
      <c r="H1953" s="24"/>
    </row>
    <row r="1954" spans="5:8" x14ac:dyDescent="0.25">
      <c r="E1954" s="25"/>
      <c r="H1954" s="24"/>
    </row>
    <row r="1955" spans="5:8" x14ac:dyDescent="0.25">
      <c r="E1955" s="25"/>
      <c r="H1955" s="24"/>
    </row>
    <row r="1956" spans="5:8" x14ac:dyDescent="0.25">
      <c r="E1956" s="25"/>
      <c r="H1956" s="24"/>
    </row>
    <row r="1957" spans="5:8" x14ac:dyDescent="0.25">
      <c r="E1957" s="25"/>
      <c r="H1957" s="24"/>
    </row>
    <row r="1958" spans="5:8" x14ac:dyDescent="0.25">
      <c r="E1958" s="25"/>
      <c r="H1958" s="24"/>
    </row>
    <row r="1959" spans="5:8" x14ac:dyDescent="0.25">
      <c r="E1959" s="25"/>
      <c r="H1959" s="24"/>
    </row>
    <row r="1960" spans="5:8" x14ac:dyDescent="0.25">
      <c r="E1960" s="25"/>
      <c r="H1960" s="24"/>
    </row>
    <row r="1961" spans="5:8" x14ac:dyDescent="0.25">
      <c r="E1961" s="25"/>
      <c r="H1961" s="24"/>
    </row>
    <row r="1962" spans="5:8" x14ac:dyDescent="0.25">
      <c r="E1962" s="25"/>
      <c r="H1962" s="24"/>
    </row>
    <row r="1963" spans="5:8" x14ac:dyDescent="0.25">
      <c r="E1963" s="25"/>
      <c r="H1963" s="24"/>
    </row>
    <row r="1964" spans="5:8" x14ac:dyDescent="0.25">
      <c r="E1964" s="25"/>
      <c r="H1964" s="24"/>
    </row>
    <row r="1965" spans="5:8" x14ac:dyDescent="0.25">
      <c r="E1965" s="25"/>
      <c r="H1965" s="24"/>
    </row>
    <row r="1966" spans="5:8" x14ac:dyDescent="0.25">
      <c r="E1966" s="25"/>
      <c r="H1966" s="24"/>
    </row>
    <row r="1967" spans="5:8" x14ac:dyDescent="0.25">
      <c r="E1967" s="25"/>
      <c r="H1967" s="24"/>
    </row>
    <row r="1968" spans="5:8" x14ac:dyDescent="0.25">
      <c r="E1968" s="25"/>
      <c r="H1968" s="24"/>
    </row>
    <row r="1969" spans="5:8" x14ac:dyDescent="0.25">
      <c r="E1969" s="25"/>
      <c r="H1969" s="24"/>
    </row>
    <row r="1970" spans="5:8" x14ac:dyDescent="0.25">
      <c r="E1970" s="25"/>
      <c r="H1970" s="24"/>
    </row>
    <row r="1971" spans="5:8" x14ac:dyDescent="0.25">
      <c r="E1971" s="25"/>
      <c r="H1971" s="24"/>
    </row>
    <row r="1972" spans="5:8" x14ac:dyDescent="0.25">
      <c r="E1972" s="25"/>
      <c r="H1972" s="24"/>
    </row>
    <row r="1973" spans="5:8" x14ac:dyDescent="0.25">
      <c r="E1973" s="25"/>
      <c r="H1973" s="24"/>
    </row>
    <row r="1974" spans="5:8" x14ac:dyDescent="0.25">
      <c r="E1974" s="25"/>
      <c r="H1974" s="24"/>
    </row>
    <row r="1975" spans="5:8" x14ac:dyDescent="0.25">
      <c r="E1975" s="25"/>
      <c r="H1975" s="24"/>
    </row>
    <row r="1976" spans="5:8" x14ac:dyDescent="0.25">
      <c r="E1976" s="25"/>
      <c r="H1976" s="24"/>
    </row>
    <row r="1977" spans="5:8" x14ac:dyDescent="0.25">
      <c r="E1977" s="25"/>
      <c r="H1977" s="24"/>
    </row>
    <row r="1978" spans="5:8" x14ac:dyDescent="0.25">
      <c r="E1978" s="25"/>
      <c r="H1978" s="24"/>
    </row>
    <row r="1979" spans="5:8" x14ac:dyDescent="0.25">
      <c r="E1979" s="25"/>
      <c r="H1979" s="24"/>
    </row>
    <row r="1980" spans="5:8" x14ac:dyDescent="0.25">
      <c r="E1980" s="25"/>
      <c r="H1980" s="24"/>
    </row>
    <row r="1981" spans="5:8" x14ac:dyDescent="0.25">
      <c r="E1981" s="25"/>
      <c r="H1981" s="24"/>
    </row>
    <row r="1982" spans="5:8" x14ac:dyDescent="0.25">
      <c r="E1982" s="25"/>
      <c r="H1982" s="24"/>
    </row>
    <row r="1983" spans="5:8" x14ac:dyDescent="0.25">
      <c r="E1983" s="25"/>
      <c r="H1983" s="24"/>
    </row>
    <row r="1984" spans="5:8" x14ac:dyDescent="0.25">
      <c r="E1984" s="25"/>
      <c r="H1984" s="24"/>
    </row>
    <row r="1985" spans="5:8" x14ac:dyDescent="0.25">
      <c r="E1985" s="25"/>
      <c r="H1985" s="24"/>
    </row>
    <row r="1986" spans="5:8" x14ac:dyDescent="0.25">
      <c r="E1986" s="25"/>
      <c r="H1986" s="24"/>
    </row>
    <row r="1987" spans="5:8" x14ac:dyDescent="0.25">
      <c r="E1987" s="25"/>
      <c r="H1987" s="24"/>
    </row>
    <row r="1988" spans="5:8" x14ac:dyDescent="0.25">
      <c r="E1988" s="25"/>
      <c r="H1988" s="24"/>
    </row>
    <row r="1989" spans="5:8" x14ac:dyDescent="0.25">
      <c r="E1989" s="25"/>
      <c r="H1989" s="24"/>
    </row>
    <row r="1990" spans="5:8" x14ac:dyDescent="0.25">
      <c r="E1990" s="25"/>
      <c r="H1990" s="24"/>
    </row>
    <row r="1991" spans="5:8" x14ac:dyDescent="0.25">
      <c r="E1991" s="25"/>
      <c r="H1991" s="24"/>
    </row>
    <row r="1992" spans="5:8" x14ac:dyDescent="0.25">
      <c r="E1992" s="25"/>
      <c r="H1992" s="24"/>
    </row>
    <row r="1993" spans="5:8" x14ac:dyDescent="0.25">
      <c r="E1993" s="25"/>
      <c r="H1993" s="24"/>
    </row>
    <row r="1994" spans="5:8" x14ac:dyDescent="0.25">
      <c r="E1994" s="25"/>
      <c r="H1994" s="24"/>
    </row>
    <row r="1995" spans="5:8" x14ac:dyDescent="0.25">
      <c r="E1995" s="25"/>
      <c r="H1995" s="24"/>
    </row>
    <row r="1996" spans="5:8" x14ac:dyDescent="0.25">
      <c r="E1996" s="25"/>
      <c r="H1996" s="24"/>
    </row>
    <row r="1997" spans="5:8" x14ac:dyDescent="0.25">
      <c r="E1997" s="25"/>
      <c r="H1997" s="24"/>
    </row>
    <row r="1998" spans="5:8" x14ac:dyDescent="0.25">
      <c r="E1998" s="25"/>
      <c r="H1998" s="24"/>
    </row>
    <row r="1999" spans="5:8" x14ac:dyDescent="0.25">
      <c r="E1999" s="25"/>
      <c r="H1999" s="24"/>
    </row>
    <row r="2000" spans="5:8" x14ac:dyDescent="0.25">
      <c r="E2000" s="25"/>
      <c r="H2000" s="24"/>
    </row>
    <row r="2001" spans="5:8" x14ac:dyDescent="0.25">
      <c r="E2001" s="25"/>
      <c r="H2001" s="24"/>
    </row>
    <row r="2002" spans="5:8" x14ac:dyDescent="0.25">
      <c r="E2002" s="25"/>
      <c r="H2002" s="24"/>
    </row>
    <row r="2003" spans="5:8" x14ac:dyDescent="0.25">
      <c r="E2003" s="25"/>
      <c r="H2003" s="24"/>
    </row>
    <row r="2004" spans="5:8" x14ac:dyDescent="0.25">
      <c r="E2004" s="25"/>
      <c r="H2004" s="24"/>
    </row>
    <row r="2005" spans="5:8" x14ac:dyDescent="0.25">
      <c r="E2005" s="25"/>
      <c r="H2005" s="24"/>
    </row>
    <row r="2006" spans="5:8" x14ac:dyDescent="0.25">
      <c r="E2006" s="25"/>
      <c r="H2006" s="24"/>
    </row>
    <row r="2007" spans="5:8" x14ac:dyDescent="0.25">
      <c r="E2007" s="25"/>
      <c r="H2007" s="24"/>
    </row>
    <row r="2008" spans="5:8" x14ac:dyDescent="0.25">
      <c r="E2008" s="25"/>
      <c r="H2008" s="24"/>
    </row>
    <row r="2009" spans="5:8" x14ac:dyDescent="0.25">
      <c r="E2009" s="25"/>
      <c r="H2009" s="24"/>
    </row>
    <row r="2010" spans="5:8" x14ac:dyDescent="0.25">
      <c r="E2010" s="25"/>
      <c r="H2010" s="24"/>
    </row>
    <row r="2011" spans="5:8" x14ac:dyDescent="0.25">
      <c r="E2011" s="25"/>
      <c r="H2011" s="24"/>
    </row>
    <row r="2012" spans="5:8" x14ac:dyDescent="0.25">
      <c r="E2012" s="25"/>
      <c r="H2012" s="24"/>
    </row>
    <row r="2013" spans="5:8" x14ac:dyDescent="0.25">
      <c r="E2013" s="25"/>
      <c r="H2013" s="24"/>
    </row>
    <row r="2014" spans="5:8" x14ac:dyDescent="0.25">
      <c r="E2014" s="25"/>
      <c r="H2014" s="24"/>
    </row>
    <row r="2015" spans="5:8" x14ac:dyDescent="0.25">
      <c r="E2015" s="25"/>
      <c r="H2015" s="24"/>
    </row>
    <row r="2016" spans="5:8" x14ac:dyDescent="0.25">
      <c r="E2016" s="25"/>
      <c r="H2016" s="24"/>
    </row>
    <row r="2017" spans="5:8" x14ac:dyDescent="0.25">
      <c r="E2017" s="25"/>
      <c r="H2017" s="24"/>
    </row>
    <row r="2018" spans="5:8" x14ac:dyDescent="0.25">
      <c r="E2018" s="25"/>
      <c r="H2018" s="24"/>
    </row>
    <row r="2019" spans="5:8" x14ac:dyDescent="0.25">
      <c r="E2019" s="25"/>
      <c r="H2019" s="24"/>
    </row>
    <row r="2020" spans="5:8" x14ac:dyDescent="0.25">
      <c r="E2020" s="25"/>
      <c r="H2020" s="24"/>
    </row>
    <row r="2021" spans="5:8" x14ac:dyDescent="0.25">
      <c r="E2021" s="25"/>
      <c r="H2021" s="24"/>
    </row>
    <row r="2022" spans="5:8" x14ac:dyDescent="0.25">
      <c r="E2022" s="25"/>
      <c r="H2022" s="24"/>
    </row>
    <row r="2023" spans="5:8" x14ac:dyDescent="0.25">
      <c r="E2023" s="25"/>
      <c r="H2023" s="24"/>
    </row>
    <row r="2024" spans="5:8" x14ac:dyDescent="0.25">
      <c r="E2024" s="25"/>
      <c r="H2024" s="24"/>
    </row>
    <row r="2025" spans="5:8" x14ac:dyDescent="0.25">
      <c r="E2025" s="25"/>
      <c r="H2025" s="24"/>
    </row>
    <row r="2026" spans="5:8" x14ac:dyDescent="0.25">
      <c r="E2026" s="25"/>
      <c r="H2026" s="24"/>
    </row>
    <row r="2027" spans="5:8" x14ac:dyDescent="0.25">
      <c r="E2027" s="25"/>
      <c r="H2027" s="24"/>
    </row>
    <row r="2028" spans="5:8" x14ac:dyDescent="0.25">
      <c r="E2028" s="25"/>
      <c r="H2028" s="24"/>
    </row>
    <row r="2029" spans="5:8" x14ac:dyDescent="0.25">
      <c r="E2029" s="25"/>
      <c r="H2029" s="24"/>
    </row>
    <row r="2030" spans="5:8" x14ac:dyDescent="0.25">
      <c r="E2030" s="25"/>
      <c r="H2030" s="24"/>
    </row>
    <row r="2031" spans="5:8" x14ac:dyDescent="0.25">
      <c r="E2031" s="25"/>
      <c r="H2031" s="24"/>
    </row>
    <row r="2032" spans="5:8" x14ac:dyDescent="0.25">
      <c r="E2032" s="25"/>
      <c r="H2032" s="24"/>
    </row>
    <row r="2033" spans="5:8" x14ac:dyDescent="0.25">
      <c r="E2033" s="25"/>
      <c r="H2033" s="24"/>
    </row>
    <row r="2034" spans="5:8" x14ac:dyDescent="0.25">
      <c r="E2034" s="25"/>
      <c r="H2034" s="24"/>
    </row>
    <row r="2035" spans="5:8" x14ac:dyDescent="0.25">
      <c r="E2035" s="25"/>
      <c r="H2035" s="24"/>
    </row>
    <row r="2036" spans="5:8" x14ac:dyDescent="0.25">
      <c r="E2036" s="25"/>
      <c r="H2036" s="24"/>
    </row>
    <row r="2037" spans="5:8" x14ac:dyDescent="0.25">
      <c r="E2037" s="25"/>
      <c r="H2037" s="24"/>
    </row>
    <row r="2038" spans="5:8" x14ac:dyDescent="0.25">
      <c r="E2038" s="25"/>
      <c r="H2038" s="24"/>
    </row>
    <row r="2039" spans="5:8" x14ac:dyDescent="0.25">
      <c r="E2039" s="25"/>
      <c r="H2039" s="24"/>
    </row>
    <row r="2040" spans="5:8" x14ac:dyDescent="0.25">
      <c r="E2040" s="25"/>
      <c r="H2040" s="24"/>
    </row>
    <row r="2041" spans="5:8" x14ac:dyDescent="0.25">
      <c r="E2041" s="25"/>
      <c r="H2041" s="24"/>
    </row>
    <row r="2042" spans="5:8" x14ac:dyDescent="0.25">
      <c r="E2042" s="25"/>
      <c r="H2042" s="24"/>
    </row>
    <row r="2043" spans="5:8" x14ac:dyDescent="0.25">
      <c r="E2043" s="25"/>
      <c r="H2043" s="24"/>
    </row>
    <row r="2044" spans="5:8" x14ac:dyDescent="0.25">
      <c r="E2044" s="25"/>
      <c r="H2044" s="24"/>
    </row>
    <row r="2045" spans="5:8" x14ac:dyDescent="0.25">
      <c r="E2045" s="25"/>
      <c r="H2045" s="24"/>
    </row>
    <row r="2046" spans="5:8" x14ac:dyDescent="0.25">
      <c r="E2046" s="25"/>
      <c r="H2046" s="24"/>
    </row>
    <row r="2047" spans="5:8" x14ac:dyDescent="0.25">
      <c r="E2047" s="25"/>
      <c r="H2047" s="24"/>
    </row>
    <row r="2048" spans="5:8" x14ac:dyDescent="0.25">
      <c r="E2048" s="25"/>
      <c r="H2048" s="24"/>
    </row>
    <row r="2049" spans="5:8" x14ac:dyDescent="0.25">
      <c r="E2049" s="25"/>
      <c r="H2049" s="24"/>
    </row>
    <row r="2050" spans="5:8" x14ac:dyDescent="0.25">
      <c r="E2050" s="25"/>
      <c r="H2050" s="24"/>
    </row>
    <row r="2051" spans="5:8" x14ac:dyDescent="0.25">
      <c r="E2051" s="25"/>
      <c r="H2051" s="24"/>
    </row>
    <row r="2052" spans="5:8" x14ac:dyDescent="0.25">
      <c r="E2052" s="25"/>
      <c r="H2052" s="24"/>
    </row>
    <row r="2053" spans="5:8" x14ac:dyDescent="0.25">
      <c r="E2053" s="25"/>
      <c r="H2053" s="24"/>
    </row>
    <row r="2054" spans="5:8" x14ac:dyDescent="0.25">
      <c r="E2054" s="25"/>
      <c r="H2054" s="24"/>
    </row>
    <row r="2055" spans="5:8" x14ac:dyDescent="0.25">
      <c r="E2055" s="25"/>
      <c r="H2055" s="24"/>
    </row>
    <row r="2056" spans="5:8" x14ac:dyDescent="0.25">
      <c r="E2056" s="25"/>
      <c r="H2056" s="24"/>
    </row>
    <row r="2057" spans="5:8" x14ac:dyDescent="0.25">
      <c r="E2057" s="25"/>
      <c r="H2057" s="24"/>
    </row>
    <row r="2058" spans="5:8" x14ac:dyDescent="0.25">
      <c r="E2058" s="25"/>
      <c r="H2058" s="24"/>
    </row>
    <row r="2059" spans="5:8" x14ac:dyDescent="0.25">
      <c r="E2059" s="25"/>
      <c r="H2059" s="24"/>
    </row>
    <row r="2060" spans="5:8" x14ac:dyDescent="0.25">
      <c r="E2060" s="25"/>
      <c r="H2060" s="24"/>
    </row>
    <row r="2061" spans="5:8" x14ac:dyDescent="0.25">
      <c r="E2061" s="25"/>
      <c r="H2061" s="24"/>
    </row>
    <row r="2062" spans="5:8" x14ac:dyDescent="0.25">
      <c r="E2062" s="25"/>
      <c r="H2062" s="24"/>
    </row>
    <row r="2063" spans="5:8" x14ac:dyDescent="0.25">
      <c r="E2063" s="25"/>
      <c r="H2063" s="24"/>
    </row>
    <row r="2064" spans="5:8" x14ac:dyDescent="0.25">
      <c r="E2064" s="25"/>
      <c r="H2064" s="24"/>
    </row>
    <row r="2065" spans="5:8" x14ac:dyDescent="0.25">
      <c r="E2065" s="25"/>
      <c r="H2065" s="24"/>
    </row>
    <row r="2066" spans="5:8" x14ac:dyDescent="0.25">
      <c r="E2066" s="25"/>
      <c r="H2066" s="24"/>
    </row>
    <row r="2067" spans="5:8" x14ac:dyDescent="0.25">
      <c r="E2067" s="25"/>
      <c r="H2067" s="24"/>
    </row>
    <row r="2068" spans="5:8" x14ac:dyDescent="0.25">
      <c r="E2068" s="25"/>
      <c r="H2068" s="24"/>
    </row>
    <row r="2069" spans="5:8" x14ac:dyDescent="0.25">
      <c r="E2069" s="25"/>
      <c r="H2069" s="24"/>
    </row>
    <row r="2070" spans="5:8" x14ac:dyDescent="0.25">
      <c r="E2070" s="25"/>
      <c r="H2070" s="24"/>
    </row>
    <row r="2071" spans="5:8" x14ac:dyDescent="0.25">
      <c r="E2071" s="25"/>
      <c r="H2071" s="24"/>
    </row>
    <row r="2072" spans="5:8" x14ac:dyDescent="0.25">
      <c r="E2072" s="25"/>
      <c r="H2072" s="24"/>
    </row>
    <row r="2073" spans="5:8" x14ac:dyDescent="0.25">
      <c r="E2073" s="25"/>
      <c r="H2073" s="24"/>
    </row>
    <row r="2074" spans="5:8" x14ac:dyDescent="0.25">
      <c r="E2074" s="25"/>
      <c r="H2074" s="24"/>
    </row>
    <row r="2075" spans="5:8" x14ac:dyDescent="0.25">
      <c r="E2075" s="25"/>
      <c r="H2075" s="24"/>
    </row>
    <row r="2076" spans="5:8" x14ac:dyDescent="0.25">
      <c r="E2076" s="25"/>
      <c r="H2076" s="24"/>
    </row>
    <row r="2077" spans="5:8" x14ac:dyDescent="0.25">
      <c r="E2077" s="25"/>
      <c r="H2077" s="24"/>
    </row>
    <row r="2078" spans="5:8" x14ac:dyDescent="0.25">
      <c r="E2078" s="25"/>
      <c r="H2078" s="24"/>
    </row>
    <row r="2079" spans="5:8" x14ac:dyDescent="0.25">
      <c r="E2079" s="25"/>
      <c r="H2079" s="24"/>
    </row>
    <row r="2080" spans="5:8" x14ac:dyDescent="0.25">
      <c r="E2080" s="25"/>
      <c r="H2080" s="24"/>
    </row>
    <row r="2081" spans="5:8" x14ac:dyDescent="0.25">
      <c r="E2081" s="25"/>
      <c r="H2081" s="24"/>
    </row>
    <row r="2082" spans="5:8" x14ac:dyDescent="0.25">
      <c r="E2082" s="25"/>
      <c r="H2082" s="24"/>
    </row>
    <row r="2083" spans="5:8" x14ac:dyDescent="0.25">
      <c r="E2083" s="25"/>
      <c r="H2083" s="24"/>
    </row>
    <row r="2084" spans="5:8" x14ac:dyDescent="0.25">
      <c r="E2084" s="25"/>
      <c r="H2084" s="24"/>
    </row>
    <row r="2085" spans="5:8" x14ac:dyDescent="0.25">
      <c r="E2085" s="25"/>
      <c r="H2085" s="24"/>
    </row>
    <row r="2086" spans="5:8" x14ac:dyDescent="0.25">
      <c r="E2086" s="25"/>
      <c r="H2086" s="24"/>
    </row>
    <row r="2087" spans="5:8" x14ac:dyDescent="0.25">
      <c r="E2087" s="25"/>
      <c r="H2087" s="24"/>
    </row>
    <row r="2088" spans="5:8" x14ac:dyDescent="0.25">
      <c r="E2088" s="25"/>
      <c r="H2088" s="24"/>
    </row>
    <row r="2089" spans="5:8" x14ac:dyDescent="0.25">
      <c r="E2089" s="25"/>
      <c r="H2089" s="24"/>
    </row>
    <row r="2090" spans="5:8" x14ac:dyDescent="0.25">
      <c r="E2090" s="25"/>
      <c r="H2090" s="24"/>
    </row>
    <row r="2091" spans="5:8" x14ac:dyDescent="0.25">
      <c r="E2091" s="25"/>
      <c r="H2091" s="24"/>
    </row>
    <row r="2092" spans="5:8" x14ac:dyDescent="0.25">
      <c r="E2092" s="25"/>
      <c r="H2092" s="24"/>
    </row>
    <row r="2093" spans="5:8" x14ac:dyDescent="0.25">
      <c r="E2093" s="25"/>
      <c r="H2093" s="24"/>
    </row>
    <row r="2094" spans="5:8" x14ac:dyDescent="0.25">
      <c r="E2094" s="25"/>
      <c r="H2094" s="24"/>
    </row>
    <row r="2095" spans="5:8" x14ac:dyDescent="0.25">
      <c r="E2095" s="25"/>
      <c r="H2095" s="24"/>
    </row>
    <row r="2096" spans="5:8" x14ac:dyDescent="0.25">
      <c r="E2096" s="25"/>
      <c r="H2096" s="24"/>
    </row>
    <row r="2097" spans="5:8" x14ac:dyDescent="0.25">
      <c r="E2097" s="25"/>
      <c r="H2097" s="24"/>
    </row>
    <row r="2098" spans="5:8" x14ac:dyDescent="0.25">
      <c r="E2098" s="25"/>
      <c r="H2098" s="24"/>
    </row>
    <row r="2099" spans="5:8" x14ac:dyDescent="0.25">
      <c r="E2099" s="25"/>
      <c r="H2099" s="24"/>
    </row>
    <row r="2100" spans="5:8" x14ac:dyDescent="0.25">
      <c r="E2100" s="25"/>
      <c r="H2100" s="24"/>
    </row>
    <row r="2101" spans="5:8" x14ac:dyDescent="0.25">
      <c r="E2101" s="25"/>
      <c r="H2101" s="24"/>
    </row>
    <row r="2102" spans="5:8" x14ac:dyDescent="0.25">
      <c r="E2102" s="25"/>
      <c r="H2102" s="24"/>
    </row>
    <row r="2103" spans="5:8" x14ac:dyDescent="0.25">
      <c r="E2103" s="25"/>
      <c r="H2103" s="24"/>
    </row>
    <row r="2104" spans="5:8" x14ac:dyDescent="0.25">
      <c r="E2104" s="25"/>
      <c r="H2104" s="24"/>
    </row>
    <row r="2105" spans="5:8" x14ac:dyDescent="0.25">
      <c r="E2105" s="25"/>
      <c r="H2105" s="24"/>
    </row>
    <row r="2106" spans="5:8" x14ac:dyDescent="0.25">
      <c r="E2106" s="25"/>
      <c r="H2106" s="24"/>
    </row>
    <row r="2107" spans="5:8" x14ac:dyDescent="0.25">
      <c r="E2107" s="25"/>
      <c r="H2107" s="24"/>
    </row>
    <row r="2108" spans="5:8" x14ac:dyDescent="0.25">
      <c r="E2108" s="25"/>
      <c r="H2108" s="24"/>
    </row>
    <row r="2109" spans="5:8" x14ac:dyDescent="0.25">
      <c r="E2109" s="25"/>
      <c r="H2109" s="24"/>
    </row>
    <row r="2110" spans="5:8" x14ac:dyDescent="0.25">
      <c r="E2110" s="25"/>
      <c r="H2110" s="24"/>
    </row>
    <row r="2111" spans="5:8" x14ac:dyDescent="0.25">
      <c r="E2111" s="25"/>
      <c r="H2111" s="24"/>
    </row>
    <row r="2112" spans="5:8" x14ac:dyDescent="0.25">
      <c r="E2112" s="25"/>
      <c r="H2112" s="24"/>
    </row>
    <row r="2113" spans="5:8" x14ac:dyDescent="0.25">
      <c r="E2113" s="25"/>
      <c r="H2113" s="24"/>
    </row>
    <row r="2114" spans="5:8" x14ac:dyDescent="0.25">
      <c r="E2114" s="25"/>
      <c r="H2114" s="24"/>
    </row>
    <row r="2115" spans="5:8" x14ac:dyDescent="0.25">
      <c r="E2115" s="25"/>
      <c r="H2115" s="24"/>
    </row>
    <row r="2116" spans="5:8" x14ac:dyDescent="0.25">
      <c r="E2116" s="25"/>
      <c r="H2116" s="24"/>
    </row>
    <row r="2117" spans="5:8" x14ac:dyDescent="0.25">
      <c r="E2117" s="25"/>
      <c r="H2117" s="24"/>
    </row>
    <row r="2118" spans="5:8" x14ac:dyDescent="0.25">
      <c r="E2118" s="25"/>
      <c r="H2118" s="24"/>
    </row>
    <row r="2119" spans="5:8" x14ac:dyDescent="0.25">
      <c r="E2119" s="25"/>
      <c r="H2119" s="24"/>
    </row>
    <row r="2120" spans="5:8" x14ac:dyDescent="0.25">
      <c r="E2120" s="25"/>
      <c r="H2120" s="24"/>
    </row>
    <row r="2121" spans="5:8" x14ac:dyDescent="0.25">
      <c r="E2121" s="25"/>
      <c r="H2121" s="24"/>
    </row>
    <row r="2122" spans="5:8" x14ac:dyDescent="0.25">
      <c r="E2122" s="25"/>
      <c r="H2122" s="24"/>
    </row>
    <row r="2123" spans="5:8" x14ac:dyDescent="0.25">
      <c r="E2123" s="25"/>
      <c r="H2123" s="24"/>
    </row>
    <row r="2124" spans="5:8" x14ac:dyDescent="0.25">
      <c r="E2124" s="25"/>
      <c r="H2124" s="24"/>
    </row>
    <row r="2125" spans="5:8" x14ac:dyDescent="0.25">
      <c r="E2125" s="25"/>
      <c r="H2125" s="24"/>
    </row>
    <row r="2126" spans="5:8" x14ac:dyDescent="0.25">
      <c r="E2126" s="25"/>
      <c r="H2126" s="24"/>
    </row>
    <row r="2127" spans="5:8" x14ac:dyDescent="0.25">
      <c r="E2127" s="25"/>
      <c r="H2127" s="24"/>
    </row>
    <row r="2128" spans="5:8" x14ac:dyDescent="0.25">
      <c r="E2128" s="25"/>
      <c r="H2128" s="24"/>
    </row>
    <row r="2129" spans="5:8" x14ac:dyDescent="0.25">
      <c r="E2129" s="25"/>
      <c r="H2129" s="24"/>
    </row>
    <row r="2130" spans="5:8" x14ac:dyDescent="0.25">
      <c r="E2130" s="25"/>
      <c r="H2130" s="24"/>
    </row>
    <row r="2131" spans="5:8" x14ac:dyDescent="0.25">
      <c r="E2131" s="25"/>
      <c r="H2131" s="24"/>
    </row>
    <row r="2132" spans="5:8" x14ac:dyDescent="0.25">
      <c r="E2132" s="25"/>
      <c r="H2132" s="24"/>
    </row>
    <row r="2133" spans="5:8" x14ac:dyDescent="0.25">
      <c r="E2133" s="25"/>
      <c r="H2133" s="24"/>
    </row>
    <row r="2134" spans="5:8" x14ac:dyDescent="0.25">
      <c r="E2134" s="25"/>
      <c r="H2134" s="24"/>
    </row>
    <row r="2135" spans="5:8" x14ac:dyDescent="0.25">
      <c r="E2135" s="25"/>
      <c r="H2135" s="24"/>
    </row>
    <row r="2136" spans="5:8" x14ac:dyDescent="0.25">
      <c r="E2136" s="25"/>
      <c r="H2136" s="24"/>
    </row>
    <row r="2137" spans="5:8" x14ac:dyDescent="0.25">
      <c r="E2137" s="25"/>
      <c r="H2137" s="24"/>
    </row>
    <row r="2138" spans="5:8" x14ac:dyDescent="0.25">
      <c r="E2138" s="25"/>
      <c r="H2138" s="24"/>
    </row>
    <row r="2139" spans="5:8" x14ac:dyDescent="0.25">
      <c r="E2139" s="25"/>
      <c r="H2139" s="24"/>
    </row>
    <row r="2140" spans="5:8" x14ac:dyDescent="0.25">
      <c r="E2140" s="25"/>
      <c r="H2140" s="24"/>
    </row>
    <row r="2141" spans="5:8" x14ac:dyDescent="0.25">
      <c r="E2141" s="25"/>
      <c r="H2141" s="24"/>
    </row>
    <row r="2142" spans="5:8" x14ac:dyDescent="0.25">
      <c r="E2142" s="25"/>
      <c r="H2142" s="24"/>
    </row>
    <row r="2143" spans="5:8" x14ac:dyDescent="0.25">
      <c r="E2143" s="25"/>
      <c r="H2143" s="24"/>
    </row>
    <row r="2144" spans="5:8" x14ac:dyDescent="0.25">
      <c r="E2144" s="25"/>
      <c r="H2144" s="24"/>
    </row>
    <row r="2145" spans="5:8" x14ac:dyDescent="0.25">
      <c r="E2145" s="25"/>
      <c r="H2145" s="24"/>
    </row>
    <row r="2146" spans="5:8" x14ac:dyDescent="0.25">
      <c r="E2146" s="25"/>
      <c r="H2146" s="24"/>
    </row>
    <row r="2147" spans="5:8" x14ac:dyDescent="0.25">
      <c r="E2147" s="25"/>
      <c r="H2147" s="24"/>
    </row>
    <row r="2148" spans="5:8" x14ac:dyDescent="0.25">
      <c r="E2148" s="25"/>
      <c r="H2148" s="24"/>
    </row>
    <row r="2149" spans="5:8" x14ac:dyDescent="0.25">
      <c r="E2149" s="25"/>
      <c r="H2149" s="24"/>
    </row>
    <row r="2150" spans="5:8" x14ac:dyDescent="0.25">
      <c r="E2150" s="25"/>
      <c r="H2150" s="24"/>
    </row>
    <row r="2151" spans="5:8" x14ac:dyDescent="0.25">
      <c r="E2151" s="25"/>
      <c r="H2151" s="24"/>
    </row>
    <row r="2152" spans="5:8" x14ac:dyDescent="0.25">
      <c r="E2152" s="25"/>
      <c r="H2152" s="24"/>
    </row>
    <row r="2153" spans="5:8" x14ac:dyDescent="0.25">
      <c r="E2153" s="25"/>
      <c r="H2153" s="24"/>
    </row>
    <row r="2154" spans="5:8" x14ac:dyDescent="0.25">
      <c r="E2154" s="25"/>
      <c r="H2154" s="24"/>
    </row>
    <row r="2155" spans="5:8" x14ac:dyDescent="0.25">
      <c r="E2155" s="25"/>
      <c r="H2155" s="24"/>
    </row>
    <row r="2156" spans="5:8" x14ac:dyDescent="0.25">
      <c r="E2156" s="25"/>
      <c r="H2156" s="24"/>
    </row>
    <row r="2157" spans="5:8" x14ac:dyDescent="0.25">
      <c r="E2157" s="25"/>
      <c r="H2157" s="24"/>
    </row>
    <row r="2158" spans="5:8" x14ac:dyDescent="0.25">
      <c r="E2158" s="25"/>
      <c r="H2158" s="24"/>
    </row>
    <row r="2159" spans="5:8" x14ac:dyDescent="0.25">
      <c r="E2159" s="25"/>
      <c r="H2159" s="24"/>
    </row>
    <row r="2160" spans="5:8" x14ac:dyDescent="0.25">
      <c r="E2160" s="25"/>
      <c r="H2160" s="24"/>
    </row>
    <row r="2161" spans="5:8" x14ac:dyDescent="0.25">
      <c r="E2161" s="25"/>
      <c r="H2161" s="24"/>
    </row>
    <row r="2162" spans="5:8" x14ac:dyDescent="0.25">
      <c r="E2162" s="25"/>
      <c r="H2162" s="24"/>
    </row>
    <row r="2163" spans="5:8" x14ac:dyDescent="0.25">
      <c r="E2163" s="25"/>
      <c r="H2163" s="24"/>
    </row>
    <row r="2164" spans="5:8" x14ac:dyDescent="0.25">
      <c r="E2164" s="25"/>
      <c r="H2164" s="24"/>
    </row>
    <row r="2165" spans="5:8" x14ac:dyDescent="0.25">
      <c r="E2165" s="25"/>
      <c r="H2165" s="24"/>
    </row>
    <row r="2166" spans="5:8" x14ac:dyDescent="0.25">
      <c r="E2166" s="25"/>
      <c r="H2166" s="24"/>
    </row>
    <row r="2167" spans="5:8" x14ac:dyDescent="0.25">
      <c r="E2167" s="25"/>
      <c r="H2167" s="24"/>
    </row>
    <row r="2168" spans="5:8" x14ac:dyDescent="0.25">
      <c r="E2168" s="25"/>
      <c r="H2168" s="24"/>
    </row>
    <row r="2169" spans="5:8" x14ac:dyDescent="0.25">
      <c r="E2169" s="25"/>
      <c r="H2169" s="24"/>
    </row>
    <row r="2170" spans="5:8" x14ac:dyDescent="0.25">
      <c r="E2170" s="25"/>
      <c r="H2170" s="24"/>
    </row>
    <row r="2171" spans="5:8" x14ac:dyDescent="0.25">
      <c r="E2171" s="25"/>
      <c r="H2171" s="24"/>
    </row>
    <row r="2172" spans="5:8" x14ac:dyDescent="0.25">
      <c r="E2172" s="25"/>
      <c r="H2172" s="24"/>
    </row>
    <row r="2173" spans="5:8" x14ac:dyDescent="0.25">
      <c r="E2173" s="25"/>
      <c r="H2173" s="24"/>
    </row>
    <row r="2174" spans="5:8" x14ac:dyDescent="0.25">
      <c r="E2174" s="25"/>
      <c r="H2174" s="24"/>
    </row>
    <row r="2175" spans="5:8" x14ac:dyDescent="0.25">
      <c r="E2175" s="25"/>
      <c r="H2175" s="24"/>
    </row>
    <row r="2176" spans="5:8" x14ac:dyDescent="0.25">
      <c r="E2176" s="25"/>
      <c r="H2176" s="24"/>
    </row>
    <row r="2177" spans="5:8" x14ac:dyDescent="0.25">
      <c r="E2177" s="25"/>
      <c r="H2177" s="24"/>
    </row>
    <row r="2178" spans="5:8" x14ac:dyDescent="0.25">
      <c r="E2178" s="25"/>
      <c r="H2178" s="24"/>
    </row>
    <row r="2179" spans="5:8" x14ac:dyDescent="0.25">
      <c r="E2179" s="25"/>
      <c r="H2179" s="24"/>
    </row>
    <row r="2180" spans="5:8" x14ac:dyDescent="0.25">
      <c r="E2180" s="25"/>
      <c r="H2180" s="24"/>
    </row>
    <row r="2181" spans="5:8" x14ac:dyDescent="0.25">
      <c r="E2181" s="25"/>
      <c r="H2181" s="24"/>
    </row>
    <row r="2182" spans="5:8" x14ac:dyDescent="0.25">
      <c r="E2182" s="25"/>
      <c r="H2182" s="24"/>
    </row>
    <row r="2183" spans="5:8" x14ac:dyDescent="0.25">
      <c r="E2183" s="25"/>
      <c r="H2183" s="24"/>
    </row>
    <row r="2184" spans="5:8" x14ac:dyDescent="0.25">
      <c r="E2184" s="25"/>
      <c r="H2184" s="24"/>
    </row>
    <row r="2185" spans="5:8" x14ac:dyDescent="0.25">
      <c r="E2185" s="25"/>
      <c r="H2185" s="24"/>
    </row>
    <row r="2186" spans="5:8" x14ac:dyDescent="0.25">
      <c r="E2186" s="25"/>
      <c r="H2186" s="24"/>
    </row>
    <row r="2187" spans="5:8" x14ac:dyDescent="0.25">
      <c r="E2187" s="25"/>
      <c r="H2187" s="24"/>
    </row>
    <row r="2188" spans="5:8" x14ac:dyDescent="0.25">
      <c r="E2188" s="25"/>
      <c r="H2188" s="24"/>
    </row>
    <row r="2189" spans="5:8" x14ac:dyDescent="0.25">
      <c r="E2189" s="25"/>
      <c r="H2189" s="24"/>
    </row>
    <row r="2190" spans="5:8" x14ac:dyDescent="0.25">
      <c r="E2190" s="25"/>
      <c r="H2190" s="24"/>
    </row>
    <row r="2191" spans="5:8" x14ac:dyDescent="0.25">
      <c r="E2191" s="25"/>
      <c r="H2191" s="24"/>
    </row>
    <row r="2192" spans="5:8" x14ac:dyDescent="0.25">
      <c r="E2192" s="25"/>
      <c r="H2192" s="24"/>
    </row>
    <row r="2193" spans="5:8" x14ac:dyDescent="0.25">
      <c r="E2193" s="25"/>
      <c r="H2193" s="24"/>
    </row>
    <row r="2194" spans="5:8" x14ac:dyDescent="0.25">
      <c r="E2194" s="25"/>
      <c r="H2194" s="24"/>
    </row>
    <row r="2195" spans="5:8" x14ac:dyDescent="0.25">
      <c r="E2195" s="25"/>
      <c r="H2195" s="24"/>
    </row>
    <row r="2196" spans="5:8" x14ac:dyDescent="0.25">
      <c r="E2196" s="25"/>
      <c r="H2196" s="24"/>
    </row>
    <row r="2197" spans="5:8" x14ac:dyDescent="0.25">
      <c r="E2197" s="25"/>
      <c r="H2197" s="24"/>
    </row>
    <row r="2198" spans="5:8" x14ac:dyDescent="0.25">
      <c r="E2198" s="25"/>
      <c r="H2198" s="24"/>
    </row>
    <row r="2199" spans="5:8" x14ac:dyDescent="0.25">
      <c r="E2199" s="25"/>
      <c r="H2199" s="24"/>
    </row>
    <row r="2200" spans="5:8" x14ac:dyDescent="0.25">
      <c r="E2200" s="25"/>
      <c r="H2200" s="24"/>
    </row>
    <row r="2201" spans="5:8" x14ac:dyDescent="0.25">
      <c r="E2201" s="25"/>
      <c r="H2201" s="24"/>
    </row>
    <row r="2202" spans="5:8" x14ac:dyDescent="0.25">
      <c r="E2202" s="25"/>
      <c r="H2202" s="24"/>
    </row>
    <row r="2203" spans="5:8" x14ac:dyDescent="0.25">
      <c r="E2203" s="25"/>
      <c r="H2203" s="24"/>
    </row>
    <row r="2204" spans="5:8" x14ac:dyDescent="0.25">
      <c r="E2204" s="25"/>
      <c r="H2204" s="24"/>
    </row>
    <row r="2205" spans="5:8" x14ac:dyDescent="0.25">
      <c r="E2205" s="25"/>
      <c r="H2205" s="24"/>
    </row>
    <row r="2206" spans="5:8" x14ac:dyDescent="0.25">
      <c r="E2206" s="25"/>
      <c r="H2206" s="24"/>
    </row>
    <row r="2207" spans="5:8" x14ac:dyDescent="0.25">
      <c r="E2207" s="25"/>
      <c r="H2207" s="24"/>
    </row>
    <row r="2208" spans="5:8" x14ac:dyDescent="0.25">
      <c r="E2208" s="25"/>
      <c r="H2208" s="24"/>
    </row>
    <row r="2209" spans="5:8" x14ac:dyDescent="0.25">
      <c r="E2209" s="25"/>
      <c r="H2209" s="24"/>
    </row>
    <row r="2210" spans="5:8" x14ac:dyDescent="0.25">
      <c r="E2210" s="25"/>
      <c r="H2210" s="24"/>
    </row>
    <row r="2211" spans="5:8" x14ac:dyDescent="0.25">
      <c r="E2211" s="25"/>
      <c r="H2211" s="24"/>
    </row>
    <row r="2212" spans="5:8" x14ac:dyDescent="0.25">
      <c r="E2212" s="25"/>
      <c r="H2212" s="24"/>
    </row>
    <row r="2213" spans="5:8" x14ac:dyDescent="0.25">
      <c r="E2213" s="25"/>
      <c r="H2213" s="24"/>
    </row>
    <row r="2214" spans="5:8" x14ac:dyDescent="0.25">
      <c r="E2214" s="25"/>
      <c r="H2214" s="24"/>
    </row>
    <row r="2215" spans="5:8" x14ac:dyDescent="0.25">
      <c r="E2215" s="25"/>
      <c r="H2215" s="24"/>
    </row>
    <row r="2216" spans="5:8" x14ac:dyDescent="0.25">
      <c r="E2216" s="25"/>
      <c r="H2216" s="24"/>
    </row>
    <row r="2217" spans="5:8" x14ac:dyDescent="0.25">
      <c r="E2217" s="25"/>
      <c r="H2217" s="24"/>
    </row>
    <row r="2218" spans="5:8" x14ac:dyDescent="0.25">
      <c r="E2218" s="25"/>
      <c r="H2218" s="24"/>
    </row>
    <row r="2219" spans="5:8" x14ac:dyDescent="0.25">
      <c r="E2219" s="25"/>
      <c r="H2219" s="24"/>
    </row>
    <row r="2220" spans="5:8" x14ac:dyDescent="0.25">
      <c r="E2220" s="25"/>
      <c r="H2220" s="24"/>
    </row>
    <row r="2221" spans="5:8" x14ac:dyDescent="0.25">
      <c r="E2221" s="25"/>
      <c r="H2221" s="24"/>
    </row>
    <row r="2222" spans="5:8" x14ac:dyDescent="0.25">
      <c r="E2222" s="25"/>
      <c r="H2222" s="24"/>
    </row>
    <row r="2223" spans="5:8" x14ac:dyDescent="0.25">
      <c r="E2223" s="25"/>
      <c r="H2223" s="24"/>
    </row>
    <row r="2224" spans="5:8" x14ac:dyDescent="0.25">
      <c r="E2224" s="25"/>
    </row>
    <row r="2225" spans="5:5" x14ac:dyDescent="0.25">
      <c r="E2225" s="25"/>
    </row>
    <row r="2226" spans="5:5" x14ac:dyDescent="0.25">
      <c r="E2226" s="25"/>
    </row>
    <row r="2227" spans="5:5" x14ac:dyDescent="0.25">
      <c r="E2227" s="25"/>
    </row>
    <row r="2228" spans="5:5" x14ac:dyDescent="0.25">
      <c r="E2228" s="25"/>
    </row>
    <row r="2229" spans="5:5" x14ac:dyDescent="0.25">
      <c r="E2229" s="25"/>
    </row>
    <row r="2230" spans="5:5" x14ac:dyDescent="0.25">
      <c r="E2230" s="25"/>
    </row>
    <row r="2231" spans="5:5" x14ac:dyDescent="0.25">
      <c r="E2231" s="25"/>
    </row>
    <row r="2232" spans="5:5" x14ac:dyDescent="0.25">
      <c r="E2232" s="25"/>
    </row>
    <row r="2233" spans="5:5" x14ac:dyDescent="0.25">
      <c r="E2233" s="25"/>
    </row>
    <row r="2234" spans="5:5" x14ac:dyDescent="0.25">
      <c r="E2234" s="25"/>
    </row>
    <row r="2235" spans="5:5" x14ac:dyDescent="0.25">
      <c r="E2235" s="25"/>
    </row>
    <row r="2236" spans="5:5" x14ac:dyDescent="0.25">
      <c r="E2236" s="25"/>
    </row>
    <row r="2237" spans="5:5" x14ac:dyDescent="0.25">
      <c r="E2237" s="25"/>
    </row>
    <row r="2238" spans="5:5" x14ac:dyDescent="0.25">
      <c r="E2238" s="25"/>
    </row>
    <row r="2239" spans="5:5" x14ac:dyDescent="0.25">
      <c r="E2239" s="25"/>
    </row>
    <row r="2240" spans="5:5" x14ac:dyDescent="0.25">
      <c r="E2240" s="25"/>
    </row>
    <row r="2241" spans="5:5" x14ac:dyDescent="0.25">
      <c r="E2241" s="25"/>
    </row>
    <row r="2242" spans="5:5" x14ac:dyDescent="0.25">
      <c r="E2242" s="25"/>
    </row>
    <row r="2243" spans="5:5" x14ac:dyDescent="0.25">
      <c r="E2243" s="25"/>
    </row>
    <row r="2244" spans="5:5" x14ac:dyDescent="0.25">
      <c r="E2244" s="25"/>
    </row>
    <row r="2245" spans="5:5" x14ac:dyDescent="0.25">
      <c r="E2245" s="25"/>
    </row>
    <row r="2246" spans="5:5" x14ac:dyDescent="0.25">
      <c r="E2246" s="25"/>
    </row>
    <row r="2247" spans="5:5" x14ac:dyDescent="0.25">
      <c r="E2247" s="25"/>
    </row>
    <row r="2248" spans="5:5" x14ac:dyDescent="0.25">
      <c r="E2248" s="25"/>
    </row>
    <row r="2249" spans="5:5" x14ac:dyDescent="0.25">
      <c r="E2249" s="25"/>
    </row>
    <row r="2250" spans="5:5" x14ac:dyDescent="0.25">
      <c r="E2250" s="25"/>
    </row>
    <row r="2251" spans="5:5" x14ac:dyDescent="0.25">
      <c r="E2251" s="25"/>
    </row>
    <row r="2252" spans="5:5" x14ac:dyDescent="0.25">
      <c r="E2252" s="25"/>
    </row>
    <row r="2253" spans="5:5" x14ac:dyDescent="0.25">
      <c r="E2253" s="25"/>
    </row>
    <row r="2254" spans="5:5" x14ac:dyDescent="0.25">
      <c r="E2254" s="25"/>
    </row>
    <row r="2255" spans="5:5" x14ac:dyDescent="0.25">
      <c r="E2255" s="25"/>
    </row>
    <row r="2256" spans="5:5" x14ac:dyDescent="0.25">
      <c r="E2256" s="25"/>
    </row>
    <row r="2257" spans="5:5" x14ac:dyDescent="0.25">
      <c r="E2257" s="25"/>
    </row>
    <row r="2258" spans="5:5" x14ac:dyDescent="0.25">
      <c r="E2258" s="25"/>
    </row>
    <row r="2259" spans="5:5" x14ac:dyDescent="0.25">
      <c r="E2259" s="25"/>
    </row>
    <row r="2260" spans="5:5" x14ac:dyDescent="0.25">
      <c r="E2260" s="25"/>
    </row>
    <row r="2261" spans="5:5" x14ac:dyDescent="0.25">
      <c r="E2261" s="25"/>
    </row>
    <row r="2262" spans="5:5" x14ac:dyDescent="0.25">
      <c r="E2262" s="25"/>
    </row>
    <row r="2263" spans="5:5" x14ac:dyDescent="0.25">
      <c r="E2263" s="25"/>
    </row>
    <row r="2264" spans="5:5" x14ac:dyDescent="0.25">
      <c r="E2264" s="25"/>
    </row>
    <row r="2265" spans="5:5" x14ac:dyDescent="0.25">
      <c r="E2265" s="25"/>
    </row>
    <row r="2266" spans="5:5" x14ac:dyDescent="0.25">
      <c r="E2266" s="25"/>
    </row>
    <row r="2267" spans="5:5" x14ac:dyDescent="0.25">
      <c r="E2267" s="25"/>
    </row>
    <row r="2268" spans="5:5" x14ac:dyDescent="0.25">
      <c r="E2268" s="25"/>
    </row>
    <row r="2269" spans="5:5" x14ac:dyDescent="0.25">
      <c r="E2269" s="25"/>
    </row>
    <row r="2270" spans="5:5" x14ac:dyDescent="0.25">
      <c r="E2270" s="25"/>
    </row>
    <row r="2271" spans="5:5" x14ac:dyDescent="0.25">
      <c r="E2271" s="25"/>
    </row>
    <row r="2272" spans="5:5" x14ac:dyDescent="0.25">
      <c r="E2272" s="25"/>
    </row>
    <row r="2273" spans="5:5" x14ac:dyDescent="0.25">
      <c r="E2273" s="25"/>
    </row>
    <row r="2274" spans="5:5" x14ac:dyDescent="0.25">
      <c r="E2274" s="25"/>
    </row>
    <row r="2275" spans="5:5" x14ac:dyDescent="0.25">
      <c r="E2275" s="25"/>
    </row>
    <row r="2276" spans="5:5" x14ac:dyDescent="0.25">
      <c r="E2276" s="25"/>
    </row>
    <row r="2277" spans="5:5" x14ac:dyDescent="0.25">
      <c r="E2277" s="25"/>
    </row>
    <row r="2278" spans="5:5" x14ac:dyDescent="0.25">
      <c r="E2278" s="25"/>
    </row>
    <row r="2279" spans="5:5" x14ac:dyDescent="0.25">
      <c r="E2279" s="25"/>
    </row>
    <row r="2280" spans="5:5" x14ac:dyDescent="0.25">
      <c r="E2280" s="25"/>
    </row>
    <row r="2281" spans="5:5" x14ac:dyDescent="0.25">
      <c r="E2281" s="25"/>
    </row>
    <row r="2282" spans="5:5" x14ac:dyDescent="0.25">
      <c r="E2282" s="25"/>
    </row>
    <row r="2283" spans="5:5" x14ac:dyDescent="0.25">
      <c r="E2283" s="25"/>
    </row>
    <row r="2284" spans="5:5" x14ac:dyDescent="0.25">
      <c r="E2284" s="25"/>
    </row>
    <row r="2285" spans="5:5" x14ac:dyDescent="0.25">
      <c r="E2285" s="25"/>
    </row>
    <row r="2286" spans="5:5" x14ac:dyDescent="0.25">
      <c r="E2286" s="25"/>
    </row>
    <row r="2287" spans="5:5" x14ac:dyDescent="0.25">
      <c r="E2287" s="25"/>
    </row>
    <row r="2288" spans="5:5" x14ac:dyDescent="0.25">
      <c r="E2288" s="25"/>
    </row>
    <row r="2289" spans="5:5" x14ac:dyDescent="0.25">
      <c r="E2289" s="25"/>
    </row>
    <row r="2290" spans="5:5" x14ac:dyDescent="0.25">
      <c r="E2290" s="25"/>
    </row>
    <row r="2291" spans="5:5" x14ac:dyDescent="0.25">
      <c r="E2291" s="25"/>
    </row>
    <row r="2292" spans="5:5" x14ac:dyDescent="0.25">
      <c r="E2292" s="25"/>
    </row>
    <row r="2293" spans="5:5" x14ac:dyDescent="0.25">
      <c r="E2293" s="25"/>
    </row>
    <row r="2294" spans="5:5" x14ac:dyDescent="0.25">
      <c r="E2294" s="25"/>
    </row>
    <row r="2295" spans="5:5" x14ac:dyDescent="0.25">
      <c r="E2295" s="25"/>
    </row>
    <row r="2296" spans="5:5" x14ac:dyDescent="0.25">
      <c r="E2296" s="25"/>
    </row>
    <row r="2297" spans="5:5" x14ac:dyDescent="0.25">
      <c r="E2297" s="25"/>
    </row>
    <row r="2298" spans="5:5" x14ac:dyDescent="0.25">
      <c r="E2298" s="25"/>
    </row>
    <row r="2299" spans="5:5" x14ac:dyDescent="0.25">
      <c r="E2299" s="25"/>
    </row>
    <row r="2300" spans="5:5" x14ac:dyDescent="0.25">
      <c r="E2300" s="25"/>
    </row>
    <row r="2301" spans="5:5" x14ac:dyDescent="0.25">
      <c r="E2301" s="25"/>
    </row>
    <row r="2302" spans="5:5" x14ac:dyDescent="0.25">
      <c r="E2302" s="25"/>
    </row>
    <row r="2303" spans="5:5" x14ac:dyDescent="0.25">
      <c r="E2303" s="25"/>
    </row>
    <row r="2304" spans="5:5" x14ac:dyDescent="0.25">
      <c r="E2304" s="25"/>
    </row>
    <row r="2305" spans="5:5" x14ac:dyDescent="0.25">
      <c r="E2305" s="25"/>
    </row>
    <row r="2306" spans="5:5" x14ac:dyDescent="0.25">
      <c r="E2306" s="25"/>
    </row>
    <row r="2307" spans="5:5" x14ac:dyDescent="0.25">
      <c r="E2307" s="25"/>
    </row>
    <row r="2308" spans="5:5" x14ac:dyDescent="0.25">
      <c r="E2308" s="25"/>
    </row>
    <row r="2309" spans="5:5" x14ac:dyDescent="0.25">
      <c r="E2309" s="25"/>
    </row>
    <row r="2310" spans="5:5" x14ac:dyDescent="0.25">
      <c r="E2310" s="25"/>
    </row>
    <row r="2311" spans="5:5" x14ac:dyDescent="0.25">
      <c r="E2311" s="25"/>
    </row>
    <row r="2312" spans="5:5" x14ac:dyDescent="0.25">
      <c r="E2312" s="25"/>
    </row>
    <row r="2313" spans="5:5" x14ac:dyDescent="0.25">
      <c r="E2313" s="25"/>
    </row>
    <row r="2314" spans="5:5" x14ac:dyDescent="0.25">
      <c r="E2314" s="25"/>
    </row>
    <row r="2315" spans="5:5" x14ac:dyDescent="0.25">
      <c r="E2315" s="25"/>
    </row>
    <row r="2316" spans="5:5" x14ac:dyDescent="0.25">
      <c r="E2316" s="25"/>
    </row>
    <row r="2317" spans="5:5" x14ac:dyDescent="0.25">
      <c r="E2317" s="25"/>
    </row>
    <row r="2318" spans="5:5" x14ac:dyDescent="0.25">
      <c r="E2318" s="25"/>
    </row>
    <row r="2319" spans="5:5" x14ac:dyDescent="0.25">
      <c r="E2319" s="25"/>
    </row>
    <row r="2320" spans="5:5" x14ac:dyDescent="0.25">
      <c r="E2320" s="25"/>
    </row>
    <row r="2321" spans="5:5" x14ac:dyDescent="0.25">
      <c r="E2321" s="25"/>
    </row>
    <row r="2322" spans="5:5" x14ac:dyDescent="0.25">
      <c r="E2322" s="25"/>
    </row>
    <row r="2323" spans="5:5" x14ac:dyDescent="0.25">
      <c r="E2323" s="25"/>
    </row>
    <row r="2324" spans="5:5" x14ac:dyDescent="0.25">
      <c r="E2324" s="25"/>
    </row>
    <row r="2325" spans="5:5" x14ac:dyDescent="0.25">
      <c r="E2325" s="25"/>
    </row>
    <row r="2326" spans="5:5" x14ac:dyDescent="0.25">
      <c r="E2326" s="25"/>
    </row>
    <row r="2327" spans="5:5" x14ac:dyDescent="0.25">
      <c r="E2327" s="25"/>
    </row>
    <row r="2328" spans="5:5" x14ac:dyDescent="0.25">
      <c r="E2328" s="25"/>
    </row>
    <row r="2329" spans="5:5" x14ac:dyDescent="0.25">
      <c r="E2329" s="25"/>
    </row>
    <row r="2330" spans="5:5" x14ac:dyDescent="0.25">
      <c r="E2330" s="25"/>
    </row>
    <row r="2331" spans="5:5" x14ac:dyDescent="0.25">
      <c r="E2331" s="25"/>
    </row>
    <row r="2332" spans="5:5" x14ac:dyDescent="0.25">
      <c r="E2332" s="25"/>
    </row>
    <row r="2333" spans="5:5" x14ac:dyDescent="0.25">
      <c r="E2333" s="25"/>
    </row>
    <row r="2334" spans="5:5" x14ac:dyDescent="0.25">
      <c r="E2334" s="25"/>
    </row>
    <row r="2335" spans="5:5" x14ac:dyDescent="0.25">
      <c r="E2335" s="25"/>
    </row>
    <row r="2336" spans="5:5" x14ac:dyDescent="0.25">
      <c r="E2336" s="25"/>
    </row>
    <row r="2337" spans="5:5" x14ac:dyDescent="0.25">
      <c r="E2337" s="25"/>
    </row>
    <row r="2338" spans="5:5" x14ac:dyDescent="0.25">
      <c r="E2338" s="25"/>
    </row>
    <row r="2339" spans="5:5" x14ac:dyDescent="0.25">
      <c r="E2339" s="25"/>
    </row>
    <row r="2340" spans="5:5" x14ac:dyDescent="0.25">
      <c r="E2340" s="25"/>
    </row>
    <row r="2341" spans="5:5" x14ac:dyDescent="0.25">
      <c r="E2341" s="25"/>
    </row>
    <row r="2342" spans="5:5" x14ac:dyDescent="0.25">
      <c r="E2342" s="25"/>
    </row>
    <row r="2343" spans="5:5" x14ac:dyDescent="0.25">
      <c r="E2343" s="25"/>
    </row>
    <row r="2344" spans="5:5" x14ac:dyDescent="0.25">
      <c r="E2344" s="25"/>
    </row>
    <row r="2345" spans="5:5" x14ac:dyDescent="0.25">
      <c r="E2345" s="25"/>
    </row>
    <row r="2346" spans="5:5" x14ac:dyDescent="0.25">
      <c r="E2346" s="25"/>
    </row>
    <row r="2347" spans="5:5" x14ac:dyDescent="0.25">
      <c r="E2347" s="25"/>
    </row>
    <row r="2348" spans="5:5" x14ac:dyDescent="0.25">
      <c r="E2348" s="25"/>
    </row>
    <row r="2349" spans="5:5" x14ac:dyDescent="0.25">
      <c r="E2349" s="25"/>
    </row>
    <row r="2350" spans="5:5" x14ac:dyDescent="0.25">
      <c r="E2350" s="25"/>
    </row>
    <row r="2351" spans="5:5" x14ac:dyDescent="0.25">
      <c r="E2351" s="25"/>
    </row>
    <row r="2352" spans="5:5" x14ac:dyDescent="0.25">
      <c r="E2352" s="25"/>
    </row>
    <row r="2353" spans="5:5" x14ac:dyDescent="0.25">
      <c r="E2353" s="25"/>
    </row>
    <row r="2354" spans="5:5" x14ac:dyDescent="0.25">
      <c r="E2354" s="25"/>
    </row>
    <row r="2355" spans="5:5" x14ac:dyDescent="0.25">
      <c r="E2355" s="25"/>
    </row>
    <row r="2356" spans="5:5" x14ac:dyDescent="0.25">
      <c r="E2356" s="25"/>
    </row>
    <row r="2357" spans="5:5" x14ac:dyDescent="0.25">
      <c r="E2357" s="25"/>
    </row>
    <row r="2358" spans="5:5" x14ac:dyDescent="0.25">
      <c r="E2358" s="25"/>
    </row>
    <row r="2359" spans="5:5" x14ac:dyDescent="0.25">
      <c r="E2359" s="25"/>
    </row>
    <row r="2360" spans="5:5" x14ac:dyDescent="0.25">
      <c r="E2360" s="25"/>
    </row>
    <row r="2361" spans="5:5" x14ac:dyDescent="0.25">
      <c r="E2361" s="25"/>
    </row>
    <row r="2362" spans="5:5" x14ac:dyDescent="0.25">
      <c r="E2362" s="25"/>
    </row>
    <row r="2363" spans="5:5" x14ac:dyDescent="0.25">
      <c r="E2363" s="25"/>
    </row>
    <row r="2364" spans="5:5" x14ac:dyDescent="0.25">
      <c r="E2364" s="25"/>
    </row>
    <row r="2365" spans="5:5" x14ac:dyDescent="0.25">
      <c r="E2365" s="25"/>
    </row>
    <row r="2366" spans="5:5" x14ac:dyDescent="0.25">
      <c r="E2366" s="25"/>
    </row>
    <row r="2367" spans="5:5" x14ac:dyDescent="0.25">
      <c r="E2367" s="25"/>
    </row>
    <row r="2368" spans="5:5" x14ac:dyDescent="0.25">
      <c r="E2368" s="25"/>
    </row>
    <row r="2369" spans="5:5" x14ac:dyDescent="0.25">
      <c r="E2369" s="25"/>
    </row>
    <row r="2370" spans="5:5" x14ac:dyDescent="0.25">
      <c r="E2370" s="25"/>
    </row>
    <row r="2371" spans="5:5" x14ac:dyDescent="0.25">
      <c r="E2371" s="25"/>
    </row>
    <row r="2372" spans="5:5" x14ac:dyDescent="0.25">
      <c r="E2372" s="25"/>
    </row>
    <row r="2373" spans="5:5" x14ac:dyDescent="0.25">
      <c r="E2373" s="25"/>
    </row>
    <row r="2374" spans="5:5" x14ac:dyDescent="0.25">
      <c r="E2374" s="25"/>
    </row>
    <row r="2375" spans="5:5" x14ac:dyDescent="0.25">
      <c r="E2375" s="25"/>
    </row>
    <row r="2376" spans="5:5" x14ac:dyDescent="0.25">
      <c r="E2376" s="25"/>
    </row>
    <row r="2377" spans="5:5" x14ac:dyDescent="0.25">
      <c r="E2377" s="25"/>
    </row>
    <row r="2378" spans="5:5" x14ac:dyDescent="0.25">
      <c r="E2378" s="25"/>
    </row>
    <row r="2379" spans="5:5" x14ac:dyDescent="0.25">
      <c r="E2379" s="25"/>
    </row>
    <row r="2380" spans="5:5" x14ac:dyDescent="0.25">
      <c r="E2380" s="25"/>
    </row>
    <row r="2381" spans="5:5" x14ac:dyDescent="0.25">
      <c r="E2381" s="25"/>
    </row>
    <row r="2382" spans="5:5" x14ac:dyDescent="0.25">
      <c r="E2382" s="25"/>
    </row>
    <row r="2383" spans="5:5" x14ac:dyDescent="0.25">
      <c r="E2383" s="25"/>
    </row>
    <row r="2384" spans="5:5" x14ac:dyDescent="0.25">
      <c r="E2384" s="25"/>
    </row>
    <row r="2385" spans="5:5" x14ac:dyDescent="0.25">
      <c r="E2385" s="25"/>
    </row>
    <row r="2386" spans="5:5" x14ac:dyDescent="0.25">
      <c r="E2386" s="25"/>
    </row>
    <row r="2387" spans="5:5" x14ac:dyDescent="0.25">
      <c r="E2387" s="25"/>
    </row>
    <row r="2388" spans="5:5" x14ac:dyDescent="0.25">
      <c r="E2388" s="25"/>
    </row>
    <row r="2389" spans="5:5" x14ac:dyDescent="0.25">
      <c r="E2389" s="25"/>
    </row>
    <row r="2390" spans="5:5" x14ac:dyDescent="0.25">
      <c r="E2390" s="25"/>
    </row>
    <row r="2391" spans="5:5" x14ac:dyDescent="0.25">
      <c r="E2391" s="25"/>
    </row>
    <row r="2392" spans="5:5" x14ac:dyDescent="0.25">
      <c r="E2392" s="25"/>
    </row>
    <row r="2393" spans="5:5" x14ac:dyDescent="0.25">
      <c r="E2393" s="25"/>
    </row>
    <row r="2394" spans="5:5" x14ac:dyDescent="0.25">
      <c r="E2394" s="25"/>
    </row>
    <row r="2395" spans="5:5" x14ac:dyDescent="0.25">
      <c r="E2395" s="25"/>
    </row>
    <row r="2396" spans="5:5" x14ac:dyDescent="0.25">
      <c r="E2396" s="25"/>
    </row>
    <row r="2397" spans="5:5" x14ac:dyDescent="0.25">
      <c r="E2397" s="25"/>
    </row>
    <row r="2398" spans="5:5" x14ac:dyDescent="0.25">
      <c r="E2398" s="25"/>
    </row>
    <row r="2399" spans="5:5" x14ac:dyDescent="0.25">
      <c r="E2399" s="25"/>
    </row>
    <row r="2400" spans="5:5" x14ac:dyDescent="0.25">
      <c r="E2400" s="25"/>
    </row>
    <row r="2401" spans="5:5" x14ac:dyDescent="0.25">
      <c r="E2401" s="25"/>
    </row>
    <row r="2402" spans="5:5" x14ac:dyDescent="0.25">
      <c r="E2402" s="25"/>
    </row>
    <row r="2403" spans="5:5" x14ac:dyDescent="0.25">
      <c r="E2403" s="25"/>
    </row>
    <row r="2404" spans="5:5" x14ac:dyDescent="0.25">
      <c r="E2404" s="25"/>
    </row>
    <row r="2405" spans="5:5" x14ac:dyDescent="0.25">
      <c r="E2405" s="25"/>
    </row>
    <row r="2406" spans="5:5" x14ac:dyDescent="0.25">
      <c r="E2406" s="25"/>
    </row>
    <row r="2407" spans="5:5" x14ac:dyDescent="0.25">
      <c r="E2407" s="25"/>
    </row>
    <row r="2408" spans="5:5" x14ac:dyDescent="0.25">
      <c r="E2408" s="25"/>
    </row>
    <row r="2409" spans="5:5" x14ac:dyDescent="0.25">
      <c r="E2409" s="25"/>
    </row>
    <row r="2410" spans="5:5" x14ac:dyDescent="0.25">
      <c r="E2410" s="25"/>
    </row>
    <row r="2411" spans="5:5" x14ac:dyDescent="0.25">
      <c r="E2411" s="25"/>
    </row>
    <row r="2412" spans="5:5" x14ac:dyDescent="0.25">
      <c r="E2412" s="25"/>
    </row>
    <row r="2413" spans="5:5" x14ac:dyDescent="0.25">
      <c r="E2413" s="25"/>
    </row>
    <row r="2414" spans="5:5" x14ac:dyDescent="0.25">
      <c r="E2414" s="25"/>
    </row>
    <row r="2415" spans="5:5" x14ac:dyDescent="0.25">
      <c r="E2415" s="25"/>
    </row>
    <row r="2416" spans="5:5" x14ac:dyDescent="0.25">
      <c r="E2416" s="25"/>
    </row>
    <row r="2417" spans="5:5" x14ac:dyDescent="0.25">
      <c r="E2417" s="25"/>
    </row>
    <row r="2418" spans="5:5" x14ac:dyDescent="0.25">
      <c r="E2418" s="25"/>
    </row>
    <row r="2419" spans="5:5" x14ac:dyDescent="0.25">
      <c r="E2419" s="25"/>
    </row>
    <row r="2420" spans="5:5" x14ac:dyDescent="0.25">
      <c r="E2420" s="25"/>
    </row>
    <row r="2421" spans="5:5" x14ac:dyDescent="0.25">
      <c r="E2421" s="25"/>
    </row>
    <row r="2422" spans="5:5" x14ac:dyDescent="0.25">
      <c r="E2422" s="25"/>
    </row>
    <row r="2423" spans="5:5" x14ac:dyDescent="0.25">
      <c r="E2423" s="25"/>
    </row>
    <row r="2424" spans="5:5" x14ac:dyDescent="0.25">
      <c r="E2424" s="25"/>
    </row>
    <row r="2425" spans="5:5" x14ac:dyDescent="0.25">
      <c r="E2425" s="25"/>
    </row>
    <row r="2426" spans="5:5" x14ac:dyDescent="0.25">
      <c r="E2426" s="25"/>
    </row>
    <row r="2427" spans="5:5" x14ac:dyDescent="0.25">
      <c r="E2427" s="25"/>
    </row>
    <row r="2428" spans="5:5" x14ac:dyDescent="0.25">
      <c r="E2428" s="25"/>
    </row>
    <row r="2429" spans="5:5" x14ac:dyDescent="0.25">
      <c r="E2429" s="25"/>
    </row>
    <row r="2430" spans="5:5" x14ac:dyDescent="0.25">
      <c r="E2430" s="25"/>
    </row>
    <row r="2431" spans="5:5" x14ac:dyDescent="0.25">
      <c r="E2431" s="25"/>
    </row>
    <row r="2432" spans="5:5" x14ac:dyDescent="0.25">
      <c r="E2432" s="25"/>
    </row>
    <row r="2433" spans="5:5" x14ac:dyDescent="0.25">
      <c r="E2433" s="25"/>
    </row>
    <row r="2434" spans="5:5" x14ac:dyDescent="0.25">
      <c r="E2434" s="25"/>
    </row>
    <row r="2435" spans="5:5" x14ac:dyDescent="0.25">
      <c r="E2435" s="25"/>
    </row>
    <row r="2436" spans="5:5" x14ac:dyDescent="0.25">
      <c r="E2436" s="25"/>
    </row>
    <row r="2437" spans="5:5" x14ac:dyDescent="0.25">
      <c r="E2437" s="25"/>
    </row>
    <row r="2438" spans="5:5" x14ac:dyDescent="0.25">
      <c r="E2438" s="25"/>
    </row>
    <row r="2439" spans="5:5" x14ac:dyDescent="0.25">
      <c r="E2439" s="25"/>
    </row>
    <row r="2440" spans="5:5" x14ac:dyDescent="0.25">
      <c r="E2440" s="25"/>
    </row>
    <row r="2441" spans="5:5" x14ac:dyDescent="0.25">
      <c r="E2441" s="25"/>
    </row>
    <row r="2442" spans="5:5" x14ac:dyDescent="0.25">
      <c r="E2442" s="25"/>
    </row>
    <row r="2443" spans="5:5" x14ac:dyDescent="0.25">
      <c r="E2443" s="25"/>
    </row>
    <row r="2444" spans="5:5" x14ac:dyDescent="0.25">
      <c r="E2444" s="25"/>
    </row>
    <row r="2445" spans="5:5" x14ac:dyDescent="0.25">
      <c r="E2445" s="25"/>
    </row>
    <row r="2446" spans="5:5" x14ac:dyDescent="0.25">
      <c r="E2446" s="25"/>
    </row>
    <row r="2447" spans="5:5" x14ac:dyDescent="0.25">
      <c r="E2447" s="25"/>
    </row>
    <row r="2448" spans="5:5" x14ac:dyDescent="0.25">
      <c r="E2448" s="25"/>
    </row>
    <row r="2449" spans="5:5" x14ac:dyDescent="0.25">
      <c r="E2449" s="25"/>
    </row>
    <row r="2450" spans="5:5" x14ac:dyDescent="0.25">
      <c r="E2450" s="25"/>
    </row>
    <row r="2451" spans="5:5" x14ac:dyDescent="0.25">
      <c r="E2451" s="25"/>
    </row>
    <row r="2452" spans="5:5" x14ac:dyDescent="0.25">
      <c r="E2452" s="25"/>
    </row>
    <row r="2453" spans="5:5" x14ac:dyDescent="0.25">
      <c r="E2453" s="25"/>
    </row>
    <row r="2454" spans="5:5" x14ac:dyDescent="0.25">
      <c r="E2454" s="25"/>
    </row>
    <row r="2455" spans="5:5" x14ac:dyDescent="0.25">
      <c r="E2455" s="25"/>
    </row>
    <row r="2456" spans="5:5" x14ac:dyDescent="0.25">
      <c r="E2456" s="25"/>
    </row>
    <row r="2457" spans="5:5" x14ac:dyDescent="0.25">
      <c r="E2457" s="25"/>
    </row>
    <row r="2458" spans="5:5" x14ac:dyDescent="0.25">
      <c r="E2458" s="25"/>
    </row>
    <row r="2459" spans="5:5" x14ac:dyDescent="0.25">
      <c r="E2459" s="25"/>
    </row>
    <row r="2460" spans="5:5" x14ac:dyDescent="0.25">
      <c r="E2460" s="25"/>
    </row>
    <row r="2461" spans="5:5" x14ac:dyDescent="0.25">
      <c r="E2461" s="25"/>
    </row>
    <row r="2462" spans="5:5" x14ac:dyDescent="0.25">
      <c r="E2462" s="25"/>
    </row>
    <row r="2463" spans="5:5" x14ac:dyDescent="0.25">
      <c r="E2463" s="25"/>
    </row>
    <row r="2464" spans="5:5" x14ac:dyDescent="0.25">
      <c r="E2464" s="25"/>
    </row>
    <row r="2465" spans="5:5" x14ac:dyDescent="0.25">
      <c r="E2465" s="25"/>
    </row>
    <row r="2466" spans="5:5" x14ac:dyDescent="0.25">
      <c r="E2466" s="25"/>
    </row>
    <row r="2467" spans="5:5" x14ac:dyDescent="0.25">
      <c r="E2467" s="25"/>
    </row>
    <row r="2468" spans="5:5" x14ac:dyDescent="0.25">
      <c r="E2468" s="25"/>
    </row>
    <row r="2469" spans="5:5" x14ac:dyDescent="0.25">
      <c r="E2469" s="25"/>
    </row>
    <row r="2470" spans="5:5" x14ac:dyDescent="0.25">
      <c r="E2470" s="25"/>
    </row>
    <row r="2471" spans="5:5" x14ac:dyDescent="0.25">
      <c r="E2471" s="25"/>
    </row>
    <row r="2472" spans="5:5" x14ac:dyDescent="0.25">
      <c r="E2472" s="25"/>
    </row>
    <row r="2473" spans="5:5" x14ac:dyDescent="0.25">
      <c r="E2473" s="25"/>
    </row>
    <row r="2474" spans="5:5" x14ac:dyDescent="0.25">
      <c r="E2474" s="25"/>
    </row>
    <row r="2475" spans="5:5" x14ac:dyDescent="0.25">
      <c r="E2475" s="25"/>
    </row>
    <row r="2476" spans="5:5" x14ac:dyDescent="0.25">
      <c r="E2476" s="25"/>
    </row>
    <row r="2477" spans="5:5" x14ac:dyDescent="0.25">
      <c r="E2477" s="25"/>
    </row>
    <row r="2478" spans="5:5" x14ac:dyDescent="0.25">
      <c r="E2478" s="25"/>
    </row>
    <row r="2479" spans="5:5" x14ac:dyDescent="0.25">
      <c r="E2479" s="25"/>
    </row>
    <row r="2480" spans="5:5" x14ac:dyDescent="0.25">
      <c r="E2480" s="25"/>
    </row>
    <row r="2481" spans="5:5" x14ac:dyDescent="0.25">
      <c r="E2481" s="25"/>
    </row>
    <row r="2482" spans="5:5" x14ac:dyDescent="0.25">
      <c r="E2482" s="25"/>
    </row>
    <row r="2483" spans="5:5" x14ac:dyDescent="0.25">
      <c r="E2483" s="25"/>
    </row>
    <row r="2484" spans="5:5" x14ac:dyDescent="0.25">
      <c r="E2484" s="25"/>
    </row>
    <row r="2485" spans="5:5" x14ac:dyDescent="0.25">
      <c r="E2485" s="25"/>
    </row>
    <row r="2486" spans="5:5" x14ac:dyDescent="0.25">
      <c r="E2486" s="25"/>
    </row>
    <row r="2487" spans="5:5" x14ac:dyDescent="0.25">
      <c r="E2487" s="25"/>
    </row>
    <row r="2488" spans="5:5" x14ac:dyDescent="0.25">
      <c r="E2488" s="25"/>
    </row>
    <row r="2489" spans="5:5" x14ac:dyDescent="0.25">
      <c r="E2489" s="25"/>
    </row>
    <row r="2490" spans="5:5" x14ac:dyDescent="0.25">
      <c r="E2490" s="25"/>
    </row>
    <row r="2491" spans="5:5" x14ac:dyDescent="0.25">
      <c r="E2491" s="25"/>
    </row>
    <row r="2492" spans="5:5" x14ac:dyDescent="0.25">
      <c r="E2492" s="25"/>
    </row>
    <row r="2493" spans="5:5" x14ac:dyDescent="0.25">
      <c r="E2493" s="25"/>
    </row>
    <row r="2494" spans="5:5" x14ac:dyDescent="0.25">
      <c r="E2494" s="25"/>
    </row>
    <row r="2495" spans="5:5" x14ac:dyDescent="0.25">
      <c r="E2495" s="25"/>
    </row>
    <row r="2496" spans="5:5" x14ac:dyDescent="0.25">
      <c r="E2496" s="25"/>
    </row>
    <row r="2497" spans="5:5" x14ac:dyDescent="0.25">
      <c r="E2497" s="25"/>
    </row>
    <row r="2498" spans="5:5" x14ac:dyDescent="0.25">
      <c r="E2498" s="25"/>
    </row>
    <row r="2499" spans="5:5" x14ac:dyDescent="0.25">
      <c r="E2499" s="25"/>
    </row>
    <row r="2500" spans="5:5" x14ac:dyDescent="0.25">
      <c r="E2500" s="25"/>
    </row>
    <row r="2501" spans="5:5" x14ac:dyDescent="0.25">
      <c r="E2501" s="25"/>
    </row>
    <row r="2502" spans="5:5" x14ac:dyDescent="0.25">
      <c r="E2502" s="25"/>
    </row>
    <row r="2503" spans="5:5" x14ac:dyDescent="0.25">
      <c r="E2503" s="25"/>
    </row>
    <row r="2504" spans="5:5" x14ac:dyDescent="0.25">
      <c r="E2504" s="25"/>
    </row>
    <row r="2505" spans="5:5" x14ac:dyDescent="0.25">
      <c r="E2505" s="25"/>
    </row>
    <row r="2506" spans="5:5" x14ac:dyDescent="0.25">
      <c r="E2506" s="25"/>
    </row>
    <row r="2507" spans="5:5" x14ac:dyDescent="0.25">
      <c r="E2507" s="25"/>
    </row>
    <row r="2508" spans="5:5" x14ac:dyDescent="0.25">
      <c r="E2508" s="25"/>
    </row>
    <row r="2509" spans="5:5" x14ac:dyDescent="0.25">
      <c r="E2509" s="25"/>
    </row>
    <row r="2510" spans="5:5" x14ac:dyDescent="0.25">
      <c r="E2510" s="25"/>
    </row>
    <row r="2511" spans="5:5" x14ac:dyDescent="0.25">
      <c r="E2511" s="25"/>
    </row>
    <row r="2512" spans="5:5" x14ac:dyDescent="0.25">
      <c r="E2512" s="25"/>
    </row>
    <row r="2513" spans="5:5" x14ac:dyDescent="0.25">
      <c r="E2513" s="25"/>
    </row>
    <row r="2514" spans="5:5" x14ac:dyDescent="0.25">
      <c r="E2514" s="25"/>
    </row>
    <row r="2515" spans="5:5" x14ac:dyDescent="0.25">
      <c r="E2515" s="25"/>
    </row>
    <row r="2516" spans="5:5" x14ac:dyDescent="0.25">
      <c r="E2516" s="25"/>
    </row>
    <row r="2517" spans="5:5" x14ac:dyDescent="0.25">
      <c r="E2517" s="25"/>
    </row>
    <row r="2518" spans="5:5" x14ac:dyDescent="0.25">
      <c r="E2518" s="25"/>
    </row>
    <row r="2519" spans="5:5" x14ac:dyDescent="0.25">
      <c r="E2519" s="25"/>
    </row>
    <row r="2520" spans="5:5" x14ac:dyDescent="0.25">
      <c r="E2520" s="25"/>
    </row>
    <row r="2521" spans="5:5" x14ac:dyDescent="0.25">
      <c r="E2521" s="25"/>
    </row>
    <row r="2522" spans="5:5" x14ac:dyDescent="0.25">
      <c r="E2522" s="25"/>
    </row>
    <row r="2523" spans="5:5" x14ac:dyDescent="0.25">
      <c r="E2523" s="25"/>
    </row>
    <row r="2524" spans="5:5" x14ac:dyDescent="0.25">
      <c r="E2524" s="25"/>
    </row>
    <row r="2525" spans="5:5" x14ac:dyDescent="0.25">
      <c r="E2525" s="25"/>
    </row>
    <row r="2526" spans="5:5" x14ac:dyDescent="0.25">
      <c r="E2526" s="25"/>
    </row>
    <row r="2527" spans="5:5" x14ac:dyDescent="0.25">
      <c r="E2527" s="25"/>
    </row>
    <row r="2528" spans="5:5" x14ac:dyDescent="0.25">
      <c r="E2528" s="25"/>
    </row>
    <row r="2529" spans="5:5" x14ac:dyDescent="0.25">
      <c r="E2529" s="25"/>
    </row>
    <row r="2530" spans="5:5" x14ac:dyDescent="0.25">
      <c r="E2530" s="25"/>
    </row>
    <row r="2531" spans="5:5" x14ac:dyDescent="0.25">
      <c r="E2531" s="25"/>
    </row>
    <row r="2532" spans="5:5" x14ac:dyDescent="0.25">
      <c r="E2532" s="25"/>
    </row>
    <row r="2533" spans="5:5" x14ac:dyDescent="0.25">
      <c r="E2533" s="25"/>
    </row>
    <row r="2534" spans="5:5" x14ac:dyDescent="0.25">
      <c r="E2534" s="25"/>
    </row>
    <row r="2535" spans="5:5" x14ac:dyDescent="0.25">
      <c r="E2535" s="25"/>
    </row>
    <row r="2536" spans="5:5" x14ac:dyDescent="0.25">
      <c r="E2536" s="25"/>
    </row>
    <row r="2537" spans="5:5" x14ac:dyDescent="0.25">
      <c r="E2537" s="25"/>
    </row>
    <row r="2538" spans="5:5" x14ac:dyDescent="0.25">
      <c r="E2538" s="25"/>
    </row>
    <row r="2539" spans="5:5" x14ac:dyDescent="0.25">
      <c r="E2539" s="25"/>
    </row>
    <row r="2540" spans="5:5" x14ac:dyDescent="0.25">
      <c r="E2540" s="25"/>
    </row>
    <row r="2541" spans="5:5" x14ac:dyDescent="0.25">
      <c r="E2541" s="25"/>
    </row>
    <row r="2542" spans="5:5" x14ac:dyDescent="0.25">
      <c r="E2542" s="25"/>
    </row>
    <row r="2543" spans="5:5" x14ac:dyDescent="0.25">
      <c r="E2543" s="25"/>
    </row>
    <row r="2544" spans="5:5" x14ac:dyDescent="0.25">
      <c r="E2544" s="25"/>
    </row>
    <row r="2545" spans="5:5" x14ac:dyDescent="0.25">
      <c r="E2545" s="25"/>
    </row>
    <row r="2546" spans="5:5" x14ac:dyDescent="0.25">
      <c r="E2546" s="25"/>
    </row>
    <row r="2547" spans="5:5" x14ac:dyDescent="0.25">
      <c r="E2547" s="25"/>
    </row>
    <row r="2548" spans="5:5" x14ac:dyDescent="0.25">
      <c r="E2548" s="25"/>
    </row>
    <row r="2549" spans="5:5" x14ac:dyDescent="0.25">
      <c r="E2549" s="25"/>
    </row>
    <row r="2550" spans="5:5" x14ac:dyDescent="0.25">
      <c r="E2550" s="25"/>
    </row>
    <row r="2551" spans="5:5" x14ac:dyDescent="0.25">
      <c r="E2551" s="25"/>
    </row>
    <row r="2552" spans="5:5" x14ac:dyDescent="0.25">
      <c r="E2552" s="25"/>
    </row>
    <row r="2553" spans="5:5" x14ac:dyDescent="0.25">
      <c r="E2553" s="25"/>
    </row>
    <row r="2554" spans="5:5" x14ac:dyDescent="0.25">
      <c r="E2554" s="25"/>
    </row>
    <row r="2555" spans="5:5" x14ac:dyDescent="0.25">
      <c r="E2555" s="25"/>
    </row>
    <row r="2556" spans="5:5" x14ac:dyDescent="0.25">
      <c r="E2556" s="25"/>
    </row>
    <row r="2557" spans="5:5" x14ac:dyDescent="0.25">
      <c r="E2557" s="25"/>
    </row>
    <row r="2558" spans="5:5" x14ac:dyDescent="0.25">
      <c r="E2558" s="25"/>
    </row>
    <row r="2559" spans="5:5" x14ac:dyDescent="0.25">
      <c r="E2559" s="25"/>
    </row>
    <row r="2560" spans="5:5" x14ac:dyDescent="0.25">
      <c r="E2560" s="25"/>
    </row>
    <row r="2561" spans="5:5" x14ac:dyDescent="0.25">
      <c r="E2561" s="25"/>
    </row>
    <row r="2562" spans="5:5" x14ac:dyDescent="0.25">
      <c r="E2562" s="25"/>
    </row>
    <row r="2563" spans="5:5" x14ac:dyDescent="0.25">
      <c r="E2563" s="25"/>
    </row>
    <row r="2564" spans="5:5" x14ac:dyDescent="0.25">
      <c r="E2564" s="25"/>
    </row>
    <row r="2565" spans="5:5" x14ac:dyDescent="0.25">
      <c r="E2565" s="25"/>
    </row>
    <row r="2566" spans="5:5" x14ac:dyDescent="0.25">
      <c r="E2566" s="25"/>
    </row>
    <row r="2567" spans="5:5" x14ac:dyDescent="0.25">
      <c r="E2567" s="25"/>
    </row>
    <row r="2568" spans="5:5" x14ac:dyDescent="0.25">
      <c r="E2568" s="25"/>
    </row>
    <row r="2569" spans="5:5" x14ac:dyDescent="0.25">
      <c r="E2569" s="25"/>
    </row>
    <row r="2570" spans="5:5" x14ac:dyDescent="0.25">
      <c r="E2570" s="25"/>
    </row>
    <row r="2571" spans="5:5" x14ac:dyDescent="0.25">
      <c r="E2571" s="25"/>
    </row>
    <row r="2572" spans="5:5" x14ac:dyDescent="0.25">
      <c r="E2572" s="25"/>
    </row>
    <row r="2573" spans="5:5" x14ac:dyDescent="0.25">
      <c r="E2573" s="25"/>
    </row>
    <row r="2574" spans="5:5" x14ac:dyDescent="0.25">
      <c r="E2574" s="25"/>
    </row>
    <row r="2575" spans="5:5" x14ac:dyDescent="0.25">
      <c r="E2575" s="25"/>
    </row>
    <row r="2576" spans="5:5" x14ac:dyDescent="0.25">
      <c r="E2576" s="25"/>
    </row>
    <row r="2577" spans="5:5" x14ac:dyDescent="0.25">
      <c r="E2577" s="25"/>
    </row>
    <row r="2578" spans="5:5" x14ac:dyDescent="0.25">
      <c r="E2578" s="25"/>
    </row>
    <row r="2579" spans="5:5" x14ac:dyDescent="0.25">
      <c r="E2579" s="25"/>
    </row>
    <row r="2580" spans="5:5" x14ac:dyDescent="0.25">
      <c r="E2580" s="25"/>
    </row>
    <row r="2581" spans="5:5" x14ac:dyDescent="0.25">
      <c r="E2581" s="25"/>
    </row>
    <row r="2582" spans="5:5" x14ac:dyDescent="0.25">
      <c r="E2582" s="25"/>
    </row>
    <row r="2583" spans="5:5" x14ac:dyDescent="0.25">
      <c r="E2583" s="25"/>
    </row>
    <row r="2584" spans="5:5" x14ac:dyDescent="0.25">
      <c r="E2584" s="25"/>
    </row>
    <row r="2585" spans="5:5" x14ac:dyDescent="0.25">
      <c r="E2585" s="25"/>
    </row>
    <row r="2586" spans="5:5" x14ac:dyDescent="0.25">
      <c r="E2586" s="25"/>
    </row>
    <row r="2587" spans="5:5" x14ac:dyDescent="0.25">
      <c r="E2587" s="25"/>
    </row>
    <row r="2588" spans="5:5" x14ac:dyDescent="0.25">
      <c r="E2588" s="25"/>
    </row>
    <row r="2589" spans="5:5" x14ac:dyDescent="0.25">
      <c r="E2589" s="25"/>
    </row>
    <row r="2590" spans="5:5" x14ac:dyDescent="0.25">
      <c r="E2590" s="25"/>
    </row>
    <row r="2591" spans="5:5" x14ac:dyDescent="0.25">
      <c r="E2591" s="25"/>
    </row>
    <row r="2592" spans="5:5" x14ac:dyDescent="0.25">
      <c r="E2592" s="25"/>
    </row>
    <row r="2593" spans="5:5" x14ac:dyDescent="0.25">
      <c r="E2593" s="25"/>
    </row>
    <row r="2594" spans="5:5" x14ac:dyDescent="0.25">
      <c r="E2594" s="25"/>
    </row>
    <row r="2595" spans="5:5" x14ac:dyDescent="0.25">
      <c r="E2595" s="25"/>
    </row>
    <row r="2596" spans="5:5" x14ac:dyDescent="0.25">
      <c r="E2596" s="25"/>
    </row>
    <row r="2597" spans="5:5" x14ac:dyDescent="0.25">
      <c r="E2597" s="25"/>
    </row>
    <row r="2598" spans="5:5" x14ac:dyDescent="0.25">
      <c r="E2598" s="25"/>
    </row>
    <row r="2599" spans="5:5" x14ac:dyDescent="0.25">
      <c r="E2599" s="25"/>
    </row>
    <row r="2600" spans="5:5" x14ac:dyDescent="0.25">
      <c r="E2600" s="25"/>
    </row>
    <row r="2601" spans="5:5" x14ac:dyDescent="0.25">
      <c r="E2601" s="25"/>
    </row>
    <row r="2602" spans="5:5" x14ac:dyDescent="0.25">
      <c r="E2602" s="25"/>
    </row>
    <row r="2603" spans="5:5" x14ac:dyDescent="0.25">
      <c r="E2603" s="25"/>
    </row>
    <row r="2604" spans="5:5" x14ac:dyDescent="0.25">
      <c r="E2604" s="25"/>
    </row>
    <row r="2605" spans="5:5" x14ac:dyDescent="0.25">
      <c r="E2605" s="25"/>
    </row>
    <row r="2606" spans="5:5" x14ac:dyDescent="0.25">
      <c r="E2606" s="25"/>
    </row>
    <row r="2607" spans="5:5" x14ac:dyDescent="0.25">
      <c r="E2607" s="25"/>
    </row>
    <row r="2608" spans="5:5" x14ac:dyDescent="0.25">
      <c r="E2608" s="25"/>
    </row>
    <row r="2609" spans="5:5" x14ac:dyDescent="0.25">
      <c r="E2609" s="25"/>
    </row>
    <row r="2610" spans="5:5" x14ac:dyDescent="0.25">
      <c r="E2610" s="25"/>
    </row>
    <row r="2611" spans="5:5" x14ac:dyDescent="0.25">
      <c r="E2611" s="25"/>
    </row>
    <row r="2612" spans="5:5" x14ac:dyDescent="0.25">
      <c r="E2612" s="25"/>
    </row>
    <row r="2613" spans="5:5" x14ac:dyDescent="0.25">
      <c r="E2613" s="25"/>
    </row>
    <row r="2614" spans="5:5" x14ac:dyDescent="0.25">
      <c r="E2614" s="25"/>
    </row>
    <row r="2615" spans="5:5" x14ac:dyDescent="0.25">
      <c r="E2615" s="25"/>
    </row>
    <row r="2616" spans="5:5" x14ac:dyDescent="0.25">
      <c r="E2616" s="25"/>
    </row>
    <row r="2617" spans="5:5" x14ac:dyDescent="0.25">
      <c r="E2617" s="25"/>
    </row>
    <row r="2618" spans="5:5" x14ac:dyDescent="0.25">
      <c r="E2618" s="25"/>
    </row>
    <row r="2619" spans="5:5" x14ac:dyDescent="0.25">
      <c r="E2619" s="25"/>
    </row>
    <row r="2620" spans="5:5" x14ac:dyDescent="0.25">
      <c r="E2620" s="25"/>
    </row>
    <row r="2621" spans="5:5" x14ac:dyDescent="0.25">
      <c r="E2621" s="25"/>
    </row>
    <row r="2622" spans="5:5" x14ac:dyDescent="0.25">
      <c r="E2622" s="25"/>
    </row>
    <row r="2623" spans="5:5" x14ac:dyDescent="0.25">
      <c r="E2623" s="25"/>
    </row>
    <row r="2624" spans="5:5" x14ac:dyDescent="0.25">
      <c r="E2624" s="25"/>
    </row>
    <row r="2625" spans="5:5" x14ac:dyDescent="0.25">
      <c r="E2625" s="25"/>
    </row>
    <row r="2626" spans="5:5" x14ac:dyDescent="0.25">
      <c r="E2626" s="25"/>
    </row>
    <row r="2627" spans="5:5" x14ac:dyDescent="0.25">
      <c r="E2627" s="25"/>
    </row>
    <row r="2628" spans="5:5" x14ac:dyDescent="0.25">
      <c r="E2628" s="25"/>
    </row>
    <row r="2629" spans="5:5" x14ac:dyDescent="0.25">
      <c r="E2629" s="25"/>
    </row>
    <row r="2630" spans="5:5" x14ac:dyDescent="0.25">
      <c r="E2630" s="25"/>
    </row>
    <row r="2631" spans="5:5" x14ac:dyDescent="0.25">
      <c r="E2631" s="25"/>
    </row>
    <row r="2632" spans="5:5" x14ac:dyDescent="0.25">
      <c r="E2632" s="25"/>
    </row>
    <row r="2633" spans="5:5" x14ac:dyDescent="0.25">
      <c r="E2633" s="25"/>
    </row>
    <row r="2634" spans="5:5" x14ac:dyDescent="0.25">
      <c r="E2634" s="25"/>
    </row>
    <row r="2635" spans="5:5" x14ac:dyDescent="0.25">
      <c r="E2635" s="25"/>
    </row>
    <row r="2636" spans="5:5" x14ac:dyDescent="0.25">
      <c r="E2636" s="25"/>
    </row>
    <row r="2637" spans="5:5" x14ac:dyDescent="0.25">
      <c r="E2637" s="25"/>
    </row>
    <row r="2638" spans="5:5" x14ac:dyDescent="0.25">
      <c r="E2638" s="25"/>
    </row>
    <row r="2639" spans="5:5" x14ac:dyDescent="0.25">
      <c r="E2639" s="25"/>
    </row>
    <row r="2640" spans="5:5" x14ac:dyDescent="0.25">
      <c r="E2640" s="25"/>
    </row>
    <row r="2641" spans="5:5" x14ac:dyDescent="0.25">
      <c r="E2641" s="25"/>
    </row>
    <row r="2642" spans="5:5" x14ac:dyDescent="0.25">
      <c r="E2642" s="25"/>
    </row>
    <row r="2643" spans="5:5" x14ac:dyDescent="0.25">
      <c r="E2643" s="25"/>
    </row>
    <row r="2644" spans="5:5" x14ac:dyDescent="0.25">
      <c r="E2644" s="25"/>
    </row>
    <row r="2645" spans="5:5" x14ac:dyDescent="0.25">
      <c r="E2645" s="25"/>
    </row>
    <row r="2646" spans="5:5" x14ac:dyDescent="0.25">
      <c r="E2646" s="25"/>
    </row>
    <row r="2647" spans="5:5" x14ac:dyDescent="0.25">
      <c r="E2647" s="25"/>
    </row>
    <row r="2648" spans="5:5" x14ac:dyDescent="0.25">
      <c r="E2648" s="25"/>
    </row>
    <row r="2649" spans="5:5" x14ac:dyDescent="0.25">
      <c r="E2649" s="25"/>
    </row>
    <row r="2650" spans="5:5" x14ac:dyDescent="0.25">
      <c r="E2650" s="25"/>
    </row>
    <row r="2651" spans="5:5" x14ac:dyDescent="0.25">
      <c r="E2651" s="25"/>
    </row>
    <row r="2652" spans="5:5" x14ac:dyDescent="0.25">
      <c r="E2652" s="25"/>
    </row>
    <row r="2653" spans="5:5" x14ac:dyDescent="0.25">
      <c r="E2653" s="25"/>
    </row>
    <row r="2654" spans="5:5" x14ac:dyDescent="0.25">
      <c r="E2654" s="25"/>
    </row>
    <row r="2655" spans="5:5" x14ac:dyDescent="0.25">
      <c r="E2655" s="25"/>
    </row>
    <row r="2656" spans="5:5" x14ac:dyDescent="0.25">
      <c r="E2656" s="25"/>
    </row>
    <row r="2657" spans="5:5" x14ac:dyDescent="0.25">
      <c r="E2657" s="25"/>
    </row>
    <row r="2658" spans="5:5" x14ac:dyDescent="0.25">
      <c r="E2658" s="25"/>
    </row>
    <row r="2659" spans="5:5" x14ac:dyDescent="0.25">
      <c r="E2659" s="25"/>
    </row>
    <row r="2660" spans="5:5" x14ac:dyDescent="0.25">
      <c r="E2660" s="25"/>
    </row>
    <row r="2661" spans="5:5" x14ac:dyDescent="0.25">
      <c r="E2661" s="25"/>
    </row>
    <row r="2662" spans="5:5" x14ac:dyDescent="0.25">
      <c r="E2662" s="25"/>
    </row>
    <row r="2663" spans="5:5" x14ac:dyDescent="0.25">
      <c r="E2663" s="25"/>
    </row>
    <row r="2664" spans="5:5" x14ac:dyDescent="0.25">
      <c r="E2664" s="25"/>
    </row>
    <row r="2665" spans="5:5" x14ac:dyDescent="0.25">
      <c r="E2665" s="25"/>
    </row>
    <row r="2666" spans="5:5" x14ac:dyDescent="0.25">
      <c r="E2666" s="25"/>
    </row>
    <row r="2667" spans="5:5" x14ac:dyDescent="0.25">
      <c r="E2667" s="25"/>
    </row>
    <row r="2668" spans="5:5" x14ac:dyDescent="0.25">
      <c r="E2668" s="25"/>
    </row>
    <row r="2669" spans="5:5" x14ac:dyDescent="0.25">
      <c r="E2669" s="25"/>
    </row>
    <row r="2670" spans="5:5" x14ac:dyDescent="0.25">
      <c r="E2670" s="25"/>
    </row>
    <row r="2671" spans="5:5" x14ac:dyDescent="0.25">
      <c r="E2671" s="25"/>
    </row>
    <row r="2672" spans="5:5" x14ac:dyDescent="0.25">
      <c r="E2672" s="25"/>
    </row>
    <row r="2673" spans="5:5" x14ac:dyDescent="0.25">
      <c r="E2673" s="25"/>
    </row>
    <row r="2674" spans="5:5" x14ac:dyDescent="0.25">
      <c r="E2674" s="25"/>
    </row>
    <row r="2675" spans="5:5" x14ac:dyDescent="0.25">
      <c r="E2675" s="25"/>
    </row>
    <row r="2676" spans="5:5" x14ac:dyDescent="0.25">
      <c r="E2676" s="25"/>
    </row>
    <row r="2677" spans="5:5" x14ac:dyDescent="0.25">
      <c r="E2677" s="25"/>
    </row>
    <row r="2678" spans="5:5" x14ac:dyDescent="0.25">
      <c r="E2678" s="25"/>
    </row>
    <row r="2679" spans="5:5" x14ac:dyDescent="0.25">
      <c r="E2679" s="25"/>
    </row>
    <row r="2680" spans="5:5" x14ac:dyDescent="0.25">
      <c r="E2680" s="25"/>
    </row>
    <row r="2681" spans="5:5" x14ac:dyDescent="0.25">
      <c r="E2681" s="25"/>
    </row>
    <row r="2682" spans="5:5" x14ac:dyDescent="0.25">
      <c r="E2682" s="25"/>
    </row>
    <row r="2683" spans="5:5" x14ac:dyDescent="0.25">
      <c r="E2683" s="25"/>
    </row>
    <row r="2684" spans="5:5" x14ac:dyDescent="0.25">
      <c r="E2684" s="25"/>
    </row>
    <row r="2685" spans="5:5" x14ac:dyDescent="0.25">
      <c r="E2685" s="25"/>
    </row>
    <row r="2686" spans="5:5" x14ac:dyDescent="0.25">
      <c r="E2686" s="25"/>
    </row>
    <row r="2687" spans="5:5" x14ac:dyDescent="0.25">
      <c r="E2687" s="25"/>
    </row>
    <row r="2688" spans="5:5" x14ac:dyDescent="0.25">
      <c r="E2688" s="25"/>
    </row>
    <row r="2689" spans="5:5" x14ac:dyDescent="0.25">
      <c r="E2689" s="25"/>
    </row>
    <row r="2690" spans="5:5" x14ac:dyDescent="0.25">
      <c r="E2690" s="25"/>
    </row>
    <row r="2691" spans="5:5" x14ac:dyDescent="0.25">
      <c r="E2691" s="25"/>
    </row>
    <row r="2692" spans="5:5" x14ac:dyDescent="0.25">
      <c r="E2692" s="25"/>
    </row>
    <row r="2693" spans="5:5" x14ac:dyDescent="0.25">
      <c r="E2693" s="25"/>
    </row>
    <row r="2694" spans="5:5" x14ac:dyDescent="0.25">
      <c r="E2694" s="25"/>
    </row>
    <row r="2695" spans="5:5" x14ac:dyDescent="0.25">
      <c r="E2695" s="25"/>
    </row>
    <row r="2696" spans="5:5" x14ac:dyDescent="0.25">
      <c r="E2696" s="25"/>
    </row>
    <row r="2697" spans="5:5" x14ac:dyDescent="0.25">
      <c r="E2697" s="25"/>
    </row>
    <row r="2698" spans="5:5" x14ac:dyDescent="0.25">
      <c r="E2698" s="25"/>
    </row>
    <row r="2699" spans="5:5" x14ac:dyDescent="0.25">
      <c r="E2699" s="25"/>
    </row>
    <row r="2700" spans="5:5" x14ac:dyDescent="0.25">
      <c r="E2700" s="25"/>
    </row>
    <row r="2701" spans="5:5" x14ac:dyDescent="0.25">
      <c r="E2701" s="25"/>
    </row>
    <row r="2702" spans="5:5" x14ac:dyDescent="0.25">
      <c r="E2702" s="25"/>
    </row>
    <row r="2703" spans="5:5" x14ac:dyDescent="0.25">
      <c r="E2703" s="25"/>
    </row>
    <row r="2704" spans="5:5" x14ac:dyDescent="0.25">
      <c r="E2704" s="25"/>
    </row>
    <row r="2705" spans="5:5" x14ac:dyDescent="0.25">
      <c r="E2705" s="25"/>
    </row>
    <row r="2706" spans="5:5" x14ac:dyDescent="0.25">
      <c r="E2706" s="25"/>
    </row>
    <row r="2707" spans="5:5" x14ac:dyDescent="0.25">
      <c r="E2707" s="25"/>
    </row>
    <row r="2708" spans="5:5" x14ac:dyDescent="0.25">
      <c r="E2708" s="25"/>
    </row>
    <row r="2709" spans="5:5" x14ac:dyDescent="0.25">
      <c r="E2709" s="25"/>
    </row>
    <row r="2710" spans="5:5" x14ac:dyDescent="0.25">
      <c r="E2710" s="25"/>
    </row>
    <row r="2711" spans="5:5" x14ac:dyDescent="0.25">
      <c r="E2711" s="25"/>
    </row>
    <row r="2712" spans="5:5" x14ac:dyDescent="0.25">
      <c r="E2712" s="25"/>
    </row>
    <row r="2713" spans="5:5" x14ac:dyDescent="0.25">
      <c r="E2713" s="25"/>
    </row>
    <row r="2714" spans="5:5" x14ac:dyDescent="0.25">
      <c r="E2714" s="25"/>
    </row>
    <row r="2715" spans="5:5" x14ac:dyDescent="0.25">
      <c r="E2715" s="25"/>
    </row>
    <row r="2716" spans="5:5" x14ac:dyDescent="0.25">
      <c r="E2716" s="25"/>
    </row>
    <row r="2717" spans="5:5" x14ac:dyDescent="0.25">
      <c r="E2717" s="25"/>
    </row>
    <row r="2718" spans="5:5" x14ac:dyDescent="0.25">
      <c r="E2718" s="25"/>
    </row>
    <row r="2719" spans="5:5" x14ac:dyDescent="0.25">
      <c r="E2719" s="25"/>
    </row>
    <row r="2720" spans="5:5" x14ac:dyDescent="0.25">
      <c r="E2720" s="25"/>
    </row>
    <row r="2721" spans="5:5" x14ac:dyDescent="0.25">
      <c r="E2721" s="25"/>
    </row>
    <row r="2722" spans="5:5" x14ac:dyDescent="0.25">
      <c r="E2722" s="25"/>
    </row>
    <row r="2723" spans="5:5" x14ac:dyDescent="0.25">
      <c r="E2723" s="25"/>
    </row>
    <row r="2724" spans="5:5" x14ac:dyDescent="0.25">
      <c r="E2724" s="25"/>
    </row>
    <row r="2725" spans="5:5" x14ac:dyDescent="0.25">
      <c r="E2725" s="25"/>
    </row>
    <row r="2726" spans="5:5" x14ac:dyDescent="0.25">
      <c r="E2726" s="25"/>
    </row>
    <row r="2727" spans="5:5" x14ac:dyDescent="0.25">
      <c r="E2727" s="25"/>
    </row>
    <row r="2728" spans="5:5" x14ac:dyDescent="0.25">
      <c r="E2728" s="25"/>
    </row>
    <row r="2729" spans="5:5" x14ac:dyDescent="0.25">
      <c r="E2729" s="25"/>
    </row>
    <row r="2730" spans="5:5" x14ac:dyDescent="0.25">
      <c r="E2730" s="25"/>
    </row>
    <row r="2731" spans="5:5" x14ac:dyDescent="0.25">
      <c r="E2731" s="25"/>
    </row>
    <row r="2732" spans="5:5" x14ac:dyDescent="0.25">
      <c r="E2732" s="25"/>
    </row>
    <row r="2733" spans="5:5" x14ac:dyDescent="0.25">
      <c r="E2733" s="25"/>
    </row>
    <row r="2734" spans="5:5" x14ac:dyDescent="0.25">
      <c r="E2734" s="25"/>
    </row>
    <row r="2735" spans="5:5" x14ac:dyDescent="0.25">
      <c r="E2735" s="25"/>
    </row>
    <row r="2736" spans="5:5" x14ac:dyDescent="0.25">
      <c r="E2736" s="25"/>
    </row>
    <row r="2737" spans="5:5" x14ac:dyDescent="0.25">
      <c r="E2737" s="25"/>
    </row>
    <row r="2738" spans="5:5" x14ac:dyDescent="0.25">
      <c r="E2738" s="25"/>
    </row>
    <row r="2739" spans="5:5" x14ac:dyDescent="0.25">
      <c r="E2739" s="25"/>
    </row>
    <row r="2740" spans="5:5" x14ac:dyDescent="0.25">
      <c r="E2740" s="25"/>
    </row>
    <row r="2741" spans="5:5" x14ac:dyDescent="0.25">
      <c r="E2741" s="25"/>
    </row>
    <row r="2742" spans="5:5" x14ac:dyDescent="0.25">
      <c r="E2742" s="25"/>
    </row>
    <row r="2743" spans="5:5" x14ac:dyDescent="0.25">
      <c r="E2743" s="25"/>
    </row>
    <row r="2744" spans="5:5" x14ac:dyDescent="0.25">
      <c r="E2744" s="25"/>
    </row>
    <row r="2745" spans="5:5" x14ac:dyDescent="0.25">
      <c r="E2745" s="25"/>
    </row>
    <row r="2746" spans="5:5" x14ac:dyDescent="0.25">
      <c r="E2746" s="25"/>
    </row>
    <row r="2747" spans="5:5" x14ac:dyDescent="0.25">
      <c r="E2747" s="25"/>
    </row>
    <row r="2748" spans="5:5" x14ac:dyDescent="0.25">
      <c r="E2748" s="25"/>
    </row>
    <row r="2749" spans="5:5" x14ac:dyDescent="0.25">
      <c r="E2749" s="25"/>
    </row>
    <row r="2750" spans="5:5" x14ac:dyDescent="0.25">
      <c r="E2750" s="25"/>
    </row>
    <row r="2751" spans="5:5" x14ac:dyDescent="0.25">
      <c r="E2751" s="25"/>
    </row>
    <row r="2752" spans="5:5" x14ac:dyDescent="0.25">
      <c r="E2752" s="25"/>
    </row>
    <row r="2753" spans="5:5" x14ac:dyDescent="0.25">
      <c r="E2753" s="25"/>
    </row>
    <row r="2754" spans="5:5" x14ac:dyDescent="0.25">
      <c r="E2754" s="25"/>
    </row>
    <row r="2755" spans="5:5" x14ac:dyDescent="0.25">
      <c r="E2755" s="25"/>
    </row>
    <row r="2756" spans="5:5" x14ac:dyDescent="0.25">
      <c r="E2756" s="25"/>
    </row>
    <row r="2757" spans="5:5" x14ac:dyDescent="0.25">
      <c r="E2757" s="25"/>
    </row>
    <row r="2758" spans="5:5" x14ac:dyDescent="0.25">
      <c r="E2758" s="25"/>
    </row>
    <row r="2759" spans="5:5" x14ac:dyDescent="0.25">
      <c r="E2759" s="25"/>
    </row>
    <row r="2760" spans="5:5" x14ac:dyDescent="0.25">
      <c r="E2760" s="25"/>
    </row>
    <row r="2761" spans="5:5" x14ac:dyDescent="0.25">
      <c r="E2761" s="25"/>
    </row>
    <row r="2762" spans="5:5" x14ac:dyDescent="0.25">
      <c r="E2762" s="25"/>
    </row>
    <row r="2763" spans="5:5" x14ac:dyDescent="0.25">
      <c r="E2763" s="25"/>
    </row>
    <row r="2764" spans="5:5" x14ac:dyDescent="0.25">
      <c r="E2764" s="25"/>
    </row>
    <row r="2765" spans="5:5" x14ac:dyDescent="0.25">
      <c r="E2765" s="25"/>
    </row>
    <row r="2766" spans="5:5" x14ac:dyDescent="0.25">
      <c r="E2766" s="25"/>
    </row>
    <row r="2767" spans="5:5" x14ac:dyDescent="0.25">
      <c r="E2767" s="25"/>
    </row>
    <row r="2768" spans="5:5" x14ac:dyDescent="0.25">
      <c r="E2768" s="25"/>
    </row>
    <row r="2769" spans="5:5" x14ac:dyDescent="0.25">
      <c r="E2769" s="25"/>
    </row>
    <row r="2770" spans="5:5" x14ac:dyDescent="0.25">
      <c r="E2770" s="25"/>
    </row>
    <row r="2771" spans="5:5" x14ac:dyDescent="0.25">
      <c r="E2771" s="25"/>
    </row>
    <row r="2772" spans="5:5" x14ac:dyDescent="0.25">
      <c r="E2772" s="25"/>
    </row>
    <row r="2773" spans="5:5" x14ac:dyDescent="0.25">
      <c r="E2773" s="25"/>
    </row>
    <row r="2774" spans="5:5" x14ac:dyDescent="0.25">
      <c r="E2774" s="25"/>
    </row>
    <row r="2775" spans="5:5" x14ac:dyDescent="0.25">
      <c r="E2775" s="25"/>
    </row>
    <row r="2776" spans="5:5" x14ac:dyDescent="0.25">
      <c r="E2776" s="25"/>
    </row>
    <row r="2777" spans="5:5" x14ac:dyDescent="0.25">
      <c r="E2777" s="25"/>
    </row>
    <row r="2778" spans="5:5" x14ac:dyDescent="0.25">
      <c r="E2778" s="25"/>
    </row>
    <row r="2779" spans="5:5" x14ac:dyDescent="0.25">
      <c r="E2779" s="25"/>
    </row>
    <row r="2780" spans="5:5" x14ac:dyDescent="0.25">
      <c r="E2780" s="25"/>
    </row>
    <row r="2781" spans="5:5" x14ac:dyDescent="0.25">
      <c r="E2781" s="25"/>
    </row>
    <row r="2782" spans="5:5" x14ac:dyDescent="0.25">
      <c r="E2782" s="25"/>
    </row>
    <row r="2783" spans="5:5" x14ac:dyDescent="0.25">
      <c r="E2783" s="25"/>
    </row>
    <row r="2784" spans="5:5" x14ac:dyDescent="0.25">
      <c r="E2784" s="25"/>
    </row>
    <row r="2785" spans="5:5" x14ac:dyDescent="0.25">
      <c r="E2785" s="25"/>
    </row>
    <row r="2786" spans="5:5" x14ac:dyDescent="0.25">
      <c r="E2786" s="25"/>
    </row>
    <row r="2787" spans="5:5" x14ac:dyDescent="0.25">
      <c r="E2787" s="25"/>
    </row>
    <row r="2788" spans="5:5" x14ac:dyDescent="0.25">
      <c r="E2788" s="25"/>
    </row>
    <row r="2789" spans="5:5" x14ac:dyDescent="0.25">
      <c r="E2789" s="25"/>
    </row>
    <row r="2790" spans="5:5" x14ac:dyDescent="0.25">
      <c r="E2790" s="25"/>
    </row>
    <row r="2791" spans="5:5" x14ac:dyDescent="0.25">
      <c r="E2791" s="25"/>
    </row>
    <row r="2792" spans="5:5" x14ac:dyDescent="0.25">
      <c r="E2792" s="25"/>
    </row>
    <row r="2793" spans="5:5" x14ac:dyDescent="0.25">
      <c r="E2793" s="25"/>
    </row>
    <row r="2794" spans="5:5" x14ac:dyDescent="0.25">
      <c r="E2794" s="25"/>
    </row>
    <row r="2795" spans="5:5" x14ac:dyDescent="0.25">
      <c r="E2795" s="25"/>
    </row>
    <row r="2796" spans="5:5" x14ac:dyDescent="0.25">
      <c r="E2796" s="25"/>
    </row>
    <row r="2797" spans="5:5" x14ac:dyDescent="0.25">
      <c r="E2797" s="25"/>
    </row>
    <row r="2798" spans="5:5" x14ac:dyDescent="0.25">
      <c r="E2798" s="25"/>
    </row>
    <row r="2799" spans="5:5" x14ac:dyDescent="0.25">
      <c r="E2799" s="25"/>
    </row>
    <row r="2800" spans="5:5" x14ac:dyDescent="0.25">
      <c r="E2800" s="25"/>
    </row>
    <row r="2801" spans="5:5" x14ac:dyDescent="0.25">
      <c r="E2801" s="25"/>
    </row>
    <row r="2802" spans="5:5" x14ac:dyDescent="0.25">
      <c r="E2802" s="25"/>
    </row>
    <row r="2803" spans="5:5" x14ac:dyDescent="0.25">
      <c r="E2803" s="25"/>
    </row>
    <row r="2804" spans="5:5" x14ac:dyDescent="0.25">
      <c r="E2804" s="25"/>
    </row>
    <row r="2805" spans="5:5" x14ac:dyDescent="0.25">
      <c r="E2805" s="25"/>
    </row>
    <row r="2806" spans="5:5" x14ac:dyDescent="0.25">
      <c r="E2806" s="25"/>
    </row>
    <row r="2807" spans="5:5" x14ac:dyDescent="0.25">
      <c r="E2807" s="25"/>
    </row>
    <row r="2808" spans="5:5" x14ac:dyDescent="0.25">
      <c r="E2808" s="25"/>
    </row>
    <row r="2809" spans="5:5" x14ac:dyDescent="0.25">
      <c r="E2809" s="25"/>
    </row>
    <row r="2810" spans="5:5" x14ac:dyDescent="0.25">
      <c r="E2810" s="25"/>
    </row>
    <row r="2811" spans="5:5" x14ac:dyDescent="0.25">
      <c r="E2811" s="25"/>
    </row>
    <row r="2812" spans="5:5" x14ac:dyDescent="0.25">
      <c r="E2812" s="25"/>
    </row>
    <row r="2813" spans="5:5" x14ac:dyDescent="0.25">
      <c r="E2813" s="25"/>
    </row>
    <row r="2814" spans="5:5" x14ac:dyDescent="0.25">
      <c r="E2814" s="25"/>
    </row>
    <row r="2815" spans="5:5" x14ac:dyDescent="0.25">
      <c r="E2815" s="25"/>
    </row>
    <row r="2816" spans="5:5" x14ac:dyDescent="0.25">
      <c r="E2816" s="25"/>
    </row>
    <row r="2817" spans="5:5" x14ac:dyDescent="0.25">
      <c r="E2817" s="25"/>
    </row>
    <row r="2818" spans="5:5" x14ac:dyDescent="0.25">
      <c r="E2818" s="25"/>
    </row>
    <row r="2819" spans="5:5" x14ac:dyDescent="0.25">
      <c r="E2819" s="25"/>
    </row>
    <row r="2820" spans="5:5" x14ac:dyDescent="0.25">
      <c r="E2820" s="25"/>
    </row>
    <row r="2821" spans="5:5" x14ac:dyDescent="0.25">
      <c r="E2821" s="25"/>
    </row>
    <row r="2822" spans="5:5" x14ac:dyDescent="0.25">
      <c r="E2822" s="25"/>
    </row>
    <row r="2823" spans="5:5" x14ac:dyDescent="0.25">
      <c r="E2823" s="25"/>
    </row>
    <row r="2824" spans="5:5" x14ac:dyDescent="0.25">
      <c r="E2824" s="25"/>
    </row>
    <row r="2825" spans="5:5" x14ac:dyDescent="0.25">
      <c r="E2825" s="25"/>
    </row>
    <row r="2826" spans="5:5" x14ac:dyDescent="0.25">
      <c r="E2826" s="25"/>
    </row>
    <row r="2827" spans="5:5" x14ac:dyDescent="0.25">
      <c r="E2827" s="25"/>
    </row>
    <row r="2828" spans="5:5" x14ac:dyDescent="0.25">
      <c r="E2828" s="25"/>
    </row>
    <row r="2829" spans="5:5" x14ac:dyDescent="0.25">
      <c r="E2829" s="25"/>
    </row>
    <row r="2830" spans="5:5" x14ac:dyDescent="0.25">
      <c r="E2830" s="25"/>
    </row>
    <row r="2831" spans="5:5" x14ac:dyDescent="0.25">
      <c r="E2831" s="25"/>
    </row>
    <row r="2832" spans="5:5" x14ac:dyDescent="0.25">
      <c r="E2832" s="25"/>
    </row>
    <row r="2833" spans="5:5" x14ac:dyDescent="0.25">
      <c r="E2833" s="25"/>
    </row>
    <row r="2834" spans="5:5" x14ac:dyDescent="0.25">
      <c r="E2834" s="25"/>
    </row>
    <row r="2835" spans="5:5" x14ac:dyDescent="0.25">
      <c r="E2835" s="25"/>
    </row>
    <row r="2836" spans="5:5" x14ac:dyDescent="0.25">
      <c r="E2836" s="25"/>
    </row>
    <row r="2837" spans="5:5" x14ac:dyDescent="0.25">
      <c r="E2837" s="25"/>
    </row>
    <row r="2838" spans="5:5" x14ac:dyDescent="0.25">
      <c r="E2838" s="25"/>
    </row>
    <row r="2839" spans="5:5" x14ac:dyDescent="0.25">
      <c r="E2839" s="25"/>
    </row>
    <row r="2840" spans="5:5" x14ac:dyDescent="0.25">
      <c r="E2840" s="25"/>
    </row>
    <row r="2841" spans="5:5" x14ac:dyDescent="0.25">
      <c r="E2841" s="25"/>
    </row>
    <row r="2842" spans="5:5" x14ac:dyDescent="0.25">
      <c r="E2842" s="25"/>
    </row>
    <row r="2843" spans="5:5" x14ac:dyDescent="0.25">
      <c r="E2843" s="25"/>
    </row>
    <row r="2844" spans="5:5" x14ac:dyDescent="0.25">
      <c r="E2844" s="25"/>
    </row>
    <row r="2845" spans="5:5" x14ac:dyDescent="0.25">
      <c r="E2845" s="25"/>
    </row>
    <row r="2846" spans="5:5" x14ac:dyDescent="0.25">
      <c r="E2846" s="25"/>
    </row>
    <row r="2847" spans="5:5" x14ac:dyDescent="0.25">
      <c r="E2847" s="25"/>
    </row>
    <row r="2848" spans="5:5" x14ac:dyDescent="0.25">
      <c r="E2848" s="25"/>
    </row>
    <row r="2849" spans="5:5" x14ac:dyDescent="0.25">
      <c r="E2849" s="25"/>
    </row>
    <row r="2850" spans="5:5" x14ac:dyDescent="0.25">
      <c r="E2850" s="25"/>
    </row>
    <row r="2851" spans="5:5" x14ac:dyDescent="0.25">
      <c r="E2851" s="25"/>
    </row>
    <row r="2852" spans="5:5" x14ac:dyDescent="0.25">
      <c r="E2852" s="25"/>
    </row>
    <row r="2853" spans="5:5" x14ac:dyDescent="0.25">
      <c r="E2853" s="25"/>
    </row>
    <row r="2854" spans="5:5" x14ac:dyDescent="0.25">
      <c r="E2854" s="25"/>
    </row>
    <row r="2855" spans="5:5" x14ac:dyDescent="0.25">
      <c r="E2855" s="25"/>
    </row>
    <row r="2856" spans="5:5" x14ac:dyDescent="0.25">
      <c r="E2856" s="25"/>
    </row>
    <row r="2857" spans="5:5" x14ac:dyDescent="0.25">
      <c r="E2857" s="25"/>
    </row>
    <row r="2858" spans="5:5" x14ac:dyDescent="0.25">
      <c r="E2858" s="25"/>
    </row>
    <row r="2859" spans="5:5" x14ac:dyDescent="0.25">
      <c r="E2859" s="25"/>
    </row>
    <row r="2860" spans="5:5" x14ac:dyDescent="0.25">
      <c r="E2860" s="25"/>
    </row>
    <row r="2861" spans="5:5" x14ac:dyDescent="0.25">
      <c r="E2861" s="25"/>
    </row>
    <row r="2862" spans="5:5" x14ac:dyDescent="0.25">
      <c r="E2862" s="25"/>
    </row>
    <row r="2863" spans="5:5" x14ac:dyDescent="0.25">
      <c r="E2863" s="25"/>
    </row>
    <row r="2864" spans="5:5" x14ac:dyDescent="0.25">
      <c r="E2864" s="25"/>
    </row>
    <row r="2865" spans="5:5" x14ac:dyDescent="0.25">
      <c r="E2865" s="25"/>
    </row>
    <row r="2866" spans="5:5" x14ac:dyDescent="0.25">
      <c r="E2866" s="25"/>
    </row>
    <row r="2867" spans="5:5" x14ac:dyDescent="0.25">
      <c r="E2867" s="25"/>
    </row>
    <row r="2868" spans="5:5" x14ac:dyDescent="0.25">
      <c r="E2868" s="25"/>
    </row>
    <row r="2869" spans="5:5" x14ac:dyDescent="0.25">
      <c r="E2869" s="25"/>
    </row>
    <row r="2870" spans="5:5" x14ac:dyDescent="0.25">
      <c r="E2870" s="25"/>
    </row>
    <row r="2871" spans="5:5" x14ac:dyDescent="0.25">
      <c r="E2871" s="25"/>
    </row>
    <row r="2872" spans="5:5" x14ac:dyDescent="0.25">
      <c r="E2872" s="25"/>
    </row>
    <row r="2873" spans="5:5" x14ac:dyDescent="0.25">
      <c r="E2873" s="25"/>
    </row>
    <row r="2874" spans="5:5" x14ac:dyDescent="0.25">
      <c r="E2874" s="25"/>
    </row>
    <row r="2875" spans="5:5" x14ac:dyDescent="0.25">
      <c r="E2875" s="25"/>
    </row>
    <row r="2876" spans="5:5" x14ac:dyDescent="0.25">
      <c r="E2876" s="25"/>
    </row>
    <row r="2877" spans="5:5" x14ac:dyDescent="0.25">
      <c r="E2877" s="25"/>
    </row>
    <row r="2878" spans="5:5" x14ac:dyDescent="0.25">
      <c r="E2878" s="25"/>
    </row>
    <row r="2879" spans="5:5" x14ac:dyDescent="0.25">
      <c r="E2879" s="25"/>
    </row>
    <row r="2880" spans="5:5" x14ac:dyDescent="0.25">
      <c r="E2880" s="25"/>
    </row>
    <row r="2881" spans="5:5" x14ac:dyDescent="0.25">
      <c r="E2881" s="25"/>
    </row>
    <row r="2882" spans="5:5" x14ac:dyDescent="0.25">
      <c r="E2882" s="25"/>
    </row>
    <row r="2883" spans="5:5" x14ac:dyDescent="0.25">
      <c r="E2883" s="25"/>
    </row>
    <row r="2884" spans="5:5" x14ac:dyDescent="0.25">
      <c r="E2884" s="25"/>
    </row>
    <row r="2885" spans="5:5" x14ac:dyDescent="0.25">
      <c r="E2885" s="25"/>
    </row>
    <row r="2886" spans="5:5" x14ac:dyDescent="0.25">
      <c r="E2886" s="25"/>
    </row>
    <row r="2887" spans="5:5" x14ac:dyDescent="0.25">
      <c r="E2887" s="25"/>
    </row>
    <row r="2888" spans="5:5" x14ac:dyDescent="0.25">
      <c r="E2888" s="25"/>
    </row>
    <row r="2889" spans="5:5" x14ac:dyDescent="0.25">
      <c r="E2889" s="25"/>
    </row>
    <row r="2890" spans="5:5" x14ac:dyDescent="0.25">
      <c r="E2890" s="25"/>
    </row>
    <row r="2891" spans="5:5" x14ac:dyDescent="0.25">
      <c r="E2891" s="25"/>
    </row>
    <row r="2892" spans="5:5" x14ac:dyDescent="0.25">
      <c r="E2892" s="25"/>
    </row>
    <row r="2893" spans="5:5" x14ac:dyDescent="0.25">
      <c r="E2893" s="25"/>
    </row>
    <row r="2894" spans="5:5" x14ac:dyDescent="0.25">
      <c r="E2894" s="25"/>
    </row>
    <row r="2895" spans="5:5" x14ac:dyDescent="0.25">
      <c r="E2895" s="25"/>
    </row>
    <row r="2896" spans="5:5" x14ac:dyDescent="0.25">
      <c r="E2896" s="25"/>
    </row>
    <row r="2897" spans="5:5" x14ac:dyDescent="0.25">
      <c r="E2897" s="25"/>
    </row>
    <row r="2898" spans="5:5" x14ac:dyDescent="0.25">
      <c r="E2898" s="25"/>
    </row>
    <row r="2899" spans="5:5" x14ac:dyDescent="0.25">
      <c r="E2899" s="25"/>
    </row>
    <row r="2900" spans="5:5" x14ac:dyDescent="0.25">
      <c r="E2900" s="25"/>
    </row>
    <row r="2901" spans="5:5" x14ac:dyDescent="0.25">
      <c r="E2901" s="25"/>
    </row>
    <row r="2902" spans="5:5" x14ac:dyDescent="0.25">
      <c r="E2902" s="25"/>
    </row>
    <row r="2903" spans="5:5" x14ac:dyDescent="0.25">
      <c r="E2903" s="25"/>
    </row>
    <row r="2904" spans="5:5" x14ac:dyDescent="0.25">
      <c r="E2904" s="25"/>
    </row>
    <row r="2905" spans="5:5" x14ac:dyDescent="0.25">
      <c r="E2905" s="25"/>
    </row>
    <row r="2906" spans="5:5" x14ac:dyDescent="0.25">
      <c r="E2906" s="25"/>
    </row>
    <row r="2907" spans="5:5" x14ac:dyDescent="0.25">
      <c r="E2907" s="25"/>
    </row>
    <row r="2908" spans="5:5" x14ac:dyDescent="0.25">
      <c r="E2908" s="25"/>
    </row>
    <row r="2909" spans="5:5" x14ac:dyDescent="0.25">
      <c r="E2909" s="25"/>
    </row>
    <row r="2910" spans="5:5" x14ac:dyDescent="0.25">
      <c r="E2910" s="25"/>
    </row>
    <row r="2911" spans="5:5" x14ac:dyDescent="0.25">
      <c r="E2911" s="25"/>
    </row>
    <row r="2912" spans="5:5" x14ac:dyDescent="0.25">
      <c r="E2912" s="25"/>
    </row>
    <row r="2913" spans="5:5" x14ac:dyDescent="0.25">
      <c r="E2913" s="25"/>
    </row>
    <row r="2914" spans="5:5" x14ac:dyDescent="0.25">
      <c r="E2914" s="25"/>
    </row>
    <row r="2915" spans="5:5" x14ac:dyDescent="0.25">
      <c r="E2915" s="25"/>
    </row>
    <row r="2916" spans="5:5" x14ac:dyDescent="0.25">
      <c r="E2916" s="25"/>
    </row>
    <row r="2917" spans="5:5" x14ac:dyDescent="0.25">
      <c r="E2917" s="25"/>
    </row>
    <row r="2918" spans="5:5" x14ac:dyDescent="0.25">
      <c r="E2918" s="25"/>
    </row>
    <row r="2919" spans="5:5" x14ac:dyDescent="0.25">
      <c r="E2919" s="25"/>
    </row>
    <row r="2920" spans="5:5" x14ac:dyDescent="0.25">
      <c r="E2920" s="25"/>
    </row>
    <row r="2921" spans="5:5" x14ac:dyDescent="0.25">
      <c r="E2921" s="25"/>
    </row>
    <row r="2922" spans="5:5" x14ac:dyDescent="0.25">
      <c r="E2922" s="25"/>
    </row>
    <row r="2923" spans="5:5" x14ac:dyDescent="0.25">
      <c r="E2923" s="25"/>
    </row>
    <row r="2924" spans="5:5" x14ac:dyDescent="0.25">
      <c r="E2924" s="25"/>
    </row>
    <row r="2925" spans="5:5" x14ac:dyDescent="0.25">
      <c r="E2925" s="25"/>
    </row>
    <row r="2926" spans="5:5" x14ac:dyDescent="0.25">
      <c r="E2926" s="25"/>
    </row>
    <row r="2927" spans="5:5" x14ac:dyDescent="0.25">
      <c r="E2927" s="25"/>
    </row>
    <row r="2928" spans="5:5" x14ac:dyDescent="0.25">
      <c r="E2928" s="25"/>
    </row>
    <row r="2929" spans="5:5" x14ac:dyDescent="0.25">
      <c r="E2929" s="25"/>
    </row>
    <row r="2930" spans="5:5" x14ac:dyDescent="0.25">
      <c r="E2930" s="25"/>
    </row>
    <row r="2931" spans="5:5" x14ac:dyDescent="0.25">
      <c r="E2931" s="25"/>
    </row>
    <row r="2932" spans="5:5" x14ac:dyDescent="0.25">
      <c r="E2932" s="25"/>
    </row>
    <row r="2933" spans="5:5" x14ac:dyDescent="0.25">
      <c r="E2933" s="25"/>
    </row>
    <row r="2934" spans="5:5" x14ac:dyDescent="0.25">
      <c r="E2934" s="25"/>
    </row>
    <row r="2935" spans="5:5" x14ac:dyDescent="0.25">
      <c r="E2935" s="25"/>
    </row>
    <row r="2936" spans="5:5" x14ac:dyDescent="0.25">
      <c r="E2936" s="25"/>
    </row>
    <row r="2937" spans="5:5" x14ac:dyDescent="0.25">
      <c r="E2937" s="25"/>
    </row>
    <row r="2938" spans="5:5" x14ac:dyDescent="0.25">
      <c r="E2938" s="25"/>
    </row>
    <row r="2939" spans="5:5" x14ac:dyDescent="0.25">
      <c r="E2939" s="25"/>
    </row>
    <row r="2940" spans="5:5" x14ac:dyDescent="0.25">
      <c r="E2940" s="25"/>
    </row>
    <row r="2941" spans="5:5" x14ac:dyDescent="0.25">
      <c r="E2941" s="25"/>
    </row>
    <row r="2942" spans="5:5" x14ac:dyDescent="0.25">
      <c r="E2942" s="25"/>
    </row>
    <row r="2943" spans="5:5" x14ac:dyDescent="0.25">
      <c r="E2943" s="25"/>
    </row>
    <row r="2944" spans="5:5" x14ac:dyDescent="0.25">
      <c r="E2944" s="25"/>
    </row>
    <row r="2945" spans="5:5" x14ac:dyDescent="0.25">
      <c r="E2945" s="25"/>
    </row>
    <row r="2946" spans="5:5" x14ac:dyDescent="0.25">
      <c r="E2946" s="25"/>
    </row>
    <row r="2947" spans="5:5" x14ac:dyDescent="0.25">
      <c r="E2947" s="25"/>
    </row>
    <row r="2948" spans="5:5" x14ac:dyDescent="0.25">
      <c r="E2948" s="25"/>
    </row>
    <row r="2949" spans="5:5" x14ac:dyDescent="0.25">
      <c r="E2949" s="25"/>
    </row>
    <row r="2950" spans="5:5" x14ac:dyDescent="0.25">
      <c r="E2950" s="25"/>
    </row>
    <row r="2951" spans="5:5" x14ac:dyDescent="0.25">
      <c r="E2951" s="25"/>
    </row>
    <row r="2952" spans="5:5" x14ac:dyDescent="0.25">
      <c r="E2952" s="25"/>
    </row>
    <row r="2953" spans="5:5" x14ac:dyDescent="0.25">
      <c r="E2953" s="25"/>
    </row>
    <row r="2954" spans="5:5" x14ac:dyDescent="0.25">
      <c r="E2954" s="25"/>
    </row>
    <row r="2955" spans="5:5" x14ac:dyDescent="0.25">
      <c r="E2955" s="25"/>
    </row>
    <row r="2956" spans="5:5" x14ac:dyDescent="0.25">
      <c r="E2956" s="25"/>
    </row>
    <row r="2957" spans="5:5" x14ac:dyDescent="0.25">
      <c r="E2957" s="25"/>
    </row>
    <row r="2958" spans="5:5" x14ac:dyDescent="0.25">
      <c r="E2958" s="25"/>
    </row>
    <row r="2959" spans="5:5" x14ac:dyDescent="0.25">
      <c r="E2959" s="25"/>
    </row>
    <row r="2960" spans="5:5" x14ac:dyDescent="0.25">
      <c r="E2960" s="25"/>
    </row>
    <row r="2961" spans="5:5" x14ac:dyDescent="0.25">
      <c r="E2961" s="25"/>
    </row>
    <row r="2962" spans="5:5" x14ac:dyDescent="0.25">
      <c r="E2962" s="25"/>
    </row>
    <row r="2963" spans="5:5" x14ac:dyDescent="0.25">
      <c r="E2963" s="25"/>
    </row>
    <row r="2964" spans="5:5" x14ac:dyDescent="0.25">
      <c r="E2964" s="25"/>
    </row>
    <row r="2965" spans="5:5" x14ac:dyDescent="0.25">
      <c r="E2965" s="25"/>
    </row>
    <row r="2966" spans="5:5" x14ac:dyDescent="0.25">
      <c r="E2966" s="25"/>
    </row>
    <row r="2967" spans="5:5" x14ac:dyDescent="0.25">
      <c r="E2967" s="25"/>
    </row>
    <row r="2968" spans="5:5" x14ac:dyDescent="0.25">
      <c r="E2968" s="25"/>
    </row>
    <row r="2969" spans="5:5" x14ac:dyDescent="0.25">
      <c r="E2969" s="25"/>
    </row>
    <row r="2970" spans="5:5" x14ac:dyDescent="0.25">
      <c r="E2970" s="25"/>
    </row>
    <row r="2971" spans="5:5" x14ac:dyDescent="0.25">
      <c r="E2971" s="25"/>
    </row>
    <row r="2972" spans="5:5" x14ac:dyDescent="0.25">
      <c r="E2972" s="25"/>
    </row>
    <row r="2973" spans="5:5" x14ac:dyDescent="0.25">
      <c r="E2973" s="25"/>
    </row>
    <row r="2974" spans="5:5" x14ac:dyDescent="0.25">
      <c r="E2974" s="25"/>
    </row>
    <row r="2975" spans="5:5" x14ac:dyDescent="0.25">
      <c r="E2975" s="25"/>
    </row>
    <row r="2976" spans="5:5" x14ac:dyDescent="0.25">
      <c r="E2976" s="25"/>
    </row>
    <row r="2977" spans="5:5" x14ac:dyDescent="0.25">
      <c r="E2977" s="25"/>
    </row>
    <row r="2978" spans="5:5" x14ac:dyDescent="0.25">
      <c r="E2978" s="25"/>
    </row>
    <row r="2979" spans="5:5" x14ac:dyDescent="0.25">
      <c r="E2979" s="25"/>
    </row>
    <row r="2980" spans="5:5" x14ac:dyDescent="0.25">
      <c r="E2980" s="25"/>
    </row>
    <row r="2981" spans="5:5" x14ac:dyDescent="0.25">
      <c r="E2981" s="25"/>
    </row>
    <row r="2982" spans="5:5" x14ac:dyDescent="0.25">
      <c r="E2982" s="25"/>
    </row>
    <row r="2983" spans="5:5" x14ac:dyDescent="0.25">
      <c r="E2983" s="25"/>
    </row>
    <row r="2984" spans="5:5" x14ac:dyDescent="0.25">
      <c r="E2984" s="25"/>
    </row>
    <row r="2985" spans="5:5" x14ac:dyDescent="0.25">
      <c r="E2985" s="25"/>
    </row>
    <row r="2986" spans="5:5" x14ac:dyDescent="0.25">
      <c r="E2986" s="25"/>
    </row>
    <row r="2987" spans="5:5" x14ac:dyDescent="0.25">
      <c r="E2987" s="25"/>
    </row>
    <row r="2988" spans="5:5" x14ac:dyDescent="0.25">
      <c r="E2988" s="25"/>
    </row>
    <row r="2989" spans="5:5" x14ac:dyDescent="0.25">
      <c r="E2989" s="25"/>
    </row>
    <row r="2990" spans="5:5" x14ac:dyDescent="0.25">
      <c r="E2990" s="25"/>
    </row>
    <row r="2991" spans="5:5" x14ac:dyDescent="0.25">
      <c r="E2991" s="25"/>
    </row>
    <row r="2992" spans="5:5" x14ac:dyDescent="0.25">
      <c r="E2992" s="25"/>
    </row>
    <row r="2993" spans="5:5" x14ac:dyDescent="0.25">
      <c r="E2993" s="25"/>
    </row>
    <row r="2994" spans="5:5" x14ac:dyDescent="0.25">
      <c r="E2994" s="25"/>
    </row>
    <row r="2995" spans="5:5" x14ac:dyDescent="0.25">
      <c r="E2995" s="25"/>
    </row>
    <row r="2996" spans="5:5" x14ac:dyDescent="0.25">
      <c r="E2996" s="25"/>
    </row>
    <row r="2997" spans="5:5" x14ac:dyDescent="0.25">
      <c r="E2997" s="25"/>
    </row>
    <row r="2998" spans="5:5" x14ac:dyDescent="0.25">
      <c r="E2998" s="25"/>
    </row>
    <row r="2999" spans="5:5" x14ac:dyDescent="0.25">
      <c r="E2999" s="25"/>
    </row>
    <row r="3000" spans="5:5" x14ac:dyDescent="0.25">
      <c r="E3000" s="25"/>
    </row>
    <row r="3001" spans="5:5" x14ac:dyDescent="0.25">
      <c r="E3001" s="25"/>
    </row>
    <row r="3002" spans="5:5" x14ac:dyDescent="0.25">
      <c r="E3002" s="25"/>
    </row>
    <row r="3003" spans="5:5" x14ac:dyDescent="0.25">
      <c r="E3003" s="25"/>
    </row>
    <row r="3004" spans="5:5" x14ac:dyDescent="0.25">
      <c r="E3004" s="25"/>
    </row>
    <row r="3005" spans="5:5" x14ac:dyDescent="0.25">
      <c r="E3005" s="25"/>
    </row>
    <row r="3006" spans="5:5" x14ac:dyDescent="0.25">
      <c r="E3006" s="25"/>
    </row>
    <row r="3007" spans="5:5" x14ac:dyDescent="0.25">
      <c r="E3007" s="25"/>
    </row>
    <row r="3008" spans="5:5" x14ac:dyDescent="0.25">
      <c r="E3008" s="25"/>
    </row>
    <row r="3009" spans="5:5" x14ac:dyDescent="0.25">
      <c r="E3009" s="25"/>
    </row>
    <row r="3010" spans="5:5" x14ac:dyDescent="0.25">
      <c r="E3010" s="25"/>
    </row>
    <row r="3011" spans="5:5" x14ac:dyDescent="0.25">
      <c r="E3011" s="25"/>
    </row>
    <row r="3012" spans="5:5" x14ac:dyDescent="0.25">
      <c r="E3012" s="25"/>
    </row>
    <row r="3013" spans="5:5" x14ac:dyDescent="0.25">
      <c r="E3013" s="25"/>
    </row>
    <row r="3014" spans="5:5" x14ac:dyDescent="0.25">
      <c r="E3014" s="25"/>
    </row>
    <row r="3015" spans="5:5" x14ac:dyDescent="0.25">
      <c r="E3015" s="25"/>
    </row>
    <row r="3016" spans="5:5" x14ac:dyDescent="0.25">
      <c r="E3016" s="25"/>
    </row>
    <row r="3017" spans="5:5" x14ac:dyDescent="0.25">
      <c r="E3017" s="25"/>
    </row>
    <row r="3018" spans="5:5" x14ac:dyDescent="0.25">
      <c r="E3018" s="25"/>
    </row>
    <row r="3019" spans="5:5" x14ac:dyDescent="0.25">
      <c r="E3019" s="25"/>
    </row>
    <row r="3020" spans="5:5" x14ac:dyDescent="0.25">
      <c r="E3020" s="25"/>
    </row>
    <row r="3021" spans="5:5" x14ac:dyDescent="0.25">
      <c r="E3021" s="25"/>
    </row>
    <row r="3022" spans="5:5" x14ac:dyDescent="0.25">
      <c r="E3022" s="25"/>
    </row>
    <row r="3023" spans="5:5" x14ac:dyDescent="0.25">
      <c r="E3023" s="25"/>
    </row>
    <row r="3024" spans="5:5" x14ac:dyDescent="0.25">
      <c r="E3024" s="25"/>
    </row>
    <row r="3025" spans="5:5" x14ac:dyDescent="0.25">
      <c r="E3025" s="25"/>
    </row>
    <row r="3026" spans="5:5" x14ac:dyDescent="0.25">
      <c r="E3026" s="25"/>
    </row>
    <row r="3027" spans="5:5" x14ac:dyDescent="0.25">
      <c r="E3027" s="25"/>
    </row>
    <row r="3028" spans="5:5" x14ac:dyDescent="0.25">
      <c r="E3028" s="25"/>
    </row>
    <row r="3029" spans="5:5" x14ac:dyDescent="0.25">
      <c r="E3029" s="25"/>
    </row>
    <row r="3030" spans="5:5" x14ac:dyDescent="0.25">
      <c r="E3030" s="25"/>
    </row>
    <row r="3031" spans="5:5" x14ac:dyDescent="0.25">
      <c r="E3031" s="25"/>
    </row>
    <row r="3032" spans="5:5" x14ac:dyDescent="0.25">
      <c r="E3032" s="25"/>
    </row>
    <row r="3033" spans="5:5" x14ac:dyDescent="0.25">
      <c r="E3033" s="25"/>
    </row>
    <row r="3034" spans="5:5" x14ac:dyDescent="0.25">
      <c r="E3034" s="25"/>
    </row>
    <row r="3035" spans="5:5" x14ac:dyDescent="0.25">
      <c r="E3035" s="25"/>
    </row>
    <row r="3036" spans="5:5" x14ac:dyDescent="0.25">
      <c r="E3036" s="25"/>
    </row>
    <row r="3037" spans="5:5" x14ac:dyDescent="0.25">
      <c r="E3037" s="25"/>
    </row>
    <row r="3038" spans="5:5" x14ac:dyDescent="0.25">
      <c r="E3038" s="25"/>
    </row>
    <row r="3039" spans="5:5" x14ac:dyDescent="0.25">
      <c r="E3039" s="25"/>
    </row>
    <row r="3040" spans="5:5" x14ac:dyDescent="0.25">
      <c r="E3040" s="25"/>
    </row>
    <row r="3041" spans="5:5" x14ac:dyDescent="0.25">
      <c r="E3041" s="25"/>
    </row>
    <row r="3042" spans="5:5" x14ac:dyDescent="0.25">
      <c r="E3042" s="25"/>
    </row>
    <row r="3043" spans="5:5" x14ac:dyDescent="0.25">
      <c r="E3043" s="25"/>
    </row>
    <row r="3044" spans="5:5" x14ac:dyDescent="0.25">
      <c r="E3044" s="25"/>
    </row>
    <row r="3045" spans="5:5" x14ac:dyDescent="0.25">
      <c r="E3045" s="25"/>
    </row>
    <row r="3046" spans="5:5" x14ac:dyDescent="0.25">
      <c r="E3046" s="25"/>
    </row>
    <row r="3047" spans="5:5" x14ac:dyDescent="0.25">
      <c r="E3047" s="25"/>
    </row>
    <row r="3048" spans="5:5" x14ac:dyDescent="0.25">
      <c r="E3048" s="25"/>
    </row>
    <row r="3049" spans="5:5" x14ac:dyDescent="0.25">
      <c r="E3049" s="25"/>
    </row>
    <row r="3050" spans="5:5" x14ac:dyDescent="0.25">
      <c r="E3050" s="25"/>
    </row>
    <row r="3051" spans="5:5" x14ac:dyDescent="0.25">
      <c r="E3051" s="25"/>
    </row>
    <row r="3052" spans="5:5" x14ac:dyDescent="0.25">
      <c r="E3052" s="25"/>
    </row>
    <row r="3053" spans="5:5" x14ac:dyDescent="0.25">
      <c r="E3053" s="25"/>
    </row>
    <row r="3054" spans="5:5" x14ac:dyDescent="0.25">
      <c r="E3054" s="25"/>
    </row>
    <row r="3055" spans="5:5" x14ac:dyDescent="0.25">
      <c r="E3055" s="25"/>
    </row>
    <row r="3056" spans="5:5" x14ac:dyDescent="0.25">
      <c r="E3056" s="25"/>
    </row>
    <row r="3057" spans="5:5" x14ac:dyDescent="0.25">
      <c r="E3057" s="25"/>
    </row>
    <row r="3058" spans="5:5" x14ac:dyDescent="0.25">
      <c r="E3058" s="25"/>
    </row>
    <row r="3059" spans="5:5" x14ac:dyDescent="0.25">
      <c r="E3059" s="25"/>
    </row>
    <row r="3060" spans="5:5" x14ac:dyDescent="0.25">
      <c r="E3060" s="25"/>
    </row>
    <row r="3061" spans="5:5" x14ac:dyDescent="0.25">
      <c r="E3061" s="25"/>
    </row>
    <row r="3062" spans="5:5" x14ac:dyDescent="0.25">
      <c r="E3062" s="25"/>
    </row>
    <row r="3063" spans="5:5" x14ac:dyDescent="0.25">
      <c r="E3063" s="25"/>
    </row>
    <row r="3064" spans="5:5" x14ac:dyDescent="0.25">
      <c r="E3064" s="25"/>
    </row>
    <row r="3065" spans="5:5" x14ac:dyDescent="0.25">
      <c r="E3065" s="25"/>
    </row>
    <row r="3066" spans="5:5" x14ac:dyDescent="0.25">
      <c r="E3066" s="25"/>
    </row>
    <row r="3067" spans="5:5" x14ac:dyDescent="0.25">
      <c r="E3067" s="25"/>
    </row>
    <row r="3068" spans="5:5" x14ac:dyDescent="0.25">
      <c r="E3068" s="25"/>
    </row>
    <row r="3069" spans="5:5" x14ac:dyDescent="0.25">
      <c r="E3069" s="25"/>
    </row>
    <row r="3070" spans="5:5" x14ac:dyDescent="0.25">
      <c r="E3070" s="25"/>
    </row>
    <row r="3071" spans="5:5" x14ac:dyDescent="0.25">
      <c r="E3071" s="25"/>
    </row>
    <row r="3072" spans="5:5" x14ac:dyDescent="0.25">
      <c r="E3072" s="25"/>
    </row>
    <row r="3073" spans="5:5" x14ac:dyDescent="0.25">
      <c r="E3073" s="25"/>
    </row>
    <row r="3074" spans="5:5" x14ac:dyDescent="0.25">
      <c r="E3074" s="25"/>
    </row>
    <row r="3075" spans="5:5" x14ac:dyDescent="0.25">
      <c r="E3075" s="25"/>
    </row>
    <row r="3076" spans="5:5" x14ac:dyDescent="0.25">
      <c r="E3076" s="25"/>
    </row>
    <row r="3077" spans="5:5" x14ac:dyDescent="0.25">
      <c r="E3077" s="25"/>
    </row>
    <row r="3078" spans="5:5" x14ac:dyDescent="0.25">
      <c r="E3078" s="25"/>
    </row>
    <row r="3079" spans="5:5" x14ac:dyDescent="0.25">
      <c r="E3079" s="25"/>
    </row>
    <row r="3080" spans="5:5" x14ac:dyDescent="0.25">
      <c r="E3080" s="25"/>
    </row>
    <row r="3081" spans="5:5" x14ac:dyDescent="0.25">
      <c r="E3081" s="25"/>
    </row>
    <row r="3082" spans="5:5" x14ac:dyDescent="0.25">
      <c r="E3082" s="25"/>
    </row>
    <row r="3083" spans="5:5" x14ac:dyDescent="0.25">
      <c r="E3083" s="25"/>
    </row>
    <row r="3084" spans="5:5" x14ac:dyDescent="0.25">
      <c r="E3084" s="25"/>
    </row>
    <row r="3085" spans="5:5" x14ac:dyDescent="0.25">
      <c r="E3085" s="25"/>
    </row>
    <row r="3086" spans="5:5" x14ac:dyDescent="0.25">
      <c r="E3086" s="25"/>
    </row>
    <row r="3087" spans="5:5" x14ac:dyDescent="0.25">
      <c r="E3087" s="25"/>
    </row>
    <row r="3088" spans="5:5" x14ac:dyDescent="0.25">
      <c r="E3088" s="25"/>
    </row>
    <row r="3089" spans="5:5" x14ac:dyDescent="0.25">
      <c r="E3089" s="25"/>
    </row>
    <row r="3090" spans="5:5" x14ac:dyDescent="0.25">
      <c r="E3090" s="25"/>
    </row>
    <row r="3091" spans="5:5" x14ac:dyDescent="0.25">
      <c r="E3091" s="25"/>
    </row>
    <row r="3092" spans="5:5" x14ac:dyDescent="0.25">
      <c r="E3092" s="25"/>
    </row>
    <row r="3093" spans="5:5" x14ac:dyDescent="0.25">
      <c r="E3093" s="25"/>
    </row>
    <row r="3094" spans="5:5" x14ac:dyDescent="0.25">
      <c r="E3094" s="25"/>
    </row>
    <row r="3095" spans="5:5" x14ac:dyDescent="0.25">
      <c r="E3095" s="25"/>
    </row>
    <row r="3096" spans="5:5" x14ac:dyDescent="0.25">
      <c r="E3096" s="25"/>
    </row>
    <row r="3097" spans="5:5" x14ac:dyDescent="0.25">
      <c r="E3097" s="25"/>
    </row>
    <row r="3098" spans="5:5" x14ac:dyDescent="0.25">
      <c r="E3098" s="25"/>
    </row>
    <row r="3099" spans="5:5" x14ac:dyDescent="0.25">
      <c r="E3099" s="25"/>
    </row>
    <row r="3100" spans="5:5" x14ac:dyDescent="0.25">
      <c r="E3100" s="25"/>
    </row>
    <row r="3101" spans="5:5" x14ac:dyDescent="0.25">
      <c r="E3101" s="25"/>
    </row>
    <row r="3102" spans="5:5" x14ac:dyDescent="0.25">
      <c r="E3102" s="25"/>
    </row>
    <row r="3103" spans="5:5" x14ac:dyDescent="0.25">
      <c r="E3103" s="25"/>
    </row>
    <row r="3104" spans="5:5" x14ac:dyDescent="0.25">
      <c r="E3104" s="25"/>
    </row>
    <row r="3105" spans="5:5" x14ac:dyDescent="0.25">
      <c r="E3105" s="25"/>
    </row>
    <row r="3106" spans="5:5" x14ac:dyDescent="0.25">
      <c r="E3106" s="25"/>
    </row>
    <row r="3107" spans="5:5" x14ac:dyDescent="0.25">
      <c r="E3107" s="25"/>
    </row>
    <row r="3108" spans="5:5" x14ac:dyDescent="0.25">
      <c r="E3108" s="25"/>
    </row>
    <row r="3109" spans="5:5" x14ac:dyDescent="0.25">
      <c r="E3109" s="25"/>
    </row>
    <row r="3110" spans="5:5" x14ac:dyDescent="0.25">
      <c r="E3110" s="25"/>
    </row>
    <row r="3111" spans="5:5" x14ac:dyDescent="0.25">
      <c r="E3111" s="25"/>
    </row>
    <row r="3112" spans="5:5" x14ac:dyDescent="0.25">
      <c r="E3112" s="25"/>
    </row>
    <row r="3113" spans="5:5" x14ac:dyDescent="0.25">
      <c r="E3113" s="25"/>
    </row>
    <row r="3114" spans="5:5" x14ac:dyDescent="0.25">
      <c r="E3114" s="25"/>
    </row>
    <row r="3115" spans="5:5" x14ac:dyDescent="0.25">
      <c r="E3115" s="25"/>
    </row>
    <row r="3116" spans="5:5" x14ac:dyDescent="0.25">
      <c r="E3116" s="25"/>
    </row>
    <row r="3117" spans="5:5" x14ac:dyDescent="0.25">
      <c r="E3117" s="25"/>
    </row>
    <row r="3118" spans="5:5" x14ac:dyDescent="0.25">
      <c r="E3118" s="25"/>
    </row>
    <row r="3119" spans="5:5" x14ac:dyDescent="0.25">
      <c r="E3119" s="25"/>
    </row>
    <row r="3120" spans="5:5" x14ac:dyDescent="0.25">
      <c r="E3120" s="25"/>
    </row>
    <row r="3121" spans="5:5" x14ac:dyDescent="0.25">
      <c r="E3121" s="25"/>
    </row>
    <row r="3122" spans="5:5" x14ac:dyDescent="0.25">
      <c r="E3122" s="25"/>
    </row>
    <row r="3123" spans="5:5" x14ac:dyDescent="0.25">
      <c r="E3123" s="25"/>
    </row>
    <row r="3124" spans="5:5" x14ac:dyDescent="0.25">
      <c r="E3124" s="25"/>
    </row>
    <row r="3125" spans="5:5" x14ac:dyDescent="0.25">
      <c r="E3125" s="25"/>
    </row>
    <row r="3126" spans="5:5" x14ac:dyDescent="0.25">
      <c r="E3126" s="25"/>
    </row>
    <row r="3127" spans="5:5" x14ac:dyDescent="0.25">
      <c r="E3127" s="25"/>
    </row>
    <row r="3128" spans="5:5" x14ac:dyDescent="0.25">
      <c r="E3128" s="25"/>
    </row>
    <row r="3129" spans="5:5" x14ac:dyDescent="0.25">
      <c r="E3129" s="25"/>
    </row>
    <row r="3130" spans="5:5" x14ac:dyDescent="0.25">
      <c r="E3130" s="25"/>
    </row>
    <row r="3131" spans="5:5" x14ac:dyDescent="0.25">
      <c r="E3131" s="25"/>
    </row>
    <row r="3132" spans="5:5" x14ac:dyDescent="0.25">
      <c r="E3132" s="25"/>
    </row>
    <row r="3133" spans="5:5" x14ac:dyDescent="0.25">
      <c r="E3133" s="25"/>
    </row>
    <row r="3134" spans="5:5" x14ac:dyDescent="0.25">
      <c r="E3134" s="25"/>
    </row>
    <row r="3135" spans="5:5" x14ac:dyDescent="0.25">
      <c r="E3135" s="25"/>
    </row>
    <row r="3136" spans="5:5" x14ac:dyDescent="0.25">
      <c r="E3136" s="25"/>
    </row>
    <row r="3137" spans="5:5" x14ac:dyDescent="0.25">
      <c r="E3137" s="25"/>
    </row>
    <row r="3138" spans="5:5" x14ac:dyDescent="0.25">
      <c r="E3138" s="25"/>
    </row>
    <row r="3139" spans="5:5" x14ac:dyDescent="0.25">
      <c r="E3139" s="25"/>
    </row>
    <row r="3140" spans="5:5" x14ac:dyDescent="0.25">
      <c r="E3140" s="25"/>
    </row>
    <row r="3141" spans="5:5" x14ac:dyDescent="0.25">
      <c r="E3141" s="25"/>
    </row>
    <row r="3142" spans="5:5" x14ac:dyDescent="0.25">
      <c r="E3142" s="25"/>
    </row>
    <row r="3143" spans="5:5" x14ac:dyDescent="0.25">
      <c r="E3143" s="25"/>
    </row>
    <row r="3144" spans="5:5" x14ac:dyDescent="0.25">
      <c r="E3144" s="25"/>
    </row>
    <row r="3145" spans="5:5" x14ac:dyDescent="0.25">
      <c r="E3145" s="25"/>
    </row>
    <row r="3146" spans="5:5" x14ac:dyDescent="0.25">
      <c r="E3146" s="25"/>
    </row>
    <row r="3147" spans="5:5" x14ac:dyDescent="0.25">
      <c r="E3147" s="25"/>
    </row>
    <row r="3148" spans="5:5" x14ac:dyDescent="0.25">
      <c r="E3148" s="25"/>
    </row>
    <row r="3149" spans="5:5" x14ac:dyDescent="0.25">
      <c r="E3149" s="25"/>
    </row>
    <row r="3150" spans="5:5" x14ac:dyDescent="0.25">
      <c r="E3150" s="25"/>
    </row>
    <row r="3151" spans="5:5" x14ac:dyDescent="0.25">
      <c r="E3151" s="25"/>
    </row>
    <row r="3152" spans="5:5" x14ac:dyDescent="0.25">
      <c r="E3152" s="25"/>
    </row>
    <row r="3153" spans="5:5" x14ac:dyDescent="0.25">
      <c r="E3153" s="25"/>
    </row>
    <row r="3154" spans="5:5" x14ac:dyDescent="0.25">
      <c r="E3154" s="25"/>
    </row>
    <row r="3155" spans="5:5" x14ac:dyDescent="0.25">
      <c r="E3155" s="25"/>
    </row>
    <row r="3156" spans="5:5" x14ac:dyDescent="0.25">
      <c r="E3156" s="25"/>
    </row>
    <row r="3157" spans="5:5" x14ac:dyDescent="0.25">
      <c r="E3157" s="25"/>
    </row>
    <row r="3158" spans="5:5" x14ac:dyDescent="0.25">
      <c r="E3158" s="25"/>
    </row>
    <row r="3159" spans="5:5" x14ac:dyDescent="0.25">
      <c r="E3159" s="25"/>
    </row>
    <row r="3160" spans="5:5" x14ac:dyDescent="0.25">
      <c r="E3160" s="25"/>
    </row>
    <row r="3161" spans="5:5" x14ac:dyDescent="0.25">
      <c r="E3161" s="25"/>
    </row>
    <row r="3162" spans="5:5" x14ac:dyDescent="0.25">
      <c r="E3162" s="25"/>
    </row>
    <row r="3163" spans="5:5" x14ac:dyDescent="0.25">
      <c r="E3163" s="25"/>
    </row>
    <row r="3164" spans="5:5" x14ac:dyDescent="0.25">
      <c r="E3164" s="25"/>
    </row>
    <row r="3165" spans="5:5" x14ac:dyDescent="0.25">
      <c r="E3165" s="25"/>
    </row>
    <row r="3166" spans="5:5" x14ac:dyDescent="0.25">
      <c r="E3166" s="25"/>
    </row>
    <row r="3167" spans="5:5" x14ac:dyDescent="0.25">
      <c r="E3167" s="25"/>
    </row>
    <row r="3168" spans="5:5" x14ac:dyDescent="0.25">
      <c r="E3168" s="25"/>
    </row>
    <row r="3169" spans="5:5" x14ac:dyDescent="0.25">
      <c r="E3169" s="25"/>
    </row>
    <row r="3170" spans="5:5" x14ac:dyDescent="0.25">
      <c r="E3170" s="25"/>
    </row>
    <row r="3171" spans="5:5" x14ac:dyDescent="0.25">
      <c r="E3171" s="25"/>
    </row>
    <row r="3172" spans="5:5" x14ac:dyDescent="0.25">
      <c r="E3172" s="25"/>
    </row>
    <row r="3173" spans="5:5" x14ac:dyDescent="0.25">
      <c r="E3173" s="25"/>
    </row>
    <row r="3174" spans="5:5" x14ac:dyDescent="0.25">
      <c r="E3174" s="25"/>
    </row>
    <row r="3175" spans="5:5" x14ac:dyDescent="0.25">
      <c r="E3175" s="25"/>
    </row>
    <row r="3176" spans="5:5" x14ac:dyDescent="0.25">
      <c r="E3176" s="25"/>
    </row>
    <row r="3177" spans="5:5" x14ac:dyDescent="0.25">
      <c r="E3177" s="25"/>
    </row>
    <row r="3178" spans="5:5" x14ac:dyDescent="0.25">
      <c r="E3178" s="25"/>
    </row>
    <row r="3179" spans="5:5" x14ac:dyDescent="0.25">
      <c r="E3179" s="25"/>
    </row>
    <row r="3180" spans="5:5" x14ac:dyDescent="0.25">
      <c r="E3180" s="25"/>
    </row>
    <row r="3181" spans="5:5" x14ac:dyDescent="0.25">
      <c r="E3181" s="25"/>
    </row>
    <row r="3182" spans="5:5" x14ac:dyDescent="0.25">
      <c r="E3182" s="25"/>
    </row>
    <row r="3183" spans="5:5" x14ac:dyDescent="0.25">
      <c r="E3183" s="25"/>
    </row>
    <row r="3184" spans="5:5" x14ac:dyDescent="0.25">
      <c r="E3184" s="25"/>
    </row>
    <row r="3185" spans="5:5" x14ac:dyDescent="0.25">
      <c r="E3185" s="25"/>
    </row>
    <row r="3186" spans="5:5" x14ac:dyDescent="0.25">
      <c r="E3186" s="25"/>
    </row>
    <row r="3187" spans="5:5" x14ac:dyDescent="0.25">
      <c r="E3187" s="25"/>
    </row>
    <row r="3188" spans="5:5" x14ac:dyDescent="0.25">
      <c r="E3188" s="25"/>
    </row>
    <row r="3189" spans="5:5" x14ac:dyDescent="0.25">
      <c r="E3189" s="25"/>
    </row>
    <row r="3190" spans="5:5" x14ac:dyDescent="0.25">
      <c r="E3190" s="25"/>
    </row>
    <row r="3191" spans="5:5" x14ac:dyDescent="0.25">
      <c r="E3191" s="25"/>
    </row>
    <row r="3192" spans="5:5" x14ac:dyDescent="0.25">
      <c r="E3192" s="25"/>
    </row>
    <row r="3193" spans="5:5" x14ac:dyDescent="0.25">
      <c r="E3193" s="25"/>
    </row>
    <row r="3194" spans="5:5" x14ac:dyDescent="0.25">
      <c r="E3194" s="25"/>
    </row>
    <row r="3195" spans="5:5" x14ac:dyDescent="0.25">
      <c r="E3195" s="25"/>
    </row>
    <row r="3196" spans="5:5" x14ac:dyDescent="0.25">
      <c r="E3196" s="25"/>
    </row>
    <row r="3197" spans="5:5" x14ac:dyDescent="0.25">
      <c r="E3197" s="25"/>
    </row>
    <row r="3198" spans="5:5" x14ac:dyDescent="0.25">
      <c r="E3198" s="25"/>
    </row>
    <row r="3199" spans="5:5" x14ac:dyDescent="0.25">
      <c r="E3199" s="25"/>
    </row>
    <row r="3200" spans="5:5" x14ac:dyDescent="0.25">
      <c r="E3200" s="25"/>
    </row>
    <row r="3201" spans="5:5" x14ac:dyDescent="0.25">
      <c r="E3201" s="25"/>
    </row>
    <row r="3202" spans="5:5" x14ac:dyDescent="0.25">
      <c r="E3202" s="25"/>
    </row>
    <row r="3203" spans="5:5" x14ac:dyDescent="0.25">
      <c r="E3203" s="25"/>
    </row>
    <row r="3204" spans="5:5" x14ac:dyDescent="0.25">
      <c r="E3204" s="25"/>
    </row>
    <row r="3205" spans="5:5" x14ac:dyDescent="0.25">
      <c r="E3205" s="25"/>
    </row>
    <row r="3206" spans="5:5" x14ac:dyDescent="0.25">
      <c r="E3206" s="25"/>
    </row>
    <row r="3207" spans="5:5" x14ac:dyDescent="0.25">
      <c r="E3207" s="25"/>
    </row>
    <row r="3208" spans="5:5" x14ac:dyDescent="0.25">
      <c r="E3208" s="25"/>
    </row>
    <row r="3209" spans="5:5" x14ac:dyDescent="0.25">
      <c r="E3209" s="25"/>
    </row>
    <row r="3210" spans="5:5" x14ac:dyDescent="0.25">
      <c r="E3210" s="25"/>
    </row>
    <row r="3211" spans="5:5" x14ac:dyDescent="0.25">
      <c r="E3211" s="25"/>
    </row>
    <row r="3212" spans="5:5" x14ac:dyDescent="0.25">
      <c r="E3212" s="25"/>
    </row>
    <row r="3213" spans="5:5" x14ac:dyDescent="0.25">
      <c r="E3213" s="25"/>
    </row>
    <row r="3214" spans="5:5" x14ac:dyDescent="0.25">
      <c r="E3214" s="25"/>
    </row>
    <row r="3215" spans="5:5" x14ac:dyDescent="0.25">
      <c r="E3215" s="25"/>
    </row>
    <row r="3216" spans="5:5" x14ac:dyDescent="0.25">
      <c r="E3216" s="25"/>
    </row>
    <row r="3217" spans="5:5" x14ac:dyDescent="0.25">
      <c r="E3217" s="25"/>
    </row>
    <row r="3218" spans="5:5" x14ac:dyDescent="0.25">
      <c r="E3218" s="25"/>
    </row>
    <row r="3219" spans="5:5" x14ac:dyDescent="0.25">
      <c r="E3219" s="25"/>
    </row>
    <row r="3220" spans="5:5" x14ac:dyDescent="0.25">
      <c r="E3220" s="25"/>
    </row>
    <row r="3221" spans="5:5" x14ac:dyDescent="0.25">
      <c r="E3221" s="25"/>
    </row>
    <row r="3222" spans="5:5" x14ac:dyDescent="0.25">
      <c r="E3222" s="25"/>
    </row>
    <row r="3223" spans="5:5" x14ac:dyDescent="0.25">
      <c r="E3223" s="25"/>
    </row>
    <row r="3224" spans="5:5" x14ac:dyDescent="0.25">
      <c r="E3224" s="25"/>
    </row>
    <row r="3225" spans="5:5" x14ac:dyDescent="0.25">
      <c r="E3225" s="25"/>
    </row>
    <row r="3226" spans="5:5" x14ac:dyDescent="0.25">
      <c r="E3226" s="25"/>
    </row>
    <row r="3227" spans="5:5" x14ac:dyDescent="0.25">
      <c r="E3227" s="25"/>
    </row>
    <row r="3228" spans="5:5" x14ac:dyDescent="0.25">
      <c r="E3228" s="25"/>
    </row>
    <row r="3229" spans="5:5" x14ac:dyDescent="0.25">
      <c r="E3229" s="25"/>
    </row>
    <row r="3230" spans="5:5" x14ac:dyDescent="0.25">
      <c r="E3230" s="25"/>
    </row>
    <row r="3231" spans="5:5" x14ac:dyDescent="0.25">
      <c r="E3231" s="25"/>
    </row>
    <row r="3232" spans="5:5" x14ac:dyDescent="0.25">
      <c r="E3232" s="25"/>
    </row>
    <row r="3233" spans="5:5" x14ac:dyDescent="0.25">
      <c r="E3233" s="25"/>
    </row>
    <row r="3234" spans="5:5" x14ac:dyDescent="0.25">
      <c r="E3234" s="25"/>
    </row>
    <row r="3235" spans="5:5" x14ac:dyDescent="0.25">
      <c r="E3235" s="25"/>
    </row>
    <row r="3236" spans="5:5" x14ac:dyDescent="0.25">
      <c r="E3236" s="25"/>
    </row>
    <row r="3237" spans="5:5" x14ac:dyDescent="0.25">
      <c r="E3237" s="25"/>
    </row>
  </sheetData>
  <autoFilter ref="A1:H1" xr:uid="{00000000-0001-0000-0000-000000000000}"/>
  <sortState xmlns:xlrd2="http://schemas.microsoft.com/office/spreadsheetml/2017/richdata2" ref="A2:H1487">
    <sortCondition descending="1" ref="D2:D1487"/>
    <sortCondition descending="1" ref="E2:E1487"/>
  </sortState>
  <pageMargins left="0.75" right="0.75" top="1" bottom="1" header="0.5" footer="0.5"/>
  <pageSetup orientation="portrait" r:id="rId1"/>
  <headerFooter>
    <oddFooter>&amp;C_x000D_&amp;1#&amp;"Aptos"&amp;10&amp;KFF0000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ImportAlarmsFromOutlook">
                <anchor moveWithCells="1" sizeWithCells="1">
                  <from>
                    <xdr:col>8</xdr:col>
                    <xdr:colOff>1257300</xdr:colOff>
                    <xdr:row>1</xdr:row>
                    <xdr:rowOff>9525</xdr:rowOff>
                  </from>
                  <to>
                    <xdr:col>12</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ul2">
    <outlinePr summaryBelow="0"/>
  </sheetPr>
  <dimension ref="A1:G3472"/>
  <sheetViews>
    <sheetView tabSelected="1" zoomScaleNormal="100" workbookViewId="0">
      <pane ySplit="4" topLeftCell="A5" activePane="bottomLeft" state="frozen"/>
      <selection pane="bottomLeft" activeCell="A92" sqref="A92"/>
    </sheetView>
  </sheetViews>
  <sheetFormatPr defaultColWidth="9.140625" defaultRowHeight="15" outlineLevelRow="2" x14ac:dyDescent="0.25"/>
  <cols>
    <col min="1" max="1" width="55.7109375" style="35" customWidth="1"/>
    <col min="2" max="3" width="16.7109375" style="35" customWidth="1"/>
    <col min="4" max="4" width="16.5703125" style="35" customWidth="1"/>
    <col min="5" max="5" width="17" style="35" customWidth="1"/>
    <col min="6" max="6" width="14.7109375" style="35" customWidth="1"/>
    <col min="7" max="7" width="17.42578125" style="35" customWidth="1"/>
    <col min="8" max="16384" width="9.140625" style="35"/>
  </cols>
  <sheetData>
    <row r="1" spans="1:7" s="9" customFormat="1" ht="27.95" customHeight="1" x14ac:dyDescent="0.25">
      <c r="A1" s="10" t="s">
        <v>16</v>
      </c>
      <c r="B1" s="31"/>
      <c r="C1" s="32"/>
      <c r="D1" s="12" t="s">
        <v>17</v>
      </c>
      <c r="E1" s="11">
        <v>46235</v>
      </c>
      <c r="F1" s="13" t="s">
        <v>18</v>
      </c>
      <c r="G1" s="11">
        <v>46265</v>
      </c>
    </row>
    <row r="2" spans="1:7" ht="17.25" x14ac:dyDescent="0.3">
      <c r="A2" s="34"/>
    </row>
    <row r="3" spans="1:7" ht="17.25" x14ac:dyDescent="0.3">
      <c r="A3" s="40" t="s">
        <v>19</v>
      </c>
      <c r="B3" s="41"/>
      <c r="C3" s="41"/>
      <c r="D3" s="37"/>
    </row>
    <row r="4" spans="1:7" ht="17.25" x14ac:dyDescent="0.3">
      <c r="A4" s="40" t="s">
        <v>20</v>
      </c>
      <c r="B4" s="43">
        <v>46260</v>
      </c>
      <c r="C4" s="42" t="s">
        <v>21</v>
      </c>
      <c r="D4" s="38"/>
    </row>
    <row r="5" spans="1:7" ht="17.25" x14ac:dyDescent="0.3">
      <c r="A5" s="44" t="s">
        <v>137</v>
      </c>
      <c r="B5" s="26">
        <f>B6+B38+B70+B74+B76+B78</f>
        <v>68</v>
      </c>
      <c r="C5" s="26">
        <f>C6+C38+C70+C74+C76+C78</f>
        <v>68</v>
      </c>
      <c r="D5" s="37"/>
    </row>
    <row r="6" spans="1:7" ht="17.25" outlineLevel="1" collapsed="1" x14ac:dyDescent="0.3">
      <c r="A6" s="45" t="s">
        <v>138</v>
      </c>
      <c r="B6" s="33">
        <f>SUM(B7:B37)</f>
        <v>31</v>
      </c>
      <c r="C6" s="33">
        <f>SUM(C7:C37)</f>
        <v>31</v>
      </c>
      <c r="D6" s="37"/>
    </row>
    <row r="7" spans="1:7" ht="17.25" hidden="1" outlineLevel="2" x14ac:dyDescent="0.3">
      <c r="A7" s="36" t="s">
        <v>4552</v>
      </c>
      <c r="B7" s="33">
        <v>1</v>
      </c>
      <c r="C7" s="33">
        <v>1</v>
      </c>
      <c r="D7" s="37"/>
    </row>
    <row r="8" spans="1:7" ht="17.25" hidden="1" outlineLevel="2" x14ac:dyDescent="0.3">
      <c r="A8" s="36" t="s">
        <v>4553</v>
      </c>
      <c r="B8" s="33">
        <v>1</v>
      </c>
      <c r="C8" s="33">
        <v>1</v>
      </c>
      <c r="D8" s="37"/>
    </row>
    <row r="9" spans="1:7" ht="17.25" hidden="1" outlineLevel="2" x14ac:dyDescent="0.3">
      <c r="A9" s="36" t="s">
        <v>4554</v>
      </c>
      <c r="B9" s="33">
        <v>1</v>
      </c>
      <c r="C9" s="33">
        <v>1</v>
      </c>
      <c r="D9" s="37"/>
    </row>
    <row r="10" spans="1:7" ht="17.25" hidden="1" outlineLevel="2" x14ac:dyDescent="0.3">
      <c r="A10" s="36" t="s">
        <v>4555</v>
      </c>
      <c r="B10" s="33">
        <v>1</v>
      </c>
      <c r="C10" s="33">
        <v>1</v>
      </c>
      <c r="D10" s="37"/>
    </row>
    <row r="11" spans="1:7" ht="17.25" hidden="1" outlineLevel="2" x14ac:dyDescent="0.3">
      <c r="A11" s="36" t="s">
        <v>4556</v>
      </c>
      <c r="B11" s="33">
        <v>1</v>
      </c>
      <c r="C11" s="33">
        <v>1</v>
      </c>
      <c r="D11" s="37"/>
    </row>
    <row r="12" spans="1:7" ht="17.25" hidden="1" outlineLevel="2" x14ac:dyDescent="0.3">
      <c r="A12" s="36" t="s">
        <v>4557</v>
      </c>
      <c r="B12" s="33">
        <v>1</v>
      </c>
      <c r="C12" s="33">
        <v>1</v>
      </c>
      <c r="D12" s="37"/>
    </row>
    <row r="13" spans="1:7" ht="17.25" hidden="1" outlineLevel="2" x14ac:dyDescent="0.3">
      <c r="A13" s="36" t="s">
        <v>4501</v>
      </c>
      <c r="B13" s="33">
        <v>1</v>
      </c>
      <c r="C13" s="33">
        <v>1</v>
      </c>
      <c r="D13" s="37"/>
    </row>
    <row r="14" spans="1:7" ht="17.25" hidden="1" outlineLevel="2" x14ac:dyDescent="0.3">
      <c r="A14" s="36" t="s">
        <v>1207</v>
      </c>
      <c r="B14" s="33">
        <v>1</v>
      </c>
      <c r="C14" s="33">
        <v>1</v>
      </c>
      <c r="D14" s="37"/>
    </row>
    <row r="15" spans="1:7" ht="17.25" hidden="1" outlineLevel="2" x14ac:dyDescent="0.3">
      <c r="A15" s="36" t="s">
        <v>1208</v>
      </c>
      <c r="B15" s="33">
        <v>1</v>
      </c>
      <c r="C15" s="33">
        <v>1</v>
      </c>
      <c r="D15" s="37"/>
    </row>
    <row r="16" spans="1:7" ht="17.25" hidden="1" outlineLevel="2" x14ac:dyDescent="0.3">
      <c r="A16" s="36" t="s">
        <v>1209</v>
      </c>
      <c r="B16" s="33">
        <v>1</v>
      </c>
      <c r="C16" s="33">
        <v>1</v>
      </c>
      <c r="D16" s="37"/>
    </row>
    <row r="17" spans="1:4" ht="17.100000000000001" hidden="1" customHeight="1" outlineLevel="2" x14ac:dyDescent="0.3">
      <c r="A17" s="36" t="s">
        <v>1210</v>
      </c>
      <c r="B17" s="33">
        <v>1</v>
      </c>
      <c r="C17" s="33">
        <v>1</v>
      </c>
      <c r="D17" s="37"/>
    </row>
    <row r="18" spans="1:4" ht="17.25" hidden="1" outlineLevel="2" x14ac:dyDescent="0.3">
      <c r="A18" s="36" t="s">
        <v>1060</v>
      </c>
      <c r="B18" s="33">
        <v>1</v>
      </c>
      <c r="C18" s="33">
        <v>1</v>
      </c>
      <c r="D18" s="37"/>
    </row>
    <row r="19" spans="1:4" ht="17.25" hidden="1" outlineLevel="2" x14ac:dyDescent="0.3">
      <c r="A19" s="36" t="s">
        <v>401</v>
      </c>
      <c r="B19" s="33">
        <v>1</v>
      </c>
      <c r="C19" s="33">
        <v>1</v>
      </c>
      <c r="D19" s="37"/>
    </row>
    <row r="20" spans="1:4" ht="17.25" hidden="1" outlineLevel="2" x14ac:dyDescent="0.3">
      <c r="A20" s="36" t="s">
        <v>4558</v>
      </c>
      <c r="B20" s="33">
        <v>1</v>
      </c>
      <c r="C20" s="33">
        <v>1</v>
      </c>
      <c r="D20" s="37"/>
    </row>
    <row r="21" spans="1:4" ht="17.25" hidden="1" outlineLevel="2" x14ac:dyDescent="0.3">
      <c r="A21" s="36" t="s">
        <v>4559</v>
      </c>
      <c r="B21" s="33">
        <v>1</v>
      </c>
      <c r="C21" s="33">
        <v>1</v>
      </c>
      <c r="D21" s="37"/>
    </row>
    <row r="22" spans="1:4" ht="17.25" hidden="1" outlineLevel="2" x14ac:dyDescent="0.3">
      <c r="A22" s="36" t="s">
        <v>4560</v>
      </c>
      <c r="B22" s="33">
        <v>1</v>
      </c>
      <c r="C22" s="33">
        <v>1</v>
      </c>
      <c r="D22" s="37"/>
    </row>
    <row r="23" spans="1:4" ht="17.25" hidden="1" outlineLevel="2" x14ac:dyDescent="0.3">
      <c r="A23" s="36" t="s">
        <v>4561</v>
      </c>
      <c r="B23" s="33">
        <v>1</v>
      </c>
      <c r="C23" s="33">
        <v>1</v>
      </c>
      <c r="D23" s="37"/>
    </row>
    <row r="24" spans="1:4" ht="17.25" hidden="1" outlineLevel="2" x14ac:dyDescent="0.3">
      <c r="A24" s="36" t="s">
        <v>4562</v>
      </c>
      <c r="B24" s="33">
        <v>1</v>
      </c>
      <c r="C24" s="33">
        <v>1</v>
      </c>
      <c r="D24" s="37"/>
    </row>
    <row r="25" spans="1:4" ht="17.25" hidden="1" outlineLevel="2" x14ac:dyDescent="0.3">
      <c r="A25" s="36" t="s">
        <v>4563</v>
      </c>
      <c r="B25" s="33">
        <v>1</v>
      </c>
      <c r="C25" s="33">
        <v>1</v>
      </c>
      <c r="D25" s="37"/>
    </row>
    <row r="26" spans="1:4" ht="15" hidden="1" customHeight="1" outlineLevel="2" x14ac:dyDescent="0.3">
      <c r="A26" s="36" t="s">
        <v>4564</v>
      </c>
      <c r="B26" s="33">
        <v>1</v>
      </c>
      <c r="C26" s="33">
        <v>1</v>
      </c>
      <c r="D26" s="37"/>
    </row>
    <row r="27" spans="1:4" ht="17.25" hidden="1" outlineLevel="2" x14ac:dyDescent="0.3">
      <c r="A27" s="36" t="s">
        <v>4565</v>
      </c>
      <c r="B27" s="33">
        <v>1</v>
      </c>
      <c r="C27" s="33">
        <v>1</v>
      </c>
      <c r="D27" s="37"/>
    </row>
    <row r="28" spans="1:4" ht="17.25" hidden="1" outlineLevel="2" x14ac:dyDescent="0.3">
      <c r="A28" s="36" t="s">
        <v>4566</v>
      </c>
      <c r="B28" s="33">
        <v>1</v>
      </c>
      <c r="C28" s="33">
        <v>1</v>
      </c>
      <c r="D28" s="37"/>
    </row>
    <row r="29" spans="1:4" ht="17.25" hidden="1" outlineLevel="2" x14ac:dyDescent="0.3">
      <c r="A29" s="36" t="s">
        <v>4567</v>
      </c>
      <c r="B29" s="33">
        <v>1</v>
      </c>
      <c r="C29" s="33">
        <v>1</v>
      </c>
      <c r="D29" s="37"/>
    </row>
    <row r="30" spans="1:4" ht="17.25" hidden="1" outlineLevel="2" x14ac:dyDescent="0.3">
      <c r="A30" s="36" t="s">
        <v>4568</v>
      </c>
      <c r="B30" s="33">
        <v>1</v>
      </c>
      <c r="C30" s="33">
        <v>1</v>
      </c>
      <c r="D30" s="37"/>
    </row>
    <row r="31" spans="1:4" ht="17.25" hidden="1" outlineLevel="2" x14ac:dyDescent="0.3">
      <c r="A31" s="36" t="s">
        <v>4569</v>
      </c>
      <c r="B31" s="33">
        <v>1</v>
      </c>
      <c r="C31" s="33">
        <v>1</v>
      </c>
      <c r="D31" s="37"/>
    </row>
    <row r="32" spans="1:4" ht="17.25" hidden="1" outlineLevel="2" x14ac:dyDescent="0.3">
      <c r="A32" s="36" t="s">
        <v>4570</v>
      </c>
      <c r="B32" s="33">
        <v>1</v>
      </c>
      <c r="C32" s="33">
        <v>1</v>
      </c>
      <c r="D32" s="37"/>
    </row>
    <row r="33" spans="1:4" ht="17.25" hidden="1" outlineLevel="2" x14ac:dyDescent="0.3">
      <c r="A33" s="36" t="s">
        <v>4571</v>
      </c>
      <c r="B33" s="33">
        <v>1</v>
      </c>
      <c r="C33" s="33">
        <v>1</v>
      </c>
      <c r="D33" s="37"/>
    </row>
    <row r="34" spans="1:4" ht="17.25" hidden="1" outlineLevel="2" x14ac:dyDescent="0.3">
      <c r="A34" s="36" t="s">
        <v>4572</v>
      </c>
      <c r="B34" s="33">
        <v>1</v>
      </c>
      <c r="C34" s="33">
        <v>1</v>
      </c>
      <c r="D34" s="37"/>
    </row>
    <row r="35" spans="1:4" ht="17.25" hidden="1" outlineLevel="2" x14ac:dyDescent="0.3">
      <c r="A35" s="36" t="s">
        <v>4573</v>
      </c>
      <c r="B35" s="33">
        <v>1</v>
      </c>
      <c r="C35" s="33">
        <v>1</v>
      </c>
      <c r="D35" s="37"/>
    </row>
    <row r="36" spans="1:4" ht="17.25" hidden="1" outlineLevel="2" x14ac:dyDescent="0.3">
      <c r="A36" s="36" t="s">
        <v>4574</v>
      </c>
      <c r="B36" s="33">
        <v>1</v>
      </c>
      <c r="C36" s="33">
        <v>1</v>
      </c>
      <c r="D36" s="37"/>
    </row>
    <row r="37" spans="1:4" ht="17.25" hidden="1" outlineLevel="2" x14ac:dyDescent="0.3">
      <c r="A37" s="36" t="s">
        <v>4575</v>
      </c>
      <c r="B37" s="33">
        <v>1</v>
      </c>
      <c r="C37" s="33">
        <v>1</v>
      </c>
      <c r="D37" s="37"/>
    </row>
    <row r="38" spans="1:4" ht="17.25" outlineLevel="1" collapsed="1" x14ac:dyDescent="0.3">
      <c r="A38" s="45" t="s">
        <v>139</v>
      </c>
      <c r="B38" s="33">
        <f>SUM(B39:B69)</f>
        <v>31</v>
      </c>
      <c r="C38" s="33">
        <f>SUM(C39:C69)</f>
        <v>31</v>
      </c>
      <c r="D38" s="37"/>
    </row>
    <row r="39" spans="1:4" ht="17.25" hidden="1" outlineLevel="2" x14ac:dyDescent="0.3">
      <c r="A39" s="36" t="s">
        <v>4576</v>
      </c>
      <c r="B39" s="33">
        <v>1</v>
      </c>
      <c r="C39" s="33">
        <v>1</v>
      </c>
      <c r="D39" s="37"/>
    </row>
    <row r="40" spans="1:4" ht="17.25" hidden="1" outlineLevel="2" x14ac:dyDescent="0.3">
      <c r="A40" s="36" t="s">
        <v>4577</v>
      </c>
      <c r="B40" s="33">
        <v>1</v>
      </c>
      <c r="C40" s="33">
        <v>1</v>
      </c>
      <c r="D40" s="37"/>
    </row>
    <row r="41" spans="1:4" ht="17.25" hidden="1" outlineLevel="2" x14ac:dyDescent="0.3">
      <c r="A41" s="36" t="s">
        <v>4578</v>
      </c>
      <c r="B41" s="33">
        <v>1</v>
      </c>
      <c r="C41" s="33">
        <v>1</v>
      </c>
      <c r="D41" s="37"/>
    </row>
    <row r="42" spans="1:4" ht="17.25" hidden="1" outlineLevel="2" x14ac:dyDescent="0.3">
      <c r="A42" s="36" t="s">
        <v>4579</v>
      </c>
      <c r="B42" s="33">
        <v>1</v>
      </c>
      <c r="C42" s="33">
        <v>1</v>
      </c>
      <c r="D42" s="37"/>
    </row>
    <row r="43" spans="1:4" ht="17.25" hidden="1" outlineLevel="2" x14ac:dyDescent="0.3">
      <c r="A43" s="36" t="s">
        <v>4580</v>
      </c>
      <c r="B43" s="33">
        <v>1</v>
      </c>
      <c r="C43" s="33">
        <v>1</v>
      </c>
      <c r="D43" s="37"/>
    </row>
    <row r="44" spans="1:4" ht="17.25" hidden="1" outlineLevel="2" x14ac:dyDescent="0.3">
      <c r="A44" s="36" t="s">
        <v>4581</v>
      </c>
      <c r="B44" s="33">
        <v>1</v>
      </c>
      <c r="C44" s="33">
        <v>1</v>
      </c>
      <c r="D44" s="37"/>
    </row>
    <row r="45" spans="1:4" ht="17.25" hidden="1" outlineLevel="2" x14ac:dyDescent="0.3">
      <c r="A45" s="36" t="s">
        <v>4502</v>
      </c>
      <c r="B45" s="33">
        <v>1</v>
      </c>
      <c r="C45" s="33">
        <v>1</v>
      </c>
      <c r="D45" s="37"/>
    </row>
    <row r="46" spans="1:4" ht="17.25" hidden="1" outlineLevel="2" x14ac:dyDescent="0.3">
      <c r="A46" s="36" t="s">
        <v>1211</v>
      </c>
      <c r="B46" s="33">
        <v>1</v>
      </c>
      <c r="C46" s="33">
        <v>1</v>
      </c>
      <c r="D46" s="37"/>
    </row>
    <row r="47" spans="1:4" ht="17.25" hidden="1" outlineLevel="2" x14ac:dyDescent="0.3">
      <c r="A47" s="36" t="s">
        <v>1212</v>
      </c>
      <c r="B47" s="33">
        <v>1</v>
      </c>
      <c r="C47" s="33">
        <v>1</v>
      </c>
      <c r="D47" s="37"/>
    </row>
    <row r="48" spans="1:4" ht="17.25" hidden="1" outlineLevel="2" x14ac:dyDescent="0.3">
      <c r="A48" s="36" t="s">
        <v>1213</v>
      </c>
      <c r="B48" s="33">
        <v>1</v>
      </c>
      <c r="C48" s="33">
        <v>1</v>
      </c>
      <c r="D48" s="37"/>
    </row>
    <row r="49" spans="1:4" ht="17.25" hidden="1" outlineLevel="2" x14ac:dyDescent="0.3">
      <c r="A49" s="36" t="s">
        <v>1214</v>
      </c>
      <c r="B49" s="33">
        <v>1</v>
      </c>
      <c r="C49" s="33">
        <v>1</v>
      </c>
      <c r="D49" s="37"/>
    </row>
    <row r="50" spans="1:4" ht="17.25" hidden="1" outlineLevel="2" x14ac:dyDescent="0.3">
      <c r="A50" s="36" t="s">
        <v>1061</v>
      </c>
      <c r="B50" s="33">
        <v>1</v>
      </c>
      <c r="C50" s="33">
        <v>1</v>
      </c>
      <c r="D50" s="37"/>
    </row>
    <row r="51" spans="1:4" ht="17.25" hidden="1" outlineLevel="2" x14ac:dyDescent="0.3">
      <c r="A51" s="36" t="s">
        <v>402</v>
      </c>
      <c r="B51" s="33">
        <v>1</v>
      </c>
      <c r="C51" s="33">
        <v>1</v>
      </c>
      <c r="D51" s="37"/>
    </row>
    <row r="52" spans="1:4" ht="17.25" hidden="1" outlineLevel="2" x14ac:dyDescent="0.3">
      <c r="A52" s="36" t="s">
        <v>4582</v>
      </c>
      <c r="B52" s="33">
        <v>1</v>
      </c>
      <c r="C52" s="33">
        <v>1</v>
      </c>
      <c r="D52" s="37"/>
    </row>
    <row r="53" spans="1:4" ht="17.25" hidden="1" outlineLevel="2" x14ac:dyDescent="0.3">
      <c r="A53" s="36" t="s">
        <v>4583</v>
      </c>
      <c r="B53" s="33">
        <v>1</v>
      </c>
      <c r="C53" s="33">
        <v>1</v>
      </c>
      <c r="D53" s="37"/>
    </row>
    <row r="54" spans="1:4" ht="17.25" hidden="1" outlineLevel="2" x14ac:dyDescent="0.3">
      <c r="A54" s="36" t="s">
        <v>4584</v>
      </c>
      <c r="B54" s="33">
        <v>1</v>
      </c>
      <c r="C54" s="33">
        <v>1</v>
      </c>
      <c r="D54" s="37"/>
    </row>
    <row r="55" spans="1:4" ht="17.25" hidden="1" outlineLevel="2" x14ac:dyDescent="0.3">
      <c r="A55" s="36" t="s">
        <v>4585</v>
      </c>
      <c r="B55" s="33">
        <v>1</v>
      </c>
      <c r="C55" s="33">
        <v>1</v>
      </c>
      <c r="D55" s="37"/>
    </row>
    <row r="56" spans="1:4" ht="17.25" hidden="1" outlineLevel="2" x14ac:dyDescent="0.3">
      <c r="A56" s="36" t="s">
        <v>4586</v>
      </c>
      <c r="B56" s="33">
        <v>1</v>
      </c>
      <c r="C56" s="33">
        <v>1</v>
      </c>
      <c r="D56" s="37"/>
    </row>
    <row r="57" spans="1:4" ht="17.25" hidden="1" outlineLevel="2" x14ac:dyDescent="0.3">
      <c r="A57" s="36" t="s">
        <v>4587</v>
      </c>
      <c r="B57" s="33">
        <v>1</v>
      </c>
      <c r="C57" s="33">
        <v>1</v>
      </c>
      <c r="D57" s="37"/>
    </row>
    <row r="58" spans="1:4" ht="17.25" hidden="1" outlineLevel="2" x14ac:dyDescent="0.3">
      <c r="A58" s="36" t="s">
        <v>4588</v>
      </c>
      <c r="B58" s="33">
        <v>1</v>
      </c>
      <c r="C58" s="33">
        <v>1</v>
      </c>
      <c r="D58" s="37"/>
    </row>
    <row r="59" spans="1:4" ht="17.25" hidden="1" outlineLevel="2" x14ac:dyDescent="0.3">
      <c r="A59" s="36" t="s">
        <v>4589</v>
      </c>
      <c r="B59" s="33">
        <v>1</v>
      </c>
      <c r="C59" s="33">
        <v>1</v>
      </c>
      <c r="D59" s="37"/>
    </row>
    <row r="60" spans="1:4" ht="17.25" hidden="1" outlineLevel="2" x14ac:dyDescent="0.3">
      <c r="A60" s="36" t="s">
        <v>4590</v>
      </c>
      <c r="B60" s="33">
        <v>1</v>
      </c>
      <c r="C60" s="33">
        <v>1</v>
      </c>
      <c r="D60" s="37"/>
    </row>
    <row r="61" spans="1:4" ht="17.25" hidden="1" outlineLevel="2" x14ac:dyDescent="0.3">
      <c r="A61" s="36" t="s">
        <v>4591</v>
      </c>
      <c r="B61" s="33">
        <v>1</v>
      </c>
      <c r="C61" s="33">
        <v>1</v>
      </c>
      <c r="D61" s="37"/>
    </row>
    <row r="62" spans="1:4" ht="17.25" hidden="1" outlineLevel="2" x14ac:dyDescent="0.3">
      <c r="A62" s="36" t="s">
        <v>4592</v>
      </c>
      <c r="B62" s="33">
        <v>1</v>
      </c>
      <c r="C62" s="33">
        <v>1</v>
      </c>
      <c r="D62" s="37"/>
    </row>
    <row r="63" spans="1:4" ht="17.25" hidden="1" outlineLevel="2" x14ac:dyDescent="0.3">
      <c r="A63" s="36" t="s">
        <v>4593</v>
      </c>
      <c r="B63" s="33">
        <v>1</v>
      </c>
      <c r="C63" s="33">
        <v>1</v>
      </c>
      <c r="D63" s="37"/>
    </row>
    <row r="64" spans="1:4" ht="17.25" hidden="1" outlineLevel="2" x14ac:dyDescent="0.3">
      <c r="A64" s="36" t="s">
        <v>4594</v>
      </c>
      <c r="B64" s="33">
        <v>1</v>
      </c>
      <c r="C64" s="33">
        <v>1</v>
      </c>
      <c r="D64" s="37"/>
    </row>
    <row r="65" spans="1:4" ht="17.25" hidden="1" outlineLevel="2" x14ac:dyDescent="0.3">
      <c r="A65" s="36" t="s">
        <v>4595</v>
      </c>
      <c r="B65" s="33">
        <v>1</v>
      </c>
      <c r="C65" s="33">
        <v>1</v>
      </c>
      <c r="D65" s="37"/>
    </row>
    <row r="66" spans="1:4" ht="17.25" hidden="1" outlineLevel="2" x14ac:dyDescent="0.3">
      <c r="A66" s="36" t="s">
        <v>4596</v>
      </c>
      <c r="B66" s="33">
        <v>1</v>
      </c>
      <c r="C66" s="33">
        <v>1</v>
      </c>
      <c r="D66" s="37"/>
    </row>
    <row r="67" spans="1:4" ht="17.25" hidden="1" outlineLevel="2" x14ac:dyDescent="0.3">
      <c r="A67" s="36" t="s">
        <v>4597</v>
      </c>
      <c r="B67" s="33">
        <v>1</v>
      </c>
      <c r="C67" s="33">
        <v>1</v>
      </c>
      <c r="D67" s="37"/>
    </row>
    <row r="68" spans="1:4" ht="17.25" hidden="1" outlineLevel="2" x14ac:dyDescent="0.3">
      <c r="A68" s="36" t="s">
        <v>4598</v>
      </c>
      <c r="B68" s="33">
        <v>1</v>
      </c>
      <c r="C68" s="33">
        <v>1</v>
      </c>
      <c r="D68" s="37"/>
    </row>
    <row r="69" spans="1:4" ht="17.25" hidden="1" outlineLevel="2" x14ac:dyDescent="0.3">
      <c r="A69" s="36" t="s">
        <v>4599</v>
      </c>
      <c r="B69" s="33">
        <v>1</v>
      </c>
      <c r="C69" s="33">
        <v>1</v>
      </c>
      <c r="D69" s="37"/>
    </row>
    <row r="70" spans="1:4" ht="17.25" outlineLevel="1" collapsed="1" x14ac:dyDescent="0.3">
      <c r="A70" s="45" t="s">
        <v>4600</v>
      </c>
      <c r="B70" s="33">
        <f>SUM(B71:B73)</f>
        <v>3</v>
      </c>
      <c r="C70" s="33">
        <f>SUM(C71:C73)</f>
        <v>3</v>
      </c>
      <c r="D70" s="37"/>
    </row>
    <row r="71" spans="1:4" ht="17.25" hidden="1" outlineLevel="2" x14ac:dyDescent="0.3">
      <c r="A71" s="36" t="s">
        <v>4601</v>
      </c>
      <c r="B71" s="33">
        <v>1</v>
      </c>
      <c r="C71" s="33">
        <v>1</v>
      </c>
      <c r="D71" s="37"/>
    </row>
    <row r="72" spans="1:4" ht="17.25" hidden="1" outlineLevel="2" x14ac:dyDescent="0.3">
      <c r="A72" s="36" t="s">
        <v>4602</v>
      </c>
      <c r="B72" s="33">
        <v>1</v>
      </c>
      <c r="C72" s="33">
        <v>1</v>
      </c>
      <c r="D72" s="37"/>
    </row>
    <row r="73" spans="1:4" ht="17.25" hidden="1" outlineLevel="2" x14ac:dyDescent="0.3">
      <c r="A73" s="36" t="s">
        <v>4603</v>
      </c>
      <c r="B73" s="33">
        <v>1</v>
      </c>
      <c r="C73" s="33">
        <v>1</v>
      </c>
      <c r="D73" s="37"/>
    </row>
    <row r="74" spans="1:4" ht="15" customHeight="1" outlineLevel="1" collapsed="1" x14ac:dyDescent="0.3">
      <c r="A74" s="45" t="s">
        <v>4604</v>
      </c>
      <c r="B74" s="33">
        <f>SUM(B75:B75)</f>
        <v>1</v>
      </c>
      <c r="C74" s="33">
        <f>SUM(C75:C75)</f>
        <v>1</v>
      </c>
      <c r="D74" s="37"/>
    </row>
    <row r="75" spans="1:4" ht="17.25" hidden="1" outlineLevel="2" x14ac:dyDescent="0.3">
      <c r="A75" s="36" t="s">
        <v>4605</v>
      </c>
      <c r="B75" s="33">
        <v>1</v>
      </c>
      <c r="C75" s="33">
        <v>1</v>
      </c>
      <c r="D75" s="37"/>
    </row>
    <row r="76" spans="1:4" ht="17.25" outlineLevel="1" collapsed="1" x14ac:dyDescent="0.3">
      <c r="A76" s="45" t="s">
        <v>4606</v>
      </c>
      <c r="B76" s="33">
        <f>SUM(B77:B77)</f>
        <v>1</v>
      </c>
      <c r="C76" s="33">
        <f>SUM(C77:C77)</f>
        <v>1</v>
      </c>
      <c r="D76" s="37"/>
    </row>
    <row r="77" spans="1:4" ht="17.25" hidden="1" outlineLevel="2" x14ac:dyDescent="0.3">
      <c r="A77" s="36" t="s">
        <v>4607</v>
      </c>
      <c r="B77" s="33">
        <v>1</v>
      </c>
      <c r="C77" s="33">
        <v>1</v>
      </c>
      <c r="D77" s="37"/>
    </row>
    <row r="78" spans="1:4" ht="17.25" outlineLevel="1" collapsed="1" x14ac:dyDescent="0.3">
      <c r="A78" s="45" t="s">
        <v>4503</v>
      </c>
      <c r="B78" s="33">
        <f>SUM(B79:B79)</f>
        <v>1</v>
      </c>
      <c r="C78" s="33">
        <f>SUM(C79:C79)</f>
        <v>1</v>
      </c>
      <c r="D78" s="37"/>
    </row>
    <row r="79" spans="1:4" ht="17.25" hidden="1" outlineLevel="2" x14ac:dyDescent="0.3">
      <c r="A79" s="36" t="s">
        <v>4504</v>
      </c>
      <c r="B79" s="33">
        <v>1</v>
      </c>
      <c r="C79" s="33">
        <v>1</v>
      </c>
      <c r="D79" s="37"/>
    </row>
    <row r="80" spans="1:4" ht="17.25" x14ac:dyDescent="0.3">
      <c r="A80" s="44" t="s">
        <v>144</v>
      </c>
      <c r="B80" s="26">
        <f>B81+B92+B97+B102+B104+B106+B108</f>
        <v>22</v>
      </c>
      <c r="C80" s="26">
        <f>C81+C92+C97+C102+C104+C106+C108</f>
        <v>22</v>
      </c>
      <c r="D80" s="37"/>
    </row>
    <row r="81" spans="1:4" ht="17.25" outlineLevel="1" collapsed="1" x14ac:dyDescent="0.3">
      <c r="A81" s="45" t="s">
        <v>145</v>
      </c>
      <c r="B81" s="33">
        <f>SUM(B82:B91)</f>
        <v>10</v>
      </c>
      <c r="C81" s="33">
        <f>SUM(C82:C91)</f>
        <v>10</v>
      </c>
      <c r="D81" s="37"/>
    </row>
    <row r="82" spans="1:4" ht="17.25" hidden="1" outlineLevel="2" x14ac:dyDescent="0.3">
      <c r="A82" s="36" t="s">
        <v>4608</v>
      </c>
      <c r="B82" s="33">
        <v>1</v>
      </c>
      <c r="C82" s="33">
        <v>1</v>
      </c>
      <c r="D82" s="37"/>
    </row>
    <row r="83" spans="1:4" ht="17.25" hidden="1" outlineLevel="2" x14ac:dyDescent="0.3">
      <c r="A83" s="36" t="s">
        <v>4609</v>
      </c>
      <c r="B83" s="33">
        <v>1</v>
      </c>
      <c r="C83" s="33">
        <v>1</v>
      </c>
      <c r="D83" s="37"/>
    </row>
    <row r="84" spans="1:4" ht="17.25" hidden="1" outlineLevel="2" x14ac:dyDescent="0.3">
      <c r="A84" s="36" t="s">
        <v>4610</v>
      </c>
      <c r="B84" s="33">
        <v>1</v>
      </c>
      <c r="C84" s="33">
        <v>1</v>
      </c>
      <c r="D84" s="37"/>
    </row>
    <row r="85" spans="1:4" ht="17.25" hidden="1" outlineLevel="2" x14ac:dyDescent="0.3">
      <c r="A85" s="36" t="s">
        <v>4611</v>
      </c>
      <c r="B85" s="33">
        <v>1</v>
      </c>
      <c r="C85" s="33">
        <v>1</v>
      </c>
      <c r="D85" s="37"/>
    </row>
    <row r="86" spans="1:4" ht="17.25" hidden="1" outlineLevel="2" x14ac:dyDescent="0.3">
      <c r="A86" s="36" t="s">
        <v>4612</v>
      </c>
      <c r="B86" s="33">
        <v>1</v>
      </c>
      <c r="C86" s="33">
        <v>1</v>
      </c>
      <c r="D86" s="37"/>
    </row>
    <row r="87" spans="1:4" ht="17.25" hidden="1" outlineLevel="2" x14ac:dyDescent="0.3">
      <c r="A87" s="36" t="s">
        <v>4613</v>
      </c>
      <c r="B87" s="33">
        <v>1</v>
      </c>
      <c r="C87" s="33">
        <v>1</v>
      </c>
      <c r="D87" s="37"/>
    </row>
    <row r="88" spans="1:4" ht="17.25" hidden="1" outlineLevel="2" x14ac:dyDescent="0.3">
      <c r="A88" s="36" t="s">
        <v>337</v>
      </c>
      <c r="B88" s="33">
        <v>1</v>
      </c>
      <c r="C88" s="33">
        <v>1</v>
      </c>
      <c r="D88" s="37"/>
    </row>
    <row r="89" spans="1:4" ht="17.25" hidden="1" outlineLevel="2" x14ac:dyDescent="0.3">
      <c r="A89" s="36" t="s">
        <v>4614</v>
      </c>
      <c r="B89" s="33">
        <v>1</v>
      </c>
      <c r="C89" s="33">
        <v>1</v>
      </c>
      <c r="D89" s="37"/>
    </row>
    <row r="90" spans="1:4" ht="17.25" hidden="1" outlineLevel="2" x14ac:dyDescent="0.3">
      <c r="A90" s="36" t="s">
        <v>4615</v>
      </c>
      <c r="B90" s="33">
        <v>1</v>
      </c>
      <c r="C90" s="33">
        <v>1</v>
      </c>
      <c r="D90" s="37"/>
    </row>
    <row r="91" spans="1:4" ht="17.25" hidden="1" outlineLevel="2" x14ac:dyDescent="0.3">
      <c r="A91" s="36" t="s">
        <v>4616</v>
      </c>
      <c r="B91" s="33">
        <v>1</v>
      </c>
      <c r="C91" s="33">
        <v>1</v>
      </c>
      <c r="D91" s="37"/>
    </row>
    <row r="92" spans="1:4" ht="15" customHeight="1" outlineLevel="1" x14ac:dyDescent="0.3">
      <c r="A92" s="45" t="s">
        <v>4617</v>
      </c>
      <c r="B92" s="33">
        <f>SUM(B93:B96)</f>
        <v>4</v>
      </c>
      <c r="C92" s="33">
        <f>SUM(C93:C96)</f>
        <v>4</v>
      </c>
      <c r="D92" s="37"/>
    </row>
    <row r="93" spans="1:4" ht="17.25" outlineLevel="2" x14ac:dyDescent="0.3">
      <c r="A93" s="36" t="s">
        <v>4618</v>
      </c>
      <c r="B93" s="33">
        <v>1</v>
      </c>
      <c r="C93" s="33">
        <v>1</v>
      </c>
      <c r="D93" s="37"/>
    </row>
    <row r="94" spans="1:4" ht="17.25" outlineLevel="2" x14ac:dyDescent="0.3">
      <c r="A94" s="36" t="s">
        <v>4619</v>
      </c>
      <c r="B94" s="33">
        <v>1</v>
      </c>
      <c r="C94" s="33">
        <v>1</v>
      </c>
      <c r="D94" s="37"/>
    </row>
    <row r="95" spans="1:4" ht="17.25" outlineLevel="2" x14ac:dyDescent="0.3">
      <c r="A95" s="36" t="s">
        <v>4620</v>
      </c>
      <c r="B95" s="33">
        <v>1</v>
      </c>
      <c r="C95" s="33">
        <v>1</v>
      </c>
      <c r="D95" s="37"/>
    </row>
    <row r="96" spans="1:4" ht="17.25" outlineLevel="2" x14ac:dyDescent="0.3">
      <c r="A96" s="36" t="s">
        <v>4621</v>
      </c>
      <c r="B96" s="33">
        <v>1</v>
      </c>
      <c r="C96" s="33">
        <v>1</v>
      </c>
      <c r="D96" s="37"/>
    </row>
    <row r="97" spans="1:4" ht="17.25" outlineLevel="1" x14ac:dyDescent="0.3">
      <c r="A97" s="45" t="s">
        <v>1069</v>
      </c>
      <c r="B97" s="33">
        <f>SUM(B98:B101)</f>
        <v>4</v>
      </c>
      <c r="C97" s="33">
        <f>SUM(C98:C101)</f>
        <v>4</v>
      </c>
      <c r="D97" s="37"/>
    </row>
    <row r="98" spans="1:4" ht="17.25" outlineLevel="2" x14ac:dyDescent="0.3">
      <c r="A98" s="36" t="s">
        <v>1070</v>
      </c>
      <c r="B98" s="33">
        <v>1</v>
      </c>
      <c r="C98" s="33">
        <v>1</v>
      </c>
      <c r="D98" s="37"/>
    </row>
    <row r="99" spans="1:4" ht="17.25" outlineLevel="2" x14ac:dyDescent="0.3">
      <c r="A99" s="36" t="s">
        <v>1071</v>
      </c>
      <c r="B99" s="33">
        <v>1</v>
      </c>
      <c r="C99" s="33">
        <v>1</v>
      </c>
      <c r="D99" s="37"/>
    </row>
    <row r="100" spans="1:4" ht="17.25" outlineLevel="2" x14ac:dyDescent="0.3">
      <c r="A100" s="36" t="s">
        <v>1072</v>
      </c>
      <c r="B100" s="33">
        <v>1</v>
      </c>
      <c r="C100" s="33">
        <v>1</v>
      </c>
      <c r="D100" s="37"/>
    </row>
    <row r="101" spans="1:4" ht="17.25" outlineLevel="2" x14ac:dyDescent="0.3">
      <c r="A101" s="36" t="s">
        <v>1073</v>
      </c>
      <c r="B101" s="33">
        <v>1</v>
      </c>
      <c r="C101" s="33">
        <v>1</v>
      </c>
      <c r="D101" s="37"/>
    </row>
    <row r="102" spans="1:4" ht="17.25" outlineLevel="1" collapsed="1" x14ac:dyDescent="0.3">
      <c r="A102" s="45" t="s">
        <v>4622</v>
      </c>
      <c r="B102" s="33">
        <f>SUM(B103:B103)</f>
        <v>1</v>
      </c>
      <c r="C102" s="33">
        <f>SUM(C103:C103)</f>
        <v>1</v>
      </c>
      <c r="D102" s="37"/>
    </row>
    <row r="103" spans="1:4" ht="17.25" hidden="1" outlineLevel="2" x14ac:dyDescent="0.3">
      <c r="A103" s="36" t="s">
        <v>4623</v>
      </c>
      <c r="B103" s="33">
        <v>1</v>
      </c>
      <c r="C103" s="33">
        <v>1</v>
      </c>
      <c r="D103" s="37"/>
    </row>
    <row r="104" spans="1:4" ht="17.25" outlineLevel="1" collapsed="1" x14ac:dyDescent="0.3">
      <c r="A104" s="45" t="s">
        <v>4624</v>
      </c>
      <c r="B104" s="33">
        <f>SUM(B105:B105)</f>
        <v>1</v>
      </c>
      <c r="C104" s="33">
        <f>SUM(C105:C105)</f>
        <v>1</v>
      </c>
      <c r="D104" s="37"/>
    </row>
    <row r="105" spans="1:4" ht="17.25" hidden="1" outlineLevel="2" x14ac:dyDescent="0.3">
      <c r="A105" s="36" t="s">
        <v>4625</v>
      </c>
      <c r="B105" s="33">
        <v>1</v>
      </c>
      <c r="C105" s="33">
        <v>1</v>
      </c>
      <c r="D105" s="37"/>
    </row>
    <row r="106" spans="1:4" ht="17.25" outlineLevel="1" collapsed="1" x14ac:dyDescent="0.3">
      <c r="A106" s="45" t="s">
        <v>4626</v>
      </c>
      <c r="B106" s="33">
        <f>SUM(B107:B107)</f>
        <v>1</v>
      </c>
      <c r="C106" s="33">
        <f>SUM(C107:C107)</f>
        <v>1</v>
      </c>
      <c r="D106" s="37"/>
    </row>
    <row r="107" spans="1:4" ht="17.25" hidden="1" outlineLevel="2" x14ac:dyDescent="0.3">
      <c r="A107" s="36" t="s">
        <v>4627</v>
      </c>
      <c r="B107" s="33">
        <v>1</v>
      </c>
      <c r="C107" s="33">
        <v>1</v>
      </c>
      <c r="D107" s="37"/>
    </row>
    <row r="108" spans="1:4" ht="17.25" outlineLevel="1" collapsed="1" x14ac:dyDescent="0.3">
      <c r="A108" s="45" t="s">
        <v>4628</v>
      </c>
      <c r="B108" s="33">
        <f>SUM(B109:B109)</f>
        <v>1</v>
      </c>
      <c r="C108" s="33">
        <f>SUM(C109:C109)</f>
        <v>1</v>
      </c>
      <c r="D108" s="37"/>
    </row>
    <row r="109" spans="1:4" ht="17.25" hidden="1" customHeight="1" outlineLevel="2" x14ac:dyDescent="0.3">
      <c r="A109" s="36" t="s">
        <v>4629</v>
      </c>
      <c r="B109" s="33">
        <v>1</v>
      </c>
      <c r="C109" s="33">
        <v>1</v>
      </c>
      <c r="D109" s="37"/>
    </row>
    <row r="110" spans="1:4" ht="17.25" x14ac:dyDescent="0.3">
      <c r="A110" s="44" t="s">
        <v>98</v>
      </c>
      <c r="B110" s="26">
        <f>B111+B164+B686+B691+B696+B701+B706+B711+B716+B720+B725+B730+B735+B740+B743+B746+B751</f>
        <v>628</v>
      </c>
      <c r="C110" s="26">
        <f>C111+C164+C686+C691+C696+C701+C706+C711+C716+C720+C725+C730+C735+C740+C743+C746+C751</f>
        <v>628</v>
      </c>
      <c r="D110" s="37"/>
    </row>
    <row r="111" spans="1:4" ht="17.25" outlineLevel="1" collapsed="1" x14ac:dyDescent="0.3">
      <c r="A111" s="45" t="s">
        <v>99</v>
      </c>
      <c r="B111" s="33">
        <f>SUM(B112:B163)</f>
        <v>52</v>
      </c>
      <c r="C111" s="33">
        <f>SUM(C112:C163)</f>
        <v>52</v>
      </c>
      <c r="D111" s="37"/>
    </row>
    <row r="112" spans="1:4" ht="17.25" hidden="1" outlineLevel="2" x14ac:dyDescent="0.3">
      <c r="A112" s="36" t="s">
        <v>4630</v>
      </c>
      <c r="B112" s="33">
        <v>1</v>
      </c>
      <c r="C112" s="33">
        <v>1</v>
      </c>
      <c r="D112" s="37"/>
    </row>
    <row r="113" spans="1:4" ht="17.25" hidden="1" outlineLevel="2" x14ac:dyDescent="0.3">
      <c r="A113" s="36" t="s">
        <v>4631</v>
      </c>
      <c r="B113" s="33">
        <v>1</v>
      </c>
      <c r="C113" s="33">
        <v>1</v>
      </c>
      <c r="D113" s="37"/>
    </row>
    <row r="114" spans="1:4" ht="17.25" hidden="1" outlineLevel="2" x14ac:dyDescent="0.3">
      <c r="A114" s="36" t="s">
        <v>4632</v>
      </c>
      <c r="B114" s="33">
        <v>1</v>
      </c>
      <c r="C114" s="33">
        <v>1</v>
      </c>
      <c r="D114" s="37"/>
    </row>
    <row r="115" spans="1:4" ht="17.25" hidden="1" outlineLevel="2" x14ac:dyDescent="0.3">
      <c r="A115" s="36" t="s">
        <v>4633</v>
      </c>
      <c r="B115" s="33">
        <v>1</v>
      </c>
      <c r="C115" s="33">
        <v>1</v>
      </c>
      <c r="D115" s="37"/>
    </row>
    <row r="116" spans="1:4" ht="17.25" hidden="1" outlineLevel="2" x14ac:dyDescent="0.3">
      <c r="A116" s="36" t="s">
        <v>4634</v>
      </c>
      <c r="B116" s="33">
        <v>1</v>
      </c>
      <c r="C116" s="33">
        <v>1</v>
      </c>
      <c r="D116" s="37"/>
    </row>
    <row r="117" spans="1:4" ht="17.25" hidden="1" outlineLevel="2" x14ac:dyDescent="0.3">
      <c r="A117" s="36" t="s">
        <v>4635</v>
      </c>
      <c r="B117" s="33">
        <v>1</v>
      </c>
      <c r="C117" s="33">
        <v>1</v>
      </c>
      <c r="D117" s="37"/>
    </row>
    <row r="118" spans="1:4" ht="17.25" hidden="1" outlineLevel="2" x14ac:dyDescent="0.3">
      <c r="A118" s="36" t="s">
        <v>4636</v>
      </c>
      <c r="B118" s="33">
        <v>1</v>
      </c>
      <c r="C118" s="33">
        <v>1</v>
      </c>
      <c r="D118" s="37"/>
    </row>
    <row r="119" spans="1:4" ht="17.25" hidden="1" outlineLevel="2" x14ac:dyDescent="0.3">
      <c r="A119" s="36" t="s">
        <v>4637</v>
      </c>
      <c r="B119" s="33">
        <v>1</v>
      </c>
      <c r="C119" s="33">
        <v>1</v>
      </c>
      <c r="D119" s="37"/>
    </row>
    <row r="120" spans="1:4" ht="17.25" hidden="1" outlineLevel="2" x14ac:dyDescent="0.3">
      <c r="A120" s="36" t="s">
        <v>4638</v>
      </c>
      <c r="B120" s="33">
        <v>1</v>
      </c>
      <c r="C120" s="33">
        <v>1</v>
      </c>
      <c r="D120" s="37"/>
    </row>
    <row r="121" spans="1:4" ht="17.25" hidden="1" outlineLevel="2" x14ac:dyDescent="0.3">
      <c r="A121" s="36" t="s">
        <v>4639</v>
      </c>
      <c r="B121" s="33">
        <v>1</v>
      </c>
      <c r="C121" s="33">
        <v>1</v>
      </c>
      <c r="D121" s="37"/>
    </row>
    <row r="122" spans="1:4" ht="17.25" hidden="1" outlineLevel="2" x14ac:dyDescent="0.3">
      <c r="A122" s="36" t="s">
        <v>4505</v>
      </c>
      <c r="B122" s="33">
        <v>1</v>
      </c>
      <c r="C122" s="33">
        <v>1</v>
      </c>
      <c r="D122" s="37"/>
    </row>
    <row r="123" spans="1:4" ht="17.25" hidden="1" outlineLevel="2" x14ac:dyDescent="0.3">
      <c r="A123" s="36" t="s">
        <v>1143</v>
      </c>
      <c r="B123" s="33">
        <v>1</v>
      </c>
      <c r="C123" s="33">
        <v>1</v>
      </c>
      <c r="D123" s="37"/>
    </row>
    <row r="124" spans="1:4" ht="17.25" hidden="1" outlineLevel="2" x14ac:dyDescent="0.3">
      <c r="A124" s="36" t="s">
        <v>1144</v>
      </c>
      <c r="B124" s="33">
        <v>1</v>
      </c>
      <c r="C124" s="33">
        <v>1</v>
      </c>
      <c r="D124" s="37"/>
    </row>
    <row r="125" spans="1:4" ht="17.25" hidden="1" outlineLevel="2" x14ac:dyDescent="0.3">
      <c r="A125" s="36" t="s">
        <v>1145</v>
      </c>
      <c r="B125" s="33">
        <v>1</v>
      </c>
      <c r="C125" s="33">
        <v>1</v>
      </c>
      <c r="D125" s="37"/>
    </row>
    <row r="126" spans="1:4" ht="17.25" hidden="1" outlineLevel="2" x14ac:dyDescent="0.3">
      <c r="A126" s="36" t="s">
        <v>1146</v>
      </c>
      <c r="B126" s="33">
        <v>1</v>
      </c>
      <c r="C126" s="33">
        <v>1</v>
      </c>
      <c r="D126" s="37"/>
    </row>
    <row r="127" spans="1:4" ht="17.25" hidden="1" outlineLevel="2" x14ac:dyDescent="0.3">
      <c r="A127" s="36" t="s">
        <v>1147</v>
      </c>
      <c r="B127" s="33">
        <v>1</v>
      </c>
      <c r="C127" s="33">
        <v>1</v>
      </c>
      <c r="D127" s="37"/>
    </row>
    <row r="128" spans="1:4" ht="17.25" hidden="1" outlineLevel="2" x14ac:dyDescent="0.3">
      <c r="A128" s="36" t="s">
        <v>1148</v>
      </c>
      <c r="B128" s="33">
        <v>1</v>
      </c>
      <c r="C128" s="33">
        <v>1</v>
      </c>
      <c r="D128" s="37"/>
    </row>
    <row r="129" spans="1:4" ht="17.25" hidden="1" outlineLevel="2" x14ac:dyDescent="0.3">
      <c r="A129" s="36" t="s">
        <v>1149</v>
      </c>
      <c r="B129" s="33">
        <v>1</v>
      </c>
      <c r="C129" s="33">
        <v>1</v>
      </c>
      <c r="D129" s="37"/>
    </row>
    <row r="130" spans="1:4" ht="17.25" hidden="1" outlineLevel="2" x14ac:dyDescent="0.3">
      <c r="A130" s="36" t="s">
        <v>1038</v>
      </c>
      <c r="B130" s="33">
        <v>1</v>
      </c>
      <c r="C130" s="33">
        <v>1</v>
      </c>
      <c r="D130" s="37"/>
    </row>
    <row r="131" spans="1:4" ht="17.25" hidden="1" outlineLevel="2" x14ac:dyDescent="0.3">
      <c r="A131" s="36" t="s">
        <v>358</v>
      </c>
      <c r="B131" s="33">
        <v>1</v>
      </c>
      <c r="C131" s="33">
        <v>1</v>
      </c>
      <c r="D131" s="37"/>
    </row>
    <row r="132" spans="1:4" ht="17.25" hidden="1" outlineLevel="2" x14ac:dyDescent="0.3">
      <c r="A132" s="36" t="s">
        <v>359</v>
      </c>
      <c r="B132" s="33">
        <v>1</v>
      </c>
      <c r="C132" s="33">
        <v>1</v>
      </c>
      <c r="D132" s="37"/>
    </row>
    <row r="133" spans="1:4" ht="17.25" hidden="1" outlineLevel="2" x14ac:dyDescent="0.3">
      <c r="A133" s="36" t="s">
        <v>360</v>
      </c>
      <c r="B133" s="33">
        <v>1</v>
      </c>
      <c r="C133" s="33">
        <v>1</v>
      </c>
      <c r="D133" s="37"/>
    </row>
    <row r="134" spans="1:4" ht="17.25" hidden="1" outlineLevel="2" x14ac:dyDescent="0.3">
      <c r="A134" s="36" t="s">
        <v>4640</v>
      </c>
      <c r="B134" s="33">
        <v>1</v>
      </c>
      <c r="C134" s="33">
        <v>1</v>
      </c>
      <c r="D134" s="37"/>
    </row>
    <row r="135" spans="1:4" ht="17.25" hidden="1" outlineLevel="2" x14ac:dyDescent="0.3">
      <c r="A135" s="36" t="s">
        <v>4641</v>
      </c>
      <c r="B135" s="33">
        <v>1</v>
      </c>
      <c r="C135" s="33">
        <v>1</v>
      </c>
      <c r="D135" s="37"/>
    </row>
    <row r="136" spans="1:4" ht="17.25" hidden="1" outlineLevel="2" x14ac:dyDescent="0.3">
      <c r="A136" s="36" t="s">
        <v>4642</v>
      </c>
      <c r="B136" s="33">
        <v>1</v>
      </c>
      <c r="C136" s="33">
        <v>1</v>
      </c>
      <c r="D136" s="37"/>
    </row>
    <row r="137" spans="1:4" ht="17.25" hidden="1" outlineLevel="2" x14ac:dyDescent="0.3">
      <c r="A137" s="36" t="s">
        <v>4643</v>
      </c>
      <c r="B137" s="33">
        <v>1</v>
      </c>
      <c r="C137" s="33">
        <v>1</v>
      </c>
      <c r="D137" s="37"/>
    </row>
    <row r="138" spans="1:4" ht="17.25" hidden="1" outlineLevel="2" x14ac:dyDescent="0.3">
      <c r="A138" s="36" t="s">
        <v>4644</v>
      </c>
      <c r="B138" s="33">
        <v>1</v>
      </c>
      <c r="C138" s="33">
        <v>1</v>
      </c>
      <c r="D138" s="37"/>
    </row>
    <row r="139" spans="1:4" ht="17.25" hidden="1" outlineLevel="2" x14ac:dyDescent="0.3">
      <c r="A139" s="36" t="s">
        <v>4645</v>
      </c>
      <c r="B139" s="33">
        <v>1</v>
      </c>
      <c r="C139" s="33">
        <v>1</v>
      </c>
      <c r="D139" s="37"/>
    </row>
    <row r="140" spans="1:4" ht="17.25" hidden="1" outlineLevel="2" x14ac:dyDescent="0.3">
      <c r="A140" s="36" t="s">
        <v>4646</v>
      </c>
      <c r="B140" s="33">
        <v>1</v>
      </c>
      <c r="C140" s="33">
        <v>1</v>
      </c>
      <c r="D140" s="37"/>
    </row>
    <row r="141" spans="1:4" ht="17.25" hidden="1" outlineLevel="2" x14ac:dyDescent="0.3">
      <c r="A141" s="36" t="s">
        <v>4647</v>
      </c>
      <c r="B141" s="33">
        <v>1</v>
      </c>
      <c r="C141" s="33">
        <v>1</v>
      </c>
      <c r="D141" s="37"/>
    </row>
    <row r="142" spans="1:4" ht="17.25" hidden="1" outlineLevel="2" x14ac:dyDescent="0.3">
      <c r="A142" s="36" t="s">
        <v>4648</v>
      </c>
      <c r="B142" s="33">
        <v>1</v>
      </c>
      <c r="C142" s="33">
        <v>1</v>
      </c>
      <c r="D142" s="37"/>
    </row>
    <row r="143" spans="1:4" ht="17.25" hidden="1" outlineLevel="2" x14ac:dyDescent="0.3">
      <c r="A143" s="36" t="s">
        <v>4649</v>
      </c>
      <c r="B143" s="33">
        <v>1</v>
      </c>
      <c r="C143" s="33">
        <v>1</v>
      </c>
      <c r="D143" s="37"/>
    </row>
    <row r="144" spans="1:4" ht="17.25" hidden="1" outlineLevel="2" x14ac:dyDescent="0.3">
      <c r="A144" s="36" t="s">
        <v>4650</v>
      </c>
      <c r="B144" s="33">
        <v>1</v>
      </c>
      <c r="C144" s="33">
        <v>1</v>
      </c>
      <c r="D144" s="37"/>
    </row>
    <row r="145" spans="1:4" ht="17.25" hidden="1" outlineLevel="2" x14ac:dyDescent="0.3">
      <c r="A145" s="36" t="s">
        <v>4651</v>
      </c>
      <c r="B145" s="33">
        <v>1</v>
      </c>
      <c r="C145" s="33">
        <v>1</v>
      </c>
      <c r="D145" s="37"/>
    </row>
    <row r="146" spans="1:4" ht="17.25" hidden="1" outlineLevel="2" x14ac:dyDescent="0.3">
      <c r="A146" s="36" t="s">
        <v>4652</v>
      </c>
      <c r="B146" s="33">
        <v>1</v>
      </c>
      <c r="C146" s="33">
        <v>1</v>
      </c>
      <c r="D146" s="37"/>
    </row>
    <row r="147" spans="1:4" ht="17.25" hidden="1" outlineLevel="2" x14ac:dyDescent="0.3">
      <c r="A147" s="36" t="s">
        <v>4653</v>
      </c>
      <c r="B147" s="33">
        <v>1</v>
      </c>
      <c r="C147" s="33">
        <v>1</v>
      </c>
      <c r="D147" s="37"/>
    </row>
    <row r="148" spans="1:4" ht="17.25" hidden="1" outlineLevel="2" x14ac:dyDescent="0.3">
      <c r="A148" s="36" t="s">
        <v>4654</v>
      </c>
      <c r="B148" s="33">
        <v>1</v>
      </c>
      <c r="C148" s="33">
        <v>1</v>
      </c>
      <c r="D148" s="37"/>
    </row>
    <row r="149" spans="1:4" ht="17.25" hidden="1" outlineLevel="2" x14ac:dyDescent="0.3">
      <c r="A149" s="36" t="s">
        <v>4655</v>
      </c>
      <c r="B149" s="33">
        <v>1</v>
      </c>
      <c r="C149" s="33">
        <v>1</v>
      </c>
      <c r="D149" s="37"/>
    </row>
    <row r="150" spans="1:4" ht="17.25" hidden="1" outlineLevel="2" x14ac:dyDescent="0.3">
      <c r="A150" s="36" t="s">
        <v>4656</v>
      </c>
      <c r="B150" s="33">
        <v>1</v>
      </c>
      <c r="C150" s="33">
        <v>1</v>
      </c>
      <c r="D150" s="37"/>
    </row>
    <row r="151" spans="1:4" ht="17.25" hidden="1" outlineLevel="2" x14ac:dyDescent="0.3">
      <c r="A151" s="36" t="s">
        <v>4657</v>
      </c>
      <c r="B151" s="33">
        <v>1</v>
      </c>
      <c r="C151" s="33">
        <v>1</v>
      </c>
      <c r="D151" s="37"/>
    </row>
    <row r="152" spans="1:4" ht="17.25" hidden="1" outlineLevel="2" x14ac:dyDescent="0.3">
      <c r="A152" s="36" t="s">
        <v>4658</v>
      </c>
      <c r="B152" s="33">
        <v>1</v>
      </c>
      <c r="C152" s="33">
        <v>1</v>
      </c>
      <c r="D152" s="37"/>
    </row>
    <row r="153" spans="1:4" ht="17.25" hidden="1" outlineLevel="2" x14ac:dyDescent="0.3">
      <c r="A153" s="36" t="s">
        <v>4659</v>
      </c>
      <c r="B153" s="33">
        <v>1</v>
      </c>
      <c r="C153" s="33">
        <v>1</v>
      </c>
      <c r="D153" s="37"/>
    </row>
    <row r="154" spans="1:4" ht="17.25" hidden="1" outlineLevel="2" x14ac:dyDescent="0.3">
      <c r="A154" s="36" t="s">
        <v>4660</v>
      </c>
      <c r="B154" s="33">
        <v>1</v>
      </c>
      <c r="C154" s="33">
        <v>1</v>
      </c>
      <c r="D154" s="37"/>
    </row>
    <row r="155" spans="1:4" ht="17.25" hidden="1" outlineLevel="2" x14ac:dyDescent="0.3">
      <c r="A155" s="36" t="s">
        <v>4661</v>
      </c>
      <c r="B155" s="33">
        <v>1</v>
      </c>
      <c r="C155" s="33">
        <v>1</v>
      </c>
      <c r="D155" s="37"/>
    </row>
    <row r="156" spans="1:4" ht="17.25" hidden="1" outlineLevel="2" x14ac:dyDescent="0.3">
      <c r="A156" s="36" t="s">
        <v>4662</v>
      </c>
      <c r="B156" s="33">
        <v>1</v>
      </c>
      <c r="C156" s="33">
        <v>1</v>
      </c>
      <c r="D156" s="37"/>
    </row>
    <row r="157" spans="1:4" ht="17.25" hidden="1" outlineLevel="2" x14ac:dyDescent="0.3">
      <c r="A157" s="36" t="s">
        <v>4663</v>
      </c>
      <c r="B157" s="33">
        <v>1</v>
      </c>
      <c r="C157" s="33">
        <v>1</v>
      </c>
      <c r="D157" s="37"/>
    </row>
    <row r="158" spans="1:4" ht="17.25" hidden="1" outlineLevel="2" x14ac:dyDescent="0.3">
      <c r="A158" s="36" t="s">
        <v>4664</v>
      </c>
      <c r="B158" s="33">
        <v>1</v>
      </c>
      <c r="C158" s="33">
        <v>1</v>
      </c>
      <c r="D158" s="37"/>
    </row>
    <row r="159" spans="1:4" ht="17.25" hidden="1" outlineLevel="2" x14ac:dyDescent="0.3">
      <c r="A159" s="36" t="s">
        <v>4665</v>
      </c>
      <c r="B159" s="33">
        <v>1</v>
      </c>
      <c r="C159" s="33">
        <v>1</v>
      </c>
      <c r="D159" s="37"/>
    </row>
    <row r="160" spans="1:4" ht="17.25" hidden="1" outlineLevel="2" x14ac:dyDescent="0.3">
      <c r="A160" s="36" t="s">
        <v>4666</v>
      </c>
      <c r="B160" s="33">
        <v>1</v>
      </c>
      <c r="C160" s="33">
        <v>1</v>
      </c>
      <c r="D160" s="37"/>
    </row>
    <row r="161" spans="1:4" ht="17.25" hidden="1" outlineLevel="2" x14ac:dyDescent="0.3">
      <c r="A161" s="36" t="s">
        <v>4667</v>
      </c>
      <c r="B161" s="33">
        <v>1</v>
      </c>
      <c r="C161" s="33">
        <v>1</v>
      </c>
      <c r="D161" s="37"/>
    </row>
    <row r="162" spans="1:4" ht="17.25" hidden="1" outlineLevel="2" x14ac:dyDescent="0.3">
      <c r="A162" s="36" t="s">
        <v>4668</v>
      </c>
      <c r="B162" s="33">
        <v>1</v>
      </c>
      <c r="C162" s="33">
        <v>1</v>
      </c>
      <c r="D162" s="37"/>
    </row>
    <row r="163" spans="1:4" ht="17.25" hidden="1" outlineLevel="2" x14ac:dyDescent="0.3">
      <c r="A163" s="36" t="s">
        <v>4669</v>
      </c>
      <c r="B163" s="33">
        <v>1</v>
      </c>
      <c r="C163" s="33">
        <v>1</v>
      </c>
      <c r="D163" s="37"/>
    </row>
    <row r="164" spans="1:4" ht="17.25" outlineLevel="1" collapsed="1" x14ac:dyDescent="0.3">
      <c r="A164" s="45" t="s">
        <v>133</v>
      </c>
      <c r="B164" s="33">
        <f>SUM(B165:B685)</f>
        <v>521</v>
      </c>
      <c r="C164" s="33">
        <f>SUM(C165:C685)</f>
        <v>521</v>
      </c>
      <c r="D164" s="37"/>
    </row>
    <row r="165" spans="1:4" ht="17.25" hidden="1" outlineLevel="2" x14ac:dyDescent="0.3">
      <c r="A165" s="36" t="s">
        <v>4670</v>
      </c>
      <c r="B165" s="33">
        <v>1</v>
      </c>
      <c r="C165" s="33">
        <v>1</v>
      </c>
      <c r="D165" s="37"/>
    </row>
    <row r="166" spans="1:4" ht="17.25" hidden="1" outlineLevel="2" x14ac:dyDescent="0.3">
      <c r="A166" s="36" t="s">
        <v>4671</v>
      </c>
      <c r="B166" s="33">
        <v>1</v>
      </c>
      <c r="C166" s="33">
        <v>1</v>
      </c>
      <c r="D166" s="37"/>
    </row>
    <row r="167" spans="1:4" ht="17.25" hidden="1" outlineLevel="2" x14ac:dyDescent="0.3">
      <c r="A167" s="36" t="s">
        <v>4672</v>
      </c>
      <c r="B167" s="33">
        <v>1</v>
      </c>
      <c r="C167" s="33">
        <v>1</v>
      </c>
      <c r="D167" s="37"/>
    </row>
    <row r="168" spans="1:4" ht="17.25" hidden="1" outlineLevel="2" x14ac:dyDescent="0.3">
      <c r="A168" s="36" t="s">
        <v>4673</v>
      </c>
      <c r="B168" s="33">
        <v>1</v>
      </c>
      <c r="C168" s="33">
        <v>1</v>
      </c>
      <c r="D168" s="37"/>
    </row>
    <row r="169" spans="1:4" ht="17.25" hidden="1" outlineLevel="2" x14ac:dyDescent="0.3">
      <c r="A169" s="36" t="s">
        <v>4674</v>
      </c>
      <c r="B169" s="33">
        <v>1</v>
      </c>
      <c r="C169" s="33">
        <v>1</v>
      </c>
      <c r="D169" s="37"/>
    </row>
    <row r="170" spans="1:4" ht="17.25" hidden="1" outlineLevel="2" x14ac:dyDescent="0.3">
      <c r="A170" s="36" t="s">
        <v>4675</v>
      </c>
      <c r="B170" s="33">
        <v>1</v>
      </c>
      <c r="C170" s="33">
        <v>1</v>
      </c>
      <c r="D170" s="37"/>
    </row>
    <row r="171" spans="1:4" ht="17.25" hidden="1" outlineLevel="2" x14ac:dyDescent="0.3">
      <c r="A171" s="36" t="s">
        <v>4676</v>
      </c>
      <c r="B171" s="33">
        <v>1</v>
      </c>
      <c r="C171" s="33">
        <v>1</v>
      </c>
      <c r="D171" s="37"/>
    </row>
    <row r="172" spans="1:4" ht="17.25" hidden="1" outlineLevel="2" x14ac:dyDescent="0.3">
      <c r="A172" s="36" t="s">
        <v>4677</v>
      </c>
      <c r="B172" s="33">
        <v>1</v>
      </c>
      <c r="C172" s="33">
        <v>1</v>
      </c>
      <c r="D172" s="37"/>
    </row>
    <row r="173" spans="1:4" ht="17.25" hidden="1" outlineLevel="2" x14ac:dyDescent="0.3">
      <c r="A173" s="36" t="s">
        <v>4678</v>
      </c>
      <c r="B173" s="33">
        <v>1</v>
      </c>
      <c r="C173" s="33">
        <v>1</v>
      </c>
      <c r="D173" s="37"/>
    </row>
    <row r="174" spans="1:4" ht="17.25" hidden="1" outlineLevel="2" x14ac:dyDescent="0.3">
      <c r="A174" s="36" t="s">
        <v>4679</v>
      </c>
      <c r="B174" s="33">
        <v>1</v>
      </c>
      <c r="C174" s="33">
        <v>1</v>
      </c>
      <c r="D174" s="37"/>
    </row>
    <row r="175" spans="1:4" ht="17.25" hidden="1" outlineLevel="2" x14ac:dyDescent="0.3">
      <c r="A175" s="36" t="s">
        <v>4680</v>
      </c>
      <c r="B175" s="33">
        <v>1</v>
      </c>
      <c r="C175" s="33">
        <v>1</v>
      </c>
      <c r="D175" s="37"/>
    </row>
    <row r="176" spans="1:4" ht="17.25" hidden="1" outlineLevel="2" x14ac:dyDescent="0.3">
      <c r="A176" s="36" t="s">
        <v>4681</v>
      </c>
      <c r="B176" s="33">
        <v>1</v>
      </c>
      <c r="C176" s="33">
        <v>1</v>
      </c>
      <c r="D176" s="37"/>
    </row>
    <row r="177" spans="1:4" ht="17.25" hidden="1" outlineLevel="2" x14ac:dyDescent="0.3">
      <c r="A177" s="36" t="s">
        <v>4682</v>
      </c>
      <c r="B177" s="33">
        <v>1</v>
      </c>
      <c r="C177" s="33">
        <v>1</v>
      </c>
      <c r="D177" s="37"/>
    </row>
    <row r="178" spans="1:4" ht="17.25" hidden="1" outlineLevel="2" x14ac:dyDescent="0.3">
      <c r="A178" s="36" t="s">
        <v>4683</v>
      </c>
      <c r="B178" s="33">
        <v>1</v>
      </c>
      <c r="C178" s="33">
        <v>1</v>
      </c>
      <c r="D178" s="37"/>
    </row>
    <row r="179" spans="1:4" ht="17.25" hidden="1" outlineLevel="2" x14ac:dyDescent="0.3">
      <c r="A179" s="36" t="s">
        <v>4684</v>
      </c>
      <c r="B179" s="33">
        <v>1</v>
      </c>
      <c r="C179" s="33">
        <v>1</v>
      </c>
      <c r="D179" s="37"/>
    </row>
    <row r="180" spans="1:4" ht="17.25" hidden="1" outlineLevel="2" x14ac:dyDescent="0.3">
      <c r="A180" s="36" t="s">
        <v>4685</v>
      </c>
      <c r="B180" s="33">
        <v>1</v>
      </c>
      <c r="C180" s="33">
        <v>1</v>
      </c>
      <c r="D180" s="37"/>
    </row>
    <row r="181" spans="1:4" ht="17.25" hidden="1" outlineLevel="2" x14ac:dyDescent="0.3">
      <c r="A181" s="36" t="s">
        <v>4686</v>
      </c>
      <c r="B181" s="33">
        <v>1</v>
      </c>
      <c r="C181" s="33">
        <v>1</v>
      </c>
      <c r="D181" s="37"/>
    </row>
    <row r="182" spans="1:4" ht="17.25" hidden="1" outlineLevel="2" x14ac:dyDescent="0.3">
      <c r="A182" s="36" t="s">
        <v>4687</v>
      </c>
      <c r="B182" s="33">
        <v>1</v>
      </c>
      <c r="C182" s="33">
        <v>1</v>
      </c>
      <c r="D182" s="37"/>
    </row>
    <row r="183" spans="1:4" ht="17.25" hidden="1" outlineLevel="2" x14ac:dyDescent="0.3">
      <c r="A183" s="36" t="s">
        <v>4688</v>
      </c>
      <c r="B183" s="33">
        <v>1</v>
      </c>
      <c r="C183" s="33">
        <v>1</v>
      </c>
      <c r="D183" s="37"/>
    </row>
    <row r="184" spans="1:4" ht="17.25" hidden="1" outlineLevel="2" x14ac:dyDescent="0.3">
      <c r="A184" s="36" t="s">
        <v>4689</v>
      </c>
      <c r="B184" s="33">
        <v>1</v>
      </c>
      <c r="C184" s="33">
        <v>1</v>
      </c>
      <c r="D184" s="37"/>
    </row>
    <row r="185" spans="1:4" ht="17.25" hidden="1" outlineLevel="2" x14ac:dyDescent="0.3">
      <c r="A185" s="36" t="s">
        <v>4690</v>
      </c>
      <c r="B185" s="33">
        <v>1</v>
      </c>
      <c r="C185" s="33">
        <v>1</v>
      </c>
      <c r="D185" s="37"/>
    </row>
    <row r="186" spans="1:4" ht="17.25" hidden="1" outlineLevel="2" x14ac:dyDescent="0.3">
      <c r="A186" s="36" t="s">
        <v>4691</v>
      </c>
      <c r="B186" s="33">
        <v>1</v>
      </c>
      <c r="C186" s="33">
        <v>1</v>
      </c>
      <c r="D186" s="37"/>
    </row>
    <row r="187" spans="1:4" ht="17.25" hidden="1" outlineLevel="2" x14ac:dyDescent="0.3">
      <c r="A187" s="36" t="s">
        <v>4692</v>
      </c>
      <c r="B187" s="33">
        <v>1</v>
      </c>
      <c r="C187" s="33">
        <v>1</v>
      </c>
      <c r="D187" s="37"/>
    </row>
    <row r="188" spans="1:4" ht="17.25" hidden="1" outlineLevel="2" x14ac:dyDescent="0.3">
      <c r="A188" s="36" t="s">
        <v>4693</v>
      </c>
      <c r="B188" s="33">
        <v>1</v>
      </c>
      <c r="C188" s="33">
        <v>1</v>
      </c>
      <c r="D188" s="37"/>
    </row>
    <row r="189" spans="1:4" ht="17.25" hidden="1" outlineLevel="2" x14ac:dyDescent="0.3">
      <c r="A189" s="36" t="s">
        <v>4694</v>
      </c>
      <c r="B189" s="33">
        <v>1</v>
      </c>
      <c r="C189" s="33">
        <v>1</v>
      </c>
      <c r="D189" s="37"/>
    </row>
    <row r="190" spans="1:4" ht="17.25" hidden="1" outlineLevel="2" x14ac:dyDescent="0.3">
      <c r="A190" s="36" t="s">
        <v>4695</v>
      </c>
      <c r="B190" s="33">
        <v>1</v>
      </c>
      <c r="C190" s="33">
        <v>1</v>
      </c>
      <c r="D190" s="37"/>
    </row>
    <row r="191" spans="1:4" ht="17.25" hidden="1" outlineLevel="2" x14ac:dyDescent="0.3">
      <c r="A191" s="36" t="s">
        <v>4696</v>
      </c>
      <c r="B191" s="33">
        <v>1</v>
      </c>
      <c r="C191" s="33">
        <v>1</v>
      </c>
      <c r="D191" s="37"/>
    </row>
    <row r="192" spans="1:4" ht="17.25" hidden="1" outlineLevel="2" x14ac:dyDescent="0.3">
      <c r="A192" s="36" t="s">
        <v>4697</v>
      </c>
      <c r="B192" s="33">
        <v>1</v>
      </c>
      <c r="C192" s="33">
        <v>1</v>
      </c>
      <c r="D192" s="37"/>
    </row>
    <row r="193" spans="1:4" ht="17.25" hidden="1" outlineLevel="2" x14ac:dyDescent="0.3">
      <c r="A193" s="36" t="s">
        <v>4698</v>
      </c>
      <c r="B193" s="33">
        <v>1</v>
      </c>
      <c r="C193" s="33">
        <v>1</v>
      </c>
      <c r="D193" s="37"/>
    </row>
    <row r="194" spans="1:4" ht="17.25" hidden="1" outlineLevel="2" x14ac:dyDescent="0.3">
      <c r="A194" s="36" t="s">
        <v>4699</v>
      </c>
      <c r="B194" s="33">
        <v>1</v>
      </c>
      <c r="C194" s="33">
        <v>1</v>
      </c>
      <c r="D194" s="37"/>
    </row>
    <row r="195" spans="1:4" ht="17.25" hidden="1" outlineLevel="2" x14ac:dyDescent="0.3">
      <c r="A195" s="36" t="s">
        <v>4700</v>
      </c>
      <c r="B195" s="33">
        <v>1</v>
      </c>
      <c r="C195" s="33">
        <v>1</v>
      </c>
      <c r="D195" s="37"/>
    </row>
    <row r="196" spans="1:4" ht="17.25" hidden="1" outlineLevel="2" x14ac:dyDescent="0.3">
      <c r="A196" s="36" t="s">
        <v>4701</v>
      </c>
      <c r="B196" s="33">
        <v>1</v>
      </c>
      <c r="C196" s="33">
        <v>1</v>
      </c>
      <c r="D196" s="37"/>
    </row>
    <row r="197" spans="1:4" ht="17.25" hidden="1" outlineLevel="2" x14ac:dyDescent="0.3">
      <c r="A197" s="36" t="s">
        <v>4702</v>
      </c>
      <c r="B197" s="33">
        <v>1</v>
      </c>
      <c r="C197" s="33">
        <v>1</v>
      </c>
      <c r="D197" s="37"/>
    </row>
    <row r="198" spans="1:4" ht="17.25" hidden="1" outlineLevel="2" x14ac:dyDescent="0.3">
      <c r="A198" s="36" t="s">
        <v>4703</v>
      </c>
      <c r="B198" s="33">
        <v>1</v>
      </c>
      <c r="C198" s="33">
        <v>1</v>
      </c>
      <c r="D198" s="37"/>
    </row>
    <row r="199" spans="1:4" ht="17.25" hidden="1" outlineLevel="2" x14ac:dyDescent="0.3">
      <c r="A199" s="36" t="s">
        <v>4704</v>
      </c>
      <c r="B199" s="33">
        <v>1</v>
      </c>
      <c r="C199" s="33">
        <v>1</v>
      </c>
      <c r="D199" s="37"/>
    </row>
    <row r="200" spans="1:4" ht="17.25" hidden="1" outlineLevel="2" x14ac:dyDescent="0.3">
      <c r="A200" s="36" t="s">
        <v>4705</v>
      </c>
      <c r="B200" s="33">
        <v>1</v>
      </c>
      <c r="C200" s="33">
        <v>1</v>
      </c>
      <c r="D200" s="37"/>
    </row>
    <row r="201" spans="1:4" ht="17.25" hidden="1" outlineLevel="2" x14ac:dyDescent="0.3">
      <c r="A201" s="36" t="s">
        <v>4706</v>
      </c>
      <c r="B201" s="33">
        <v>1</v>
      </c>
      <c r="C201" s="33">
        <v>1</v>
      </c>
      <c r="D201" s="37"/>
    </row>
    <row r="202" spans="1:4" ht="17.25" hidden="1" outlineLevel="2" x14ac:dyDescent="0.3">
      <c r="A202" s="36" t="s">
        <v>4707</v>
      </c>
      <c r="B202" s="33">
        <v>1</v>
      </c>
      <c r="C202" s="33">
        <v>1</v>
      </c>
      <c r="D202" s="37"/>
    </row>
    <row r="203" spans="1:4" ht="17.25" hidden="1" outlineLevel="2" x14ac:dyDescent="0.3">
      <c r="A203" s="36" t="s">
        <v>4708</v>
      </c>
      <c r="B203" s="33">
        <v>1</v>
      </c>
      <c r="C203" s="33">
        <v>1</v>
      </c>
      <c r="D203" s="37"/>
    </row>
    <row r="204" spans="1:4" ht="17.25" hidden="1" outlineLevel="2" x14ac:dyDescent="0.3">
      <c r="A204" s="36" t="s">
        <v>4709</v>
      </c>
      <c r="B204" s="33">
        <v>1</v>
      </c>
      <c r="C204" s="33">
        <v>1</v>
      </c>
      <c r="D204" s="37"/>
    </row>
    <row r="205" spans="1:4" ht="17.25" hidden="1" outlineLevel="2" x14ac:dyDescent="0.3">
      <c r="A205" s="36" t="s">
        <v>4710</v>
      </c>
      <c r="B205" s="33">
        <v>1</v>
      </c>
      <c r="C205" s="33">
        <v>1</v>
      </c>
      <c r="D205" s="37"/>
    </row>
    <row r="206" spans="1:4" ht="17.25" hidden="1" outlineLevel="2" x14ac:dyDescent="0.3">
      <c r="A206" s="36" t="s">
        <v>4711</v>
      </c>
      <c r="B206" s="33">
        <v>1</v>
      </c>
      <c r="C206" s="33">
        <v>1</v>
      </c>
      <c r="D206" s="37"/>
    </row>
    <row r="207" spans="1:4" ht="17.25" hidden="1" outlineLevel="2" x14ac:dyDescent="0.3">
      <c r="A207" s="36" t="s">
        <v>4712</v>
      </c>
      <c r="B207" s="33">
        <v>1</v>
      </c>
      <c r="C207" s="33">
        <v>1</v>
      </c>
      <c r="D207" s="37"/>
    </row>
    <row r="208" spans="1:4" ht="17.25" hidden="1" outlineLevel="2" x14ac:dyDescent="0.3">
      <c r="A208" s="36" t="s">
        <v>4713</v>
      </c>
      <c r="B208" s="33">
        <v>1</v>
      </c>
      <c r="C208" s="33">
        <v>1</v>
      </c>
      <c r="D208" s="37"/>
    </row>
    <row r="209" spans="1:4" ht="17.25" hidden="1" outlineLevel="2" x14ac:dyDescent="0.3">
      <c r="A209" s="36" t="s">
        <v>4714</v>
      </c>
      <c r="B209" s="33">
        <v>1</v>
      </c>
      <c r="C209" s="33">
        <v>1</v>
      </c>
      <c r="D209" s="37"/>
    </row>
    <row r="210" spans="1:4" ht="17.25" hidden="1" outlineLevel="2" x14ac:dyDescent="0.3">
      <c r="A210" s="36" t="s">
        <v>4715</v>
      </c>
      <c r="B210" s="33">
        <v>1</v>
      </c>
      <c r="C210" s="33">
        <v>1</v>
      </c>
      <c r="D210" s="37"/>
    </row>
    <row r="211" spans="1:4" ht="17.25" hidden="1" outlineLevel="2" x14ac:dyDescent="0.3">
      <c r="A211" s="36" t="s">
        <v>4716</v>
      </c>
      <c r="B211" s="33">
        <v>1</v>
      </c>
      <c r="C211" s="33">
        <v>1</v>
      </c>
      <c r="D211" s="37"/>
    </row>
    <row r="212" spans="1:4" ht="17.25" hidden="1" outlineLevel="2" x14ac:dyDescent="0.3">
      <c r="A212" s="36" t="s">
        <v>4717</v>
      </c>
      <c r="B212" s="33">
        <v>1</v>
      </c>
      <c r="C212" s="33">
        <v>1</v>
      </c>
      <c r="D212" s="37"/>
    </row>
    <row r="213" spans="1:4" ht="17.25" hidden="1" outlineLevel="2" x14ac:dyDescent="0.3">
      <c r="A213" s="36" t="s">
        <v>4718</v>
      </c>
      <c r="B213" s="33">
        <v>1</v>
      </c>
      <c r="C213" s="33">
        <v>1</v>
      </c>
      <c r="D213" s="37"/>
    </row>
    <row r="214" spans="1:4" ht="17.25" hidden="1" outlineLevel="2" x14ac:dyDescent="0.3">
      <c r="A214" s="36" t="s">
        <v>4719</v>
      </c>
      <c r="B214" s="33">
        <v>1</v>
      </c>
      <c r="C214" s="33">
        <v>1</v>
      </c>
      <c r="D214" s="37"/>
    </row>
    <row r="215" spans="1:4" ht="17.25" hidden="1" outlineLevel="2" x14ac:dyDescent="0.3">
      <c r="A215" s="36" t="s">
        <v>4720</v>
      </c>
      <c r="B215" s="33">
        <v>1</v>
      </c>
      <c r="C215" s="33">
        <v>1</v>
      </c>
      <c r="D215" s="37"/>
    </row>
    <row r="216" spans="1:4" ht="17.25" hidden="1" outlineLevel="2" x14ac:dyDescent="0.3">
      <c r="A216" s="36" t="s">
        <v>4721</v>
      </c>
      <c r="B216" s="33">
        <v>1</v>
      </c>
      <c r="C216" s="33">
        <v>1</v>
      </c>
      <c r="D216" s="37"/>
    </row>
    <row r="217" spans="1:4" ht="17.25" hidden="1" outlineLevel="2" x14ac:dyDescent="0.3">
      <c r="A217" s="36" t="s">
        <v>4722</v>
      </c>
      <c r="B217" s="33">
        <v>1</v>
      </c>
      <c r="C217" s="33">
        <v>1</v>
      </c>
      <c r="D217" s="37"/>
    </row>
    <row r="218" spans="1:4" ht="17.25" hidden="1" outlineLevel="2" x14ac:dyDescent="0.3">
      <c r="A218" s="36" t="s">
        <v>4723</v>
      </c>
      <c r="B218" s="33">
        <v>1</v>
      </c>
      <c r="C218" s="33">
        <v>1</v>
      </c>
      <c r="D218" s="37"/>
    </row>
    <row r="219" spans="1:4" ht="17.25" hidden="1" outlineLevel="2" x14ac:dyDescent="0.3">
      <c r="A219" s="36" t="s">
        <v>4724</v>
      </c>
      <c r="B219" s="33">
        <v>1</v>
      </c>
      <c r="C219" s="33">
        <v>1</v>
      </c>
      <c r="D219" s="37"/>
    </row>
    <row r="220" spans="1:4" ht="17.25" hidden="1" outlineLevel="2" x14ac:dyDescent="0.3">
      <c r="A220" s="36" t="s">
        <v>4725</v>
      </c>
      <c r="B220" s="33">
        <v>1</v>
      </c>
      <c r="C220" s="33">
        <v>1</v>
      </c>
      <c r="D220" s="37"/>
    </row>
    <row r="221" spans="1:4" ht="17.25" hidden="1" outlineLevel="2" x14ac:dyDescent="0.3">
      <c r="A221" s="36" t="s">
        <v>4726</v>
      </c>
      <c r="B221" s="33">
        <v>1</v>
      </c>
      <c r="C221" s="33">
        <v>1</v>
      </c>
      <c r="D221" s="37"/>
    </row>
    <row r="222" spans="1:4" ht="17.25" hidden="1" outlineLevel="2" x14ac:dyDescent="0.3">
      <c r="A222" s="36" t="s">
        <v>4727</v>
      </c>
      <c r="B222" s="33">
        <v>1</v>
      </c>
      <c r="C222" s="33">
        <v>1</v>
      </c>
      <c r="D222" s="37"/>
    </row>
    <row r="223" spans="1:4" ht="17.25" hidden="1" outlineLevel="2" x14ac:dyDescent="0.3">
      <c r="A223" s="36" t="s">
        <v>4728</v>
      </c>
      <c r="B223" s="33">
        <v>1</v>
      </c>
      <c r="C223" s="33">
        <v>1</v>
      </c>
      <c r="D223" s="37"/>
    </row>
    <row r="224" spans="1:4" ht="17.25" hidden="1" outlineLevel="2" x14ac:dyDescent="0.3">
      <c r="A224" s="36" t="s">
        <v>4729</v>
      </c>
      <c r="B224" s="33">
        <v>1</v>
      </c>
      <c r="C224" s="33">
        <v>1</v>
      </c>
      <c r="D224" s="37"/>
    </row>
    <row r="225" spans="1:4" ht="17.25" hidden="1" outlineLevel="2" x14ac:dyDescent="0.3">
      <c r="A225" s="36" t="s">
        <v>4730</v>
      </c>
      <c r="B225" s="33">
        <v>1</v>
      </c>
      <c r="C225" s="33">
        <v>1</v>
      </c>
      <c r="D225" s="37"/>
    </row>
    <row r="226" spans="1:4" ht="17.25" hidden="1" outlineLevel="2" x14ac:dyDescent="0.3">
      <c r="A226" s="36" t="s">
        <v>4731</v>
      </c>
      <c r="B226" s="33">
        <v>1</v>
      </c>
      <c r="C226" s="33">
        <v>1</v>
      </c>
      <c r="D226" s="37"/>
    </row>
    <row r="227" spans="1:4" ht="17.25" hidden="1" outlineLevel="2" x14ac:dyDescent="0.3">
      <c r="A227" s="36" t="s">
        <v>4732</v>
      </c>
      <c r="B227" s="33">
        <v>1</v>
      </c>
      <c r="C227" s="33">
        <v>1</v>
      </c>
      <c r="D227" s="37"/>
    </row>
    <row r="228" spans="1:4" ht="17.25" hidden="1" outlineLevel="2" x14ac:dyDescent="0.3">
      <c r="A228" s="36" t="s">
        <v>4733</v>
      </c>
      <c r="B228" s="33">
        <v>1</v>
      </c>
      <c r="C228" s="33">
        <v>1</v>
      </c>
      <c r="D228" s="37"/>
    </row>
    <row r="229" spans="1:4" ht="17.25" hidden="1" outlineLevel="2" x14ac:dyDescent="0.3">
      <c r="A229" s="36" t="s">
        <v>4734</v>
      </c>
      <c r="B229" s="33">
        <v>1</v>
      </c>
      <c r="C229" s="33">
        <v>1</v>
      </c>
      <c r="D229" s="37"/>
    </row>
    <row r="230" spans="1:4" ht="17.25" hidden="1" outlineLevel="2" x14ac:dyDescent="0.3">
      <c r="A230" s="36" t="s">
        <v>4735</v>
      </c>
      <c r="B230" s="33">
        <v>1</v>
      </c>
      <c r="C230" s="33">
        <v>1</v>
      </c>
      <c r="D230" s="37"/>
    </row>
    <row r="231" spans="1:4" ht="17.25" hidden="1" outlineLevel="2" x14ac:dyDescent="0.3">
      <c r="A231" s="36" t="s">
        <v>4736</v>
      </c>
      <c r="B231" s="33">
        <v>1</v>
      </c>
      <c r="C231" s="33">
        <v>1</v>
      </c>
      <c r="D231" s="37"/>
    </row>
    <row r="232" spans="1:4" ht="17.25" hidden="1" outlineLevel="2" x14ac:dyDescent="0.3">
      <c r="A232" s="36" t="s">
        <v>4737</v>
      </c>
      <c r="B232" s="33">
        <v>1</v>
      </c>
      <c r="C232" s="33">
        <v>1</v>
      </c>
      <c r="D232" s="37"/>
    </row>
    <row r="233" spans="1:4" ht="17.25" hidden="1" outlineLevel="2" x14ac:dyDescent="0.3">
      <c r="A233" s="36" t="s">
        <v>4738</v>
      </c>
      <c r="B233" s="33">
        <v>1</v>
      </c>
      <c r="C233" s="33">
        <v>1</v>
      </c>
      <c r="D233" s="37"/>
    </row>
    <row r="234" spans="1:4" ht="17.25" hidden="1" outlineLevel="2" x14ac:dyDescent="0.3">
      <c r="A234" s="36" t="s">
        <v>4739</v>
      </c>
      <c r="B234" s="33">
        <v>1</v>
      </c>
      <c r="C234" s="33">
        <v>1</v>
      </c>
      <c r="D234" s="37"/>
    </row>
    <row r="235" spans="1:4" ht="17.25" hidden="1" outlineLevel="2" x14ac:dyDescent="0.3">
      <c r="A235" s="36" t="s">
        <v>4740</v>
      </c>
      <c r="B235" s="33">
        <v>1</v>
      </c>
      <c r="C235" s="33">
        <v>1</v>
      </c>
      <c r="D235" s="37"/>
    </row>
    <row r="236" spans="1:4" ht="17.25" hidden="1" outlineLevel="2" x14ac:dyDescent="0.3">
      <c r="A236" s="36" t="s">
        <v>4741</v>
      </c>
      <c r="B236" s="33">
        <v>1</v>
      </c>
      <c r="C236" s="33">
        <v>1</v>
      </c>
      <c r="D236" s="37"/>
    </row>
    <row r="237" spans="1:4" ht="17.25" hidden="1" outlineLevel="2" x14ac:dyDescent="0.3">
      <c r="A237" s="36" t="s">
        <v>4742</v>
      </c>
      <c r="B237" s="33">
        <v>1</v>
      </c>
      <c r="C237" s="33">
        <v>1</v>
      </c>
      <c r="D237" s="37"/>
    </row>
    <row r="238" spans="1:4" ht="17.25" hidden="1" outlineLevel="2" x14ac:dyDescent="0.3">
      <c r="A238" s="36" t="s">
        <v>4743</v>
      </c>
      <c r="B238" s="33">
        <v>1</v>
      </c>
      <c r="C238" s="33">
        <v>1</v>
      </c>
      <c r="D238" s="37"/>
    </row>
    <row r="239" spans="1:4" ht="17.25" hidden="1" outlineLevel="2" x14ac:dyDescent="0.3">
      <c r="A239" s="36" t="s">
        <v>4744</v>
      </c>
      <c r="B239" s="33">
        <v>1</v>
      </c>
      <c r="C239" s="33">
        <v>1</v>
      </c>
      <c r="D239" s="37"/>
    </row>
    <row r="240" spans="1:4" ht="17.25" hidden="1" outlineLevel="2" x14ac:dyDescent="0.3">
      <c r="A240" s="36" t="s">
        <v>4745</v>
      </c>
      <c r="B240" s="33">
        <v>1</v>
      </c>
      <c r="C240" s="33">
        <v>1</v>
      </c>
      <c r="D240" s="37"/>
    </row>
    <row r="241" spans="1:4" ht="17.25" hidden="1" outlineLevel="2" x14ac:dyDescent="0.3">
      <c r="A241" s="36" t="s">
        <v>4746</v>
      </c>
      <c r="B241" s="33">
        <v>1</v>
      </c>
      <c r="C241" s="33">
        <v>1</v>
      </c>
      <c r="D241" s="37"/>
    </row>
    <row r="242" spans="1:4" ht="17.25" hidden="1" outlineLevel="2" x14ac:dyDescent="0.3">
      <c r="A242" s="36" t="s">
        <v>4747</v>
      </c>
      <c r="B242" s="33">
        <v>1</v>
      </c>
      <c r="C242" s="33">
        <v>1</v>
      </c>
      <c r="D242" s="37"/>
    </row>
    <row r="243" spans="1:4" ht="17.25" hidden="1" outlineLevel="2" x14ac:dyDescent="0.3">
      <c r="A243" s="36" t="s">
        <v>4748</v>
      </c>
      <c r="B243" s="33">
        <v>1</v>
      </c>
      <c r="C243" s="33">
        <v>1</v>
      </c>
      <c r="D243" s="37"/>
    </row>
    <row r="244" spans="1:4" ht="17.25" hidden="1" outlineLevel="2" x14ac:dyDescent="0.3">
      <c r="A244" s="36" t="s">
        <v>4749</v>
      </c>
      <c r="B244" s="33">
        <v>1</v>
      </c>
      <c r="C244" s="33">
        <v>1</v>
      </c>
      <c r="D244" s="37"/>
    </row>
    <row r="245" spans="1:4" ht="17.25" hidden="1" outlineLevel="2" x14ac:dyDescent="0.3">
      <c r="A245" s="36" t="s">
        <v>4750</v>
      </c>
      <c r="B245" s="33">
        <v>1</v>
      </c>
      <c r="C245" s="33">
        <v>1</v>
      </c>
      <c r="D245" s="37"/>
    </row>
    <row r="246" spans="1:4" ht="17.25" hidden="1" outlineLevel="2" x14ac:dyDescent="0.3">
      <c r="A246" s="36" t="s">
        <v>4751</v>
      </c>
      <c r="B246" s="33">
        <v>1</v>
      </c>
      <c r="C246" s="33">
        <v>1</v>
      </c>
      <c r="D246" s="37"/>
    </row>
    <row r="247" spans="1:4" ht="17.25" hidden="1" outlineLevel="2" x14ac:dyDescent="0.3">
      <c r="A247" s="36" t="s">
        <v>4752</v>
      </c>
      <c r="B247" s="33">
        <v>1</v>
      </c>
      <c r="C247" s="33">
        <v>1</v>
      </c>
      <c r="D247" s="37"/>
    </row>
    <row r="248" spans="1:4" ht="17.25" hidden="1" outlineLevel="2" x14ac:dyDescent="0.3">
      <c r="A248" s="36" t="s">
        <v>4753</v>
      </c>
      <c r="B248" s="33">
        <v>1</v>
      </c>
      <c r="C248" s="33">
        <v>1</v>
      </c>
      <c r="D248" s="37"/>
    </row>
    <row r="249" spans="1:4" ht="17.25" hidden="1" outlineLevel="2" x14ac:dyDescent="0.3">
      <c r="A249" s="36" t="s">
        <v>4754</v>
      </c>
      <c r="B249" s="33">
        <v>1</v>
      </c>
      <c r="C249" s="33">
        <v>1</v>
      </c>
      <c r="D249" s="37"/>
    </row>
    <row r="250" spans="1:4" ht="17.25" hidden="1" outlineLevel="2" x14ac:dyDescent="0.3">
      <c r="A250" s="36" t="s">
        <v>4755</v>
      </c>
      <c r="B250" s="33">
        <v>1</v>
      </c>
      <c r="C250" s="33">
        <v>1</v>
      </c>
      <c r="D250" s="37"/>
    </row>
    <row r="251" spans="1:4" ht="17.25" hidden="1" outlineLevel="2" x14ac:dyDescent="0.3">
      <c r="A251" s="36" t="s">
        <v>4506</v>
      </c>
      <c r="B251" s="33">
        <v>1</v>
      </c>
      <c r="C251" s="33">
        <v>1</v>
      </c>
      <c r="D251" s="37"/>
    </row>
    <row r="252" spans="1:4" ht="17.25" hidden="1" outlineLevel="2" x14ac:dyDescent="0.3">
      <c r="A252" s="36" t="s">
        <v>4507</v>
      </c>
      <c r="B252" s="33">
        <v>1</v>
      </c>
      <c r="C252" s="33">
        <v>1</v>
      </c>
      <c r="D252" s="37"/>
    </row>
    <row r="253" spans="1:4" ht="17.25" hidden="1" outlineLevel="2" x14ac:dyDescent="0.3">
      <c r="A253" s="36" t="s">
        <v>4508</v>
      </c>
      <c r="B253" s="33">
        <v>1</v>
      </c>
      <c r="C253" s="33">
        <v>1</v>
      </c>
      <c r="D253" s="37"/>
    </row>
    <row r="254" spans="1:4" ht="17.25" hidden="1" outlineLevel="2" x14ac:dyDescent="0.3">
      <c r="A254" s="36" t="s">
        <v>4509</v>
      </c>
      <c r="B254" s="33">
        <v>1</v>
      </c>
      <c r="C254" s="33">
        <v>1</v>
      </c>
      <c r="D254" s="37"/>
    </row>
    <row r="255" spans="1:4" ht="17.25" hidden="1" outlineLevel="2" x14ac:dyDescent="0.3">
      <c r="A255" s="36" t="s">
        <v>4510</v>
      </c>
      <c r="B255" s="33">
        <v>1</v>
      </c>
      <c r="C255" s="33">
        <v>1</v>
      </c>
      <c r="D255" s="37"/>
    </row>
    <row r="256" spans="1:4" ht="17.25" hidden="1" outlineLevel="2" x14ac:dyDescent="0.3">
      <c r="A256" s="36" t="s">
        <v>4511</v>
      </c>
      <c r="B256" s="33">
        <v>1</v>
      </c>
      <c r="C256" s="33">
        <v>1</v>
      </c>
      <c r="D256" s="37"/>
    </row>
    <row r="257" spans="1:4" ht="17.25" hidden="1" outlineLevel="2" x14ac:dyDescent="0.3">
      <c r="A257" s="36" t="s">
        <v>4512</v>
      </c>
      <c r="B257" s="33">
        <v>1</v>
      </c>
      <c r="C257" s="33">
        <v>1</v>
      </c>
      <c r="D257" s="37"/>
    </row>
    <row r="258" spans="1:4" ht="17.25" hidden="1" outlineLevel="2" x14ac:dyDescent="0.3">
      <c r="A258" s="36" t="s">
        <v>4513</v>
      </c>
      <c r="B258" s="33">
        <v>1</v>
      </c>
      <c r="C258" s="33">
        <v>1</v>
      </c>
      <c r="D258" s="37"/>
    </row>
    <row r="259" spans="1:4" ht="17.25" hidden="1" outlineLevel="2" x14ac:dyDescent="0.3">
      <c r="A259" s="36" t="s">
        <v>4514</v>
      </c>
      <c r="B259" s="33">
        <v>1</v>
      </c>
      <c r="C259" s="33">
        <v>1</v>
      </c>
      <c r="D259" s="37"/>
    </row>
    <row r="260" spans="1:4" ht="17.25" hidden="1" outlineLevel="2" x14ac:dyDescent="0.3">
      <c r="A260" s="36" t="s">
        <v>4515</v>
      </c>
      <c r="B260" s="33">
        <v>1</v>
      </c>
      <c r="C260" s="33">
        <v>1</v>
      </c>
      <c r="D260" s="37"/>
    </row>
    <row r="261" spans="1:4" ht="17.25" hidden="1" outlineLevel="2" x14ac:dyDescent="0.3">
      <c r="A261" s="36" t="s">
        <v>4516</v>
      </c>
      <c r="B261" s="33">
        <v>1</v>
      </c>
      <c r="C261" s="33">
        <v>1</v>
      </c>
      <c r="D261" s="37"/>
    </row>
    <row r="262" spans="1:4" ht="17.25" hidden="1" outlineLevel="2" x14ac:dyDescent="0.3">
      <c r="A262" s="36" t="s">
        <v>4517</v>
      </c>
      <c r="B262" s="33">
        <v>1</v>
      </c>
      <c r="C262" s="33">
        <v>1</v>
      </c>
      <c r="D262" s="37"/>
    </row>
    <row r="263" spans="1:4" ht="17.25" hidden="1" outlineLevel="2" x14ac:dyDescent="0.3">
      <c r="A263" s="36" t="s">
        <v>4518</v>
      </c>
      <c r="B263" s="33">
        <v>1</v>
      </c>
      <c r="C263" s="33">
        <v>1</v>
      </c>
      <c r="D263" s="37"/>
    </row>
    <row r="264" spans="1:4" ht="17.25" hidden="1" outlineLevel="2" x14ac:dyDescent="0.3">
      <c r="A264" s="36" t="s">
        <v>4519</v>
      </c>
      <c r="B264" s="33">
        <v>1</v>
      </c>
      <c r="C264" s="33">
        <v>1</v>
      </c>
      <c r="D264" s="37"/>
    </row>
    <row r="265" spans="1:4" ht="17.25" hidden="1" outlineLevel="2" x14ac:dyDescent="0.3">
      <c r="A265" s="36" t="s">
        <v>4520</v>
      </c>
      <c r="B265" s="33">
        <v>1</v>
      </c>
      <c r="C265" s="33">
        <v>1</v>
      </c>
      <c r="D265" s="37"/>
    </row>
    <row r="266" spans="1:4" ht="17.25" hidden="1" outlineLevel="2" x14ac:dyDescent="0.3">
      <c r="A266" s="36" t="s">
        <v>4521</v>
      </c>
      <c r="B266" s="33">
        <v>1</v>
      </c>
      <c r="C266" s="33">
        <v>1</v>
      </c>
      <c r="D266" s="37"/>
    </row>
    <row r="267" spans="1:4" ht="17.25" hidden="1" outlineLevel="2" x14ac:dyDescent="0.3">
      <c r="A267" s="36" t="s">
        <v>1079</v>
      </c>
      <c r="B267" s="33">
        <v>1</v>
      </c>
      <c r="C267" s="33">
        <v>1</v>
      </c>
      <c r="D267" s="37"/>
    </row>
    <row r="268" spans="1:4" ht="17.25" hidden="1" outlineLevel="2" x14ac:dyDescent="0.3">
      <c r="A268" s="36" t="s">
        <v>1080</v>
      </c>
      <c r="B268" s="33">
        <v>1</v>
      </c>
      <c r="C268" s="33">
        <v>1</v>
      </c>
      <c r="D268" s="37"/>
    </row>
    <row r="269" spans="1:4" ht="17.25" hidden="1" outlineLevel="2" x14ac:dyDescent="0.3">
      <c r="A269" s="36" t="s">
        <v>1081</v>
      </c>
      <c r="B269" s="33">
        <v>1</v>
      </c>
      <c r="C269" s="33">
        <v>1</v>
      </c>
      <c r="D269" s="37"/>
    </row>
    <row r="270" spans="1:4" ht="17.25" hidden="1" outlineLevel="2" x14ac:dyDescent="0.3">
      <c r="A270" s="36" t="s">
        <v>1082</v>
      </c>
      <c r="B270" s="33">
        <v>1</v>
      </c>
      <c r="C270" s="33">
        <v>1</v>
      </c>
      <c r="D270" s="37"/>
    </row>
    <row r="271" spans="1:4" ht="17.25" hidden="1" outlineLevel="2" x14ac:dyDescent="0.3">
      <c r="A271" s="36" t="s">
        <v>1083</v>
      </c>
      <c r="B271" s="33">
        <v>1</v>
      </c>
      <c r="C271" s="33">
        <v>1</v>
      </c>
      <c r="D271" s="37"/>
    </row>
    <row r="272" spans="1:4" ht="17.25" hidden="1" outlineLevel="2" x14ac:dyDescent="0.3">
      <c r="A272" s="36" t="s">
        <v>1084</v>
      </c>
      <c r="B272" s="33">
        <v>1</v>
      </c>
      <c r="C272" s="33">
        <v>1</v>
      </c>
      <c r="D272" s="37"/>
    </row>
    <row r="273" spans="1:4" ht="17.25" hidden="1" outlineLevel="2" x14ac:dyDescent="0.3">
      <c r="A273" s="36" t="s">
        <v>1085</v>
      </c>
      <c r="B273" s="33">
        <v>1</v>
      </c>
      <c r="C273" s="33">
        <v>1</v>
      </c>
      <c r="D273" s="37"/>
    </row>
    <row r="274" spans="1:4" ht="17.25" hidden="1" outlineLevel="2" x14ac:dyDescent="0.3">
      <c r="A274" s="36" t="s">
        <v>1086</v>
      </c>
      <c r="B274" s="33">
        <v>1</v>
      </c>
      <c r="C274" s="33">
        <v>1</v>
      </c>
      <c r="D274" s="37"/>
    </row>
    <row r="275" spans="1:4" ht="17.25" hidden="1" outlineLevel="2" x14ac:dyDescent="0.3">
      <c r="A275" s="36" t="s">
        <v>1087</v>
      </c>
      <c r="B275" s="33">
        <v>1</v>
      </c>
      <c r="C275" s="33">
        <v>1</v>
      </c>
      <c r="D275" s="37"/>
    </row>
    <row r="276" spans="1:4" ht="17.25" hidden="1" outlineLevel="2" x14ac:dyDescent="0.3">
      <c r="A276" s="36" t="s">
        <v>1088</v>
      </c>
      <c r="B276" s="33">
        <v>1</v>
      </c>
      <c r="C276" s="33">
        <v>1</v>
      </c>
      <c r="D276" s="37"/>
    </row>
    <row r="277" spans="1:4" ht="17.25" hidden="1" outlineLevel="2" x14ac:dyDescent="0.3">
      <c r="A277" s="36" t="s">
        <v>1089</v>
      </c>
      <c r="B277" s="33">
        <v>1</v>
      </c>
      <c r="C277" s="33">
        <v>1</v>
      </c>
      <c r="D277" s="37"/>
    </row>
    <row r="278" spans="1:4" ht="17.25" hidden="1" outlineLevel="2" x14ac:dyDescent="0.3">
      <c r="A278" s="36" t="s">
        <v>1090</v>
      </c>
      <c r="B278" s="33">
        <v>1</v>
      </c>
      <c r="C278" s="33">
        <v>1</v>
      </c>
      <c r="D278" s="37"/>
    </row>
    <row r="279" spans="1:4" ht="17.25" hidden="1" outlineLevel="2" x14ac:dyDescent="0.3">
      <c r="A279" s="36" t="s">
        <v>1091</v>
      </c>
      <c r="B279" s="33">
        <v>1</v>
      </c>
      <c r="C279" s="33">
        <v>1</v>
      </c>
      <c r="D279" s="37"/>
    </row>
    <row r="280" spans="1:4" ht="17.25" hidden="1" outlineLevel="2" x14ac:dyDescent="0.3">
      <c r="A280" s="36" t="s">
        <v>1092</v>
      </c>
      <c r="B280" s="33">
        <v>1</v>
      </c>
      <c r="C280" s="33">
        <v>1</v>
      </c>
      <c r="D280" s="37"/>
    </row>
    <row r="281" spans="1:4" ht="17.25" hidden="1" outlineLevel="2" x14ac:dyDescent="0.3">
      <c r="A281" s="36" t="s">
        <v>1093</v>
      </c>
      <c r="B281" s="33">
        <v>1</v>
      </c>
      <c r="C281" s="33">
        <v>1</v>
      </c>
      <c r="D281" s="37"/>
    </row>
    <row r="282" spans="1:4" ht="17.25" hidden="1" outlineLevel="2" x14ac:dyDescent="0.3">
      <c r="A282" s="36" t="s">
        <v>1094</v>
      </c>
      <c r="B282" s="33">
        <v>1</v>
      </c>
      <c r="C282" s="33">
        <v>1</v>
      </c>
      <c r="D282" s="37"/>
    </row>
    <row r="283" spans="1:4" ht="17.25" hidden="1" outlineLevel="2" x14ac:dyDescent="0.3">
      <c r="A283" s="36" t="s">
        <v>1095</v>
      </c>
      <c r="B283" s="33">
        <v>1</v>
      </c>
      <c r="C283" s="33">
        <v>1</v>
      </c>
      <c r="D283" s="37"/>
    </row>
    <row r="284" spans="1:4" ht="17.25" hidden="1" outlineLevel="2" x14ac:dyDescent="0.3">
      <c r="A284" s="36" t="s">
        <v>1096</v>
      </c>
      <c r="B284" s="33">
        <v>1</v>
      </c>
      <c r="C284" s="33">
        <v>1</v>
      </c>
      <c r="D284" s="37"/>
    </row>
    <row r="285" spans="1:4" ht="17.25" hidden="1" outlineLevel="2" x14ac:dyDescent="0.3">
      <c r="A285" s="36" t="s">
        <v>1097</v>
      </c>
      <c r="B285" s="33">
        <v>1</v>
      </c>
      <c r="C285" s="33">
        <v>1</v>
      </c>
      <c r="D285" s="37"/>
    </row>
    <row r="286" spans="1:4" ht="17.25" hidden="1" outlineLevel="2" x14ac:dyDescent="0.3">
      <c r="A286" s="36" t="s">
        <v>1098</v>
      </c>
      <c r="B286" s="33">
        <v>1</v>
      </c>
      <c r="C286" s="33">
        <v>1</v>
      </c>
      <c r="D286" s="37"/>
    </row>
    <row r="287" spans="1:4" ht="17.25" hidden="1" outlineLevel="2" x14ac:dyDescent="0.3">
      <c r="A287" s="36" t="s">
        <v>1099</v>
      </c>
      <c r="B287" s="33">
        <v>1</v>
      </c>
      <c r="C287" s="33">
        <v>1</v>
      </c>
      <c r="D287" s="37"/>
    </row>
    <row r="288" spans="1:4" ht="17.25" hidden="1" outlineLevel="2" x14ac:dyDescent="0.3">
      <c r="A288" s="36" t="s">
        <v>1100</v>
      </c>
      <c r="B288" s="33">
        <v>1</v>
      </c>
      <c r="C288" s="33">
        <v>1</v>
      </c>
      <c r="D288" s="37"/>
    </row>
    <row r="289" spans="1:4" ht="17.25" hidden="1" outlineLevel="2" x14ac:dyDescent="0.3">
      <c r="A289" s="36" t="s">
        <v>1101</v>
      </c>
      <c r="B289" s="33">
        <v>1</v>
      </c>
      <c r="C289" s="33">
        <v>1</v>
      </c>
      <c r="D289" s="37"/>
    </row>
    <row r="290" spans="1:4" ht="17.25" hidden="1" outlineLevel="2" x14ac:dyDescent="0.3">
      <c r="A290" s="36" t="s">
        <v>1102</v>
      </c>
      <c r="B290" s="33">
        <v>1</v>
      </c>
      <c r="C290" s="33">
        <v>1</v>
      </c>
      <c r="D290" s="37"/>
    </row>
    <row r="291" spans="1:4" ht="17.25" hidden="1" outlineLevel="2" x14ac:dyDescent="0.3">
      <c r="A291" s="36" t="s">
        <v>1103</v>
      </c>
      <c r="B291" s="33">
        <v>1</v>
      </c>
      <c r="C291" s="33">
        <v>1</v>
      </c>
      <c r="D291" s="37"/>
    </row>
    <row r="292" spans="1:4" ht="17.25" hidden="1" outlineLevel="2" x14ac:dyDescent="0.3">
      <c r="A292" s="36" t="s">
        <v>1104</v>
      </c>
      <c r="B292" s="33">
        <v>1</v>
      </c>
      <c r="C292" s="33">
        <v>1</v>
      </c>
      <c r="D292" s="37"/>
    </row>
    <row r="293" spans="1:4" ht="17.25" hidden="1" outlineLevel="2" x14ac:dyDescent="0.3">
      <c r="A293" s="36" t="s">
        <v>1105</v>
      </c>
      <c r="B293" s="33">
        <v>1</v>
      </c>
      <c r="C293" s="33">
        <v>1</v>
      </c>
      <c r="D293" s="37"/>
    </row>
    <row r="294" spans="1:4" ht="17.25" hidden="1" outlineLevel="2" x14ac:dyDescent="0.3">
      <c r="A294" s="36" t="s">
        <v>1106</v>
      </c>
      <c r="B294" s="33">
        <v>1</v>
      </c>
      <c r="C294" s="33">
        <v>1</v>
      </c>
      <c r="D294" s="37"/>
    </row>
    <row r="295" spans="1:4" ht="17.25" hidden="1" outlineLevel="2" x14ac:dyDescent="0.3">
      <c r="A295" s="36" t="s">
        <v>1107</v>
      </c>
      <c r="B295" s="33">
        <v>1</v>
      </c>
      <c r="C295" s="33">
        <v>1</v>
      </c>
      <c r="D295" s="37"/>
    </row>
    <row r="296" spans="1:4" ht="17.25" hidden="1" outlineLevel="2" x14ac:dyDescent="0.3">
      <c r="A296" s="36" t="s">
        <v>1108</v>
      </c>
      <c r="B296" s="33">
        <v>1</v>
      </c>
      <c r="C296" s="33">
        <v>1</v>
      </c>
      <c r="D296" s="37"/>
    </row>
    <row r="297" spans="1:4" ht="17.25" hidden="1" outlineLevel="2" x14ac:dyDescent="0.3">
      <c r="A297" s="36" t="s">
        <v>1109</v>
      </c>
      <c r="B297" s="33">
        <v>1</v>
      </c>
      <c r="C297" s="33">
        <v>1</v>
      </c>
      <c r="D297" s="37"/>
    </row>
    <row r="298" spans="1:4" ht="17.25" hidden="1" outlineLevel="2" x14ac:dyDescent="0.3">
      <c r="A298" s="36" t="s">
        <v>1110</v>
      </c>
      <c r="B298" s="33">
        <v>1</v>
      </c>
      <c r="C298" s="33">
        <v>1</v>
      </c>
      <c r="D298" s="37"/>
    </row>
    <row r="299" spans="1:4" ht="17.25" hidden="1" outlineLevel="2" x14ac:dyDescent="0.3">
      <c r="A299" s="36" t="s">
        <v>1111</v>
      </c>
      <c r="B299" s="33">
        <v>1</v>
      </c>
      <c r="C299" s="33">
        <v>1</v>
      </c>
      <c r="D299" s="37"/>
    </row>
    <row r="300" spans="1:4" ht="17.25" hidden="1" outlineLevel="2" x14ac:dyDescent="0.3">
      <c r="A300" s="36" t="s">
        <v>1112</v>
      </c>
      <c r="B300" s="33">
        <v>1</v>
      </c>
      <c r="C300" s="33">
        <v>1</v>
      </c>
      <c r="D300" s="37"/>
    </row>
    <row r="301" spans="1:4" ht="17.25" hidden="1" outlineLevel="2" x14ac:dyDescent="0.3">
      <c r="A301" s="36" t="s">
        <v>1113</v>
      </c>
      <c r="B301" s="33">
        <v>1</v>
      </c>
      <c r="C301" s="33">
        <v>1</v>
      </c>
      <c r="D301" s="37"/>
    </row>
    <row r="302" spans="1:4" ht="17.25" hidden="1" outlineLevel="2" x14ac:dyDescent="0.3">
      <c r="A302" s="36" t="s">
        <v>1114</v>
      </c>
      <c r="B302" s="33">
        <v>1</v>
      </c>
      <c r="C302" s="33">
        <v>1</v>
      </c>
      <c r="D302" s="37"/>
    </row>
    <row r="303" spans="1:4" ht="17.25" hidden="1" outlineLevel="2" x14ac:dyDescent="0.3">
      <c r="A303" s="36" t="s">
        <v>1115</v>
      </c>
      <c r="B303" s="33">
        <v>1</v>
      </c>
      <c r="C303" s="33">
        <v>1</v>
      </c>
      <c r="D303" s="37"/>
    </row>
    <row r="304" spans="1:4" ht="17.25" hidden="1" outlineLevel="2" x14ac:dyDescent="0.3">
      <c r="A304" s="36" t="s">
        <v>1116</v>
      </c>
      <c r="B304" s="33">
        <v>1</v>
      </c>
      <c r="C304" s="33">
        <v>1</v>
      </c>
      <c r="D304" s="37"/>
    </row>
    <row r="305" spans="1:4" ht="17.25" hidden="1" outlineLevel="2" x14ac:dyDescent="0.3">
      <c r="A305" s="36" t="s">
        <v>1117</v>
      </c>
      <c r="B305" s="33">
        <v>1</v>
      </c>
      <c r="C305" s="33">
        <v>1</v>
      </c>
      <c r="D305" s="37"/>
    </row>
    <row r="306" spans="1:4" ht="17.25" hidden="1" outlineLevel="2" x14ac:dyDescent="0.3">
      <c r="A306" s="36" t="s">
        <v>1118</v>
      </c>
      <c r="B306" s="33">
        <v>1</v>
      </c>
      <c r="C306" s="33">
        <v>1</v>
      </c>
      <c r="D306" s="37"/>
    </row>
    <row r="307" spans="1:4" ht="17.25" hidden="1" outlineLevel="2" x14ac:dyDescent="0.3">
      <c r="A307" s="36" t="s">
        <v>1119</v>
      </c>
      <c r="B307" s="33">
        <v>1</v>
      </c>
      <c r="C307" s="33">
        <v>1</v>
      </c>
      <c r="D307" s="37"/>
    </row>
    <row r="308" spans="1:4" ht="17.25" hidden="1" outlineLevel="2" x14ac:dyDescent="0.3">
      <c r="A308" s="36" t="s">
        <v>1120</v>
      </c>
      <c r="B308" s="33">
        <v>1</v>
      </c>
      <c r="C308" s="33">
        <v>1</v>
      </c>
      <c r="D308" s="37"/>
    </row>
    <row r="309" spans="1:4" ht="17.25" hidden="1" outlineLevel="2" x14ac:dyDescent="0.3">
      <c r="A309" s="36" t="s">
        <v>1121</v>
      </c>
      <c r="B309" s="33">
        <v>1</v>
      </c>
      <c r="C309" s="33">
        <v>1</v>
      </c>
      <c r="D309" s="37"/>
    </row>
    <row r="310" spans="1:4" ht="17.25" hidden="1" outlineLevel="2" x14ac:dyDescent="0.3">
      <c r="A310" s="36" t="s">
        <v>1122</v>
      </c>
      <c r="B310" s="33">
        <v>1</v>
      </c>
      <c r="C310" s="33">
        <v>1</v>
      </c>
      <c r="D310" s="37"/>
    </row>
    <row r="311" spans="1:4" ht="17.25" hidden="1" outlineLevel="2" x14ac:dyDescent="0.3">
      <c r="A311" s="36" t="s">
        <v>1123</v>
      </c>
      <c r="B311" s="33">
        <v>1</v>
      </c>
      <c r="C311" s="33">
        <v>1</v>
      </c>
      <c r="D311" s="37"/>
    </row>
    <row r="312" spans="1:4" ht="17.25" hidden="1" outlineLevel="2" x14ac:dyDescent="0.3">
      <c r="A312" s="36" t="s">
        <v>1124</v>
      </c>
      <c r="B312" s="33">
        <v>1</v>
      </c>
      <c r="C312" s="33">
        <v>1</v>
      </c>
      <c r="D312" s="37"/>
    </row>
    <row r="313" spans="1:4" ht="17.25" hidden="1" outlineLevel="2" x14ac:dyDescent="0.3">
      <c r="A313" s="36" t="s">
        <v>1125</v>
      </c>
      <c r="B313" s="33">
        <v>1</v>
      </c>
      <c r="C313" s="33">
        <v>1</v>
      </c>
      <c r="D313" s="37"/>
    </row>
    <row r="314" spans="1:4" ht="17.25" hidden="1" outlineLevel="2" x14ac:dyDescent="0.3">
      <c r="A314" s="36" t="s">
        <v>1126</v>
      </c>
      <c r="B314" s="33">
        <v>1</v>
      </c>
      <c r="C314" s="33">
        <v>1</v>
      </c>
      <c r="D314" s="37"/>
    </row>
    <row r="315" spans="1:4" ht="17.25" hidden="1" outlineLevel="2" x14ac:dyDescent="0.3">
      <c r="A315" s="36" t="s">
        <v>1127</v>
      </c>
      <c r="B315" s="33">
        <v>1</v>
      </c>
      <c r="C315" s="33">
        <v>1</v>
      </c>
      <c r="D315" s="37"/>
    </row>
    <row r="316" spans="1:4" ht="17.25" hidden="1" outlineLevel="2" x14ac:dyDescent="0.3">
      <c r="A316" s="36" t="s">
        <v>1128</v>
      </c>
      <c r="B316" s="33">
        <v>1</v>
      </c>
      <c r="C316" s="33">
        <v>1</v>
      </c>
      <c r="D316" s="37"/>
    </row>
    <row r="317" spans="1:4" ht="17.25" hidden="1" outlineLevel="2" x14ac:dyDescent="0.3">
      <c r="A317" s="36" t="s">
        <v>1129</v>
      </c>
      <c r="B317" s="33">
        <v>1</v>
      </c>
      <c r="C317" s="33">
        <v>1</v>
      </c>
      <c r="D317" s="37"/>
    </row>
    <row r="318" spans="1:4" ht="17.25" hidden="1" outlineLevel="2" x14ac:dyDescent="0.3">
      <c r="A318" s="36" t="s">
        <v>1130</v>
      </c>
      <c r="B318" s="33">
        <v>1</v>
      </c>
      <c r="C318" s="33">
        <v>1</v>
      </c>
      <c r="D318" s="37"/>
    </row>
    <row r="319" spans="1:4" ht="17.25" hidden="1" outlineLevel="2" x14ac:dyDescent="0.3">
      <c r="A319" s="36" t="s">
        <v>1131</v>
      </c>
      <c r="B319" s="33">
        <v>1</v>
      </c>
      <c r="C319" s="33">
        <v>1</v>
      </c>
      <c r="D319" s="37"/>
    </row>
    <row r="320" spans="1:4" ht="17.25" hidden="1" outlineLevel="2" x14ac:dyDescent="0.3">
      <c r="A320" s="36" t="s">
        <v>1132</v>
      </c>
      <c r="B320" s="33">
        <v>1</v>
      </c>
      <c r="C320" s="33">
        <v>1</v>
      </c>
      <c r="D320" s="37"/>
    </row>
    <row r="321" spans="1:4" ht="17.25" hidden="1" outlineLevel="2" x14ac:dyDescent="0.3">
      <c r="A321" s="36" t="s">
        <v>1133</v>
      </c>
      <c r="B321" s="33">
        <v>1</v>
      </c>
      <c r="C321" s="33">
        <v>1</v>
      </c>
      <c r="D321" s="37"/>
    </row>
    <row r="322" spans="1:4" ht="17.25" hidden="1" outlineLevel="2" x14ac:dyDescent="0.3">
      <c r="A322" s="36" t="s">
        <v>1134</v>
      </c>
      <c r="B322" s="33">
        <v>1</v>
      </c>
      <c r="C322" s="33">
        <v>1</v>
      </c>
      <c r="D322" s="37"/>
    </row>
    <row r="323" spans="1:4" ht="17.25" hidden="1" outlineLevel="2" x14ac:dyDescent="0.3">
      <c r="A323" s="36" t="s">
        <v>1135</v>
      </c>
      <c r="B323" s="33">
        <v>1</v>
      </c>
      <c r="C323" s="33">
        <v>1</v>
      </c>
      <c r="D323" s="37"/>
    </row>
    <row r="324" spans="1:4" ht="17.25" hidden="1" outlineLevel="2" x14ac:dyDescent="0.3">
      <c r="A324" s="36" t="s">
        <v>1136</v>
      </c>
      <c r="B324" s="33">
        <v>1</v>
      </c>
      <c r="C324" s="33">
        <v>1</v>
      </c>
      <c r="D324" s="37"/>
    </row>
    <row r="325" spans="1:4" ht="17.25" hidden="1" outlineLevel="2" x14ac:dyDescent="0.3">
      <c r="A325" s="36" t="s">
        <v>1137</v>
      </c>
      <c r="B325" s="33">
        <v>1</v>
      </c>
      <c r="C325" s="33">
        <v>1</v>
      </c>
      <c r="D325" s="37"/>
    </row>
    <row r="326" spans="1:4" ht="17.25" hidden="1" outlineLevel="2" x14ac:dyDescent="0.3">
      <c r="A326" s="36" t="s">
        <v>1138</v>
      </c>
      <c r="B326" s="33">
        <v>1</v>
      </c>
      <c r="C326" s="33">
        <v>1</v>
      </c>
      <c r="D326" s="37"/>
    </row>
    <row r="327" spans="1:4" ht="17.25" hidden="1" outlineLevel="2" x14ac:dyDescent="0.3">
      <c r="A327" s="36" t="s">
        <v>1139</v>
      </c>
      <c r="B327" s="33">
        <v>1</v>
      </c>
      <c r="C327" s="33">
        <v>1</v>
      </c>
      <c r="D327" s="37"/>
    </row>
    <row r="328" spans="1:4" ht="17.25" hidden="1" outlineLevel="2" x14ac:dyDescent="0.3">
      <c r="A328" s="36" t="s">
        <v>1140</v>
      </c>
      <c r="B328" s="33">
        <v>1</v>
      </c>
      <c r="C328" s="33">
        <v>1</v>
      </c>
      <c r="D328" s="37"/>
    </row>
    <row r="329" spans="1:4" ht="17.25" hidden="1" outlineLevel="2" x14ac:dyDescent="0.3">
      <c r="A329" s="36" t="s">
        <v>1141</v>
      </c>
      <c r="B329" s="33">
        <v>1</v>
      </c>
      <c r="C329" s="33">
        <v>1</v>
      </c>
      <c r="D329" s="37"/>
    </row>
    <row r="330" spans="1:4" ht="17.25" hidden="1" outlineLevel="2" x14ac:dyDescent="0.3">
      <c r="A330" s="36" t="s">
        <v>1142</v>
      </c>
      <c r="B330" s="33">
        <v>1</v>
      </c>
      <c r="C330" s="33">
        <v>1</v>
      </c>
      <c r="D330" s="37"/>
    </row>
    <row r="331" spans="1:4" ht="17.25" hidden="1" outlineLevel="2" x14ac:dyDescent="0.3">
      <c r="A331" s="36" t="s">
        <v>1022</v>
      </c>
      <c r="B331" s="33">
        <v>1</v>
      </c>
      <c r="C331" s="33">
        <v>1</v>
      </c>
      <c r="D331" s="37"/>
    </row>
    <row r="332" spans="1:4" ht="17.25" hidden="1" outlineLevel="2" x14ac:dyDescent="0.3">
      <c r="A332" s="36" t="s">
        <v>1023</v>
      </c>
      <c r="B332" s="33">
        <v>1</v>
      </c>
      <c r="C332" s="33">
        <v>1</v>
      </c>
      <c r="D332" s="37"/>
    </row>
    <row r="333" spans="1:4" ht="17.25" hidden="1" outlineLevel="2" x14ac:dyDescent="0.3">
      <c r="A333" s="36" t="s">
        <v>1024</v>
      </c>
      <c r="B333" s="33">
        <v>1</v>
      </c>
      <c r="C333" s="33">
        <v>1</v>
      </c>
      <c r="D333" s="37"/>
    </row>
    <row r="334" spans="1:4" ht="17.25" hidden="1" outlineLevel="2" x14ac:dyDescent="0.3">
      <c r="A334" s="36" t="s">
        <v>1025</v>
      </c>
      <c r="B334" s="33">
        <v>1</v>
      </c>
      <c r="C334" s="33">
        <v>1</v>
      </c>
      <c r="D334" s="37"/>
    </row>
    <row r="335" spans="1:4" ht="17.25" hidden="1" outlineLevel="2" x14ac:dyDescent="0.3">
      <c r="A335" s="36" t="s">
        <v>1026</v>
      </c>
      <c r="B335" s="33">
        <v>1</v>
      </c>
      <c r="C335" s="33">
        <v>1</v>
      </c>
      <c r="D335" s="37"/>
    </row>
    <row r="336" spans="1:4" ht="17.25" hidden="1" outlineLevel="2" x14ac:dyDescent="0.3">
      <c r="A336" s="36" t="s">
        <v>1027</v>
      </c>
      <c r="B336" s="33">
        <v>1</v>
      </c>
      <c r="C336" s="33">
        <v>1</v>
      </c>
      <c r="D336" s="37"/>
    </row>
    <row r="337" spans="1:4" ht="17.25" hidden="1" outlineLevel="2" x14ac:dyDescent="0.3">
      <c r="A337" s="36" t="s">
        <v>1028</v>
      </c>
      <c r="B337" s="33">
        <v>1</v>
      </c>
      <c r="C337" s="33">
        <v>1</v>
      </c>
      <c r="D337" s="37"/>
    </row>
    <row r="338" spans="1:4" ht="17.25" hidden="1" outlineLevel="2" x14ac:dyDescent="0.3">
      <c r="A338" s="36" t="s">
        <v>1029</v>
      </c>
      <c r="B338" s="33">
        <v>1</v>
      </c>
      <c r="C338" s="33">
        <v>1</v>
      </c>
      <c r="D338" s="37"/>
    </row>
    <row r="339" spans="1:4" ht="17.25" hidden="1" outlineLevel="2" x14ac:dyDescent="0.3">
      <c r="A339" s="36" t="s">
        <v>1030</v>
      </c>
      <c r="B339" s="33">
        <v>1</v>
      </c>
      <c r="C339" s="33">
        <v>1</v>
      </c>
      <c r="D339" s="37"/>
    </row>
    <row r="340" spans="1:4" ht="17.25" hidden="1" outlineLevel="2" x14ac:dyDescent="0.3">
      <c r="A340" s="36" t="s">
        <v>1031</v>
      </c>
      <c r="B340" s="33">
        <v>1</v>
      </c>
      <c r="C340" s="33">
        <v>1</v>
      </c>
      <c r="D340" s="37"/>
    </row>
    <row r="341" spans="1:4" ht="17.25" hidden="1" outlineLevel="2" x14ac:dyDescent="0.3">
      <c r="A341" s="36" t="s">
        <v>1032</v>
      </c>
      <c r="B341" s="33">
        <v>1</v>
      </c>
      <c r="C341" s="33">
        <v>1</v>
      </c>
      <c r="D341" s="37"/>
    </row>
    <row r="342" spans="1:4" ht="17.25" hidden="1" outlineLevel="2" x14ac:dyDescent="0.3">
      <c r="A342" s="36" t="s">
        <v>1033</v>
      </c>
      <c r="B342" s="33">
        <v>1</v>
      </c>
      <c r="C342" s="33">
        <v>1</v>
      </c>
      <c r="D342" s="37"/>
    </row>
    <row r="343" spans="1:4" ht="17.25" hidden="1" outlineLevel="2" x14ac:dyDescent="0.3">
      <c r="A343" s="36" t="s">
        <v>1034</v>
      </c>
      <c r="B343" s="33">
        <v>1</v>
      </c>
      <c r="C343" s="33">
        <v>1</v>
      </c>
      <c r="D343" s="37"/>
    </row>
    <row r="344" spans="1:4" ht="17.25" hidden="1" outlineLevel="2" x14ac:dyDescent="0.3">
      <c r="A344" s="36" t="s">
        <v>1035</v>
      </c>
      <c r="B344" s="33">
        <v>1</v>
      </c>
      <c r="C344" s="33">
        <v>1</v>
      </c>
      <c r="D344" s="37"/>
    </row>
    <row r="345" spans="1:4" ht="17.25" hidden="1" outlineLevel="2" x14ac:dyDescent="0.3">
      <c r="A345" s="36" t="s">
        <v>1036</v>
      </c>
      <c r="B345" s="33">
        <v>1</v>
      </c>
      <c r="C345" s="33">
        <v>1</v>
      </c>
      <c r="D345" s="37"/>
    </row>
    <row r="346" spans="1:4" ht="17.25" hidden="1" outlineLevel="2" x14ac:dyDescent="0.3">
      <c r="A346" s="36" t="s">
        <v>1037</v>
      </c>
      <c r="B346" s="33">
        <v>1</v>
      </c>
      <c r="C346" s="33">
        <v>1</v>
      </c>
      <c r="D346" s="37"/>
    </row>
    <row r="347" spans="1:4" ht="17.25" hidden="1" outlineLevel="2" x14ac:dyDescent="0.3">
      <c r="A347" s="36" t="s">
        <v>340</v>
      </c>
      <c r="B347" s="33">
        <v>1</v>
      </c>
      <c r="C347" s="33">
        <v>1</v>
      </c>
      <c r="D347" s="37"/>
    </row>
    <row r="348" spans="1:4" ht="17.25" hidden="1" outlineLevel="2" x14ac:dyDescent="0.3">
      <c r="A348" s="36" t="s">
        <v>341</v>
      </c>
      <c r="B348" s="33">
        <v>1</v>
      </c>
      <c r="C348" s="33">
        <v>1</v>
      </c>
      <c r="D348" s="37"/>
    </row>
    <row r="349" spans="1:4" ht="17.25" hidden="1" outlineLevel="2" x14ac:dyDescent="0.3">
      <c r="A349" s="36" t="s">
        <v>342</v>
      </c>
      <c r="B349" s="33">
        <v>1</v>
      </c>
      <c r="C349" s="33">
        <v>1</v>
      </c>
      <c r="D349" s="37"/>
    </row>
    <row r="350" spans="1:4" ht="17.25" hidden="1" outlineLevel="2" x14ac:dyDescent="0.3">
      <c r="A350" s="36" t="s">
        <v>343</v>
      </c>
      <c r="B350" s="33">
        <v>1</v>
      </c>
      <c r="C350" s="33">
        <v>1</v>
      </c>
      <c r="D350" s="37"/>
    </row>
    <row r="351" spans="1:4" ht="17.25" hidden="1" outlineLevel="2" x14ac:dyDescent="0.3">
      <c r="A351" s="36" t="s">
        <v>344</v>
      </c>
      <c r="B351" s="33">
        <v>1</v>
      </c>
      <c r="C351" s="33">
        <v>1</v>
      </c>
      <c r="D351" s="37"/>
    </row>
    <row r="352" spans="1:4" ht="17.25" hidden="1" outlineLevel="2" x14ac:dyDescent="0.3">
      <c r="A352" s="36" t="s">
        <v>345</v>
      </c>
      <c r="B352" s="33">
        <v>1</v>
      </c>
      <c r="C352" s="33">
        <v>1</v>
      </c>
      <c r="D352" s="37"/>
    </row>
    <row r="353" spans="1:4" ht="17.25" hidden="1" outlineLevel="2" x14ac:dyDescent="0.3">
      <c r="A353" s="36" t="s">
        <v>346</v>
      </c>
      <c r="B353" s="33">
        <v>1</v>
      </c>
      <c r="C353" s="33">
        <v>1</v>
      </c>
      <c r="D353" s="37"/>
    </row>
    <row r="354" spans="1:4" ht="17.25" hidden="1" outlineLevel="2" x14ac:dyDescent="0.3">
      <c r="A354" s="36" t="s">
        <v>347</v>
      </c>
      <c r="B354" s="33">
        <v>1</v>
      </c>
      <c r="C354" s="33">
        <v>1</v>
      </c>
      <c r="D354" s="37"/>
    </row>
    <row r="355" spans="1:4" ht="17.25" hidden="1" outlineLevel="2" x14ac:dyDescent="0.3">
      <c r="A355" s="36" t="s">
        <v>348</v>
      </c>
      <c r="B355" s="33">
        <v>1</v>
      </c>
      <c r="C355" s="33">
        <v>1</v>
      </c>
      <c r="D355" s="37"/>
    </row>
    <row r="356" spans="1:4" ht="17.25" hidden="1" outlineLevel="2" x14ac:dyDescent="0.3">
      <c r="A356" s="36" t="s">
        <v>349</v>
      </c>
      <c r="B356" s="33">
        <v>1</v>
      </c>
      <c r="C356" s="33">
        <v>1</v>
      </c>
      <c r="D356" s="37"/>
    </row>
    <row r="357" spans="1:4" ht="17.25" hidden="1" outlineLevel="2" x14ac:dyDescent="0.3">
      <c r="A357" s="36" t="s">
        <v>350</v>
      </c>
      <c r="B357" s="33">
        <v>1</v>
      </c>
      <c r="C357" s="33">
        <v>1</v>
      </c>
      <c r="D357" s="37"/>
    </row>
    <row r="358" spans="1:4" ht="17.25" hidden="1" outlineLevel="2" x14ac:dyDescent="0.3">
      <c r="A358" s="36" t="s">
        <v>351</v>
      </c>
      <c r="B358" s="33">
        <v>1</v>
      </c>
      <c r="C358" s="33">
        <v>1</v>
      </c>
      <c r="D358" s="37"/>
    </row>
    <row r="359" spans="1:4" ht="17.25" hidden="1" outlineLevel="2" x14ac:dyDescent="0.3">
      <c r="A359" s="36" t="s">
        <v>352</v>
      </c>
      <c r="B359" s="33">
        <v>1</v>
      </c>
      <c r="C359" s="33">
        <v>1</v>
      </c>
      <c r="D359" s="37"/>
    </row>
    <row r="360" spans="1:4" ht="17.25" hidden="1" outlineLevel="2" x14ac:dyDescent="0.3">
      <c r="A360" s="36" t="s">
        <v>353</v>
      </c>
      <c r="B360" s="33">
        <v>1</v>
      </c>
      <c r="C360" s="33">
        <v>1</v>
      </c>
      <c r="D360" s="37"/>
    </row>
    <row r="361" spans="1:4" ht="17.25" hidden="1" outlineLevel="2" x14ac:dyDescent="0.3">
      <c r="A361" s="36" t="s">
        <v>354</v>
      </c>
      <c r="B361" s="33">
        <v>1</v>
      </c>
      <c r="C361" s="33">
        <v>1</v>
      </c>
      <c r="D361" s="37"/>
    </row>
    <row r="362" spans="1:4" ht="17.25" hidden="1" outlineLevel="2" x14ac:dyDescent="0.3">
      <c r="A362" s="36" t="s">
        <v>355</v>
      </c>
      <c r="B362" s="33">
        <v>1</v>
      </c>
      <c r="C362" s="33">
        <v>1</v>
      </c>
      <c r="D362" s="37"/>
    </row>
    <row r="363" spans="1:4" ht="17.25" hidden="1" outlineLevel="2" x14ac:dyDescent="0.3">
      <c r="A363" s="36" t="s">
        <v>356</v>
      </c>
      <c r="B363" s="33">
        <v>1</v>
      </c>
      <c r="C363" s="33">
        <v>1</v>
      </c>
      <c r="D363" s="37"/>
    </row>
    <row r="364" spans="1:4" ht="17.25" hidden="1" outlineLevel="2" x14ac:dyDescent="0.3">
      <c r="A364" s="36" t="s">
        <v>357</v>
      </c>
      <c r="B364" s="33">
        <v>1</v>
      </c>
      <c r="C364" s="33">
        <v>1</v>
      </c>
      <c r="D364" s="37"/>
    </row>
    <row r="365" spans="1:4" ht="17.25" hidden="1" outlineLevel="2" x14ac:dyDescent="0.3">
      <c r="A365" s="36" t="s">
        <v>4756</v>
      </c>
      <c r="B365" s="33">
        <v>1</v>
      </c>
      <c r="C365" s="33">
        <v>1</v>
      </c>
      <c r="D365" s="37"/>
    </row>
    <row r="366" spans="1:4" ht="17.25" hidden="1" outlineLevel="2" x14ac:dyDescent="0.3">
      <c r="A366" s="36" t="s">
        <v>4757</v>
      </c>
      <c r="B366" s="33">
        <v>1</v>
      </c>
      <c r="C366" s="33">
        <v>1</v>
      </c>
      <c r="D366" s="37"/>
    </row>
    <row r="367" spans="1:4" ht="17.25" hidden="1" outlineLevel="2" x14ac:dyDescent="0.3">
      <c r="A367" s="36" t="s">
        <v>4758</v>
      </c>
      <c r="B367" s="33">
        <v>1</v>
      </c>
      <c r="C367" s="33">
        <v>1</v>
      </c>
      <c r="D367" s="37"/>
    </row>
    <row r="368" spans="1:4" ht="17.25" hidden="1" outlineLevel="2" x14ac:dyDescent="0.3">
      <c r="A368" s="36" t="s">
        <v>4759</v>
      </c>
      <c r="B368" s="33">
        <v>1</v>
      </c>
      <c r="C368" s="33">
        <v>1</v>
      </c>
      <c r="D368" s="37"/>
    </row>
    <row r="369" spans="1:4" ht="17.25" hidden="1" outlineLevel="2" x14ac:dyDescent="0.3">
      <c r="A369" s="36" t="s">
        <v>4760</v>
      </c>
      <c r="B369" s="33">
        <v>1</v>
      </c>
      <c r="C369" s="33">
        <v>1</v>
      </c>
      <c r="D369" s="37"/>
    </row>
    <row r="370" spans="1:4" ht="17.25" hidden="1" outlineLevel="2" x14ac:dyDescent="0.3">
      <c r="A370" s="36" t="s">
        <v>4761</v>
      </c>
      <c r="B370" s="33">
        <v>1</v>
      </c>
      <c r="C370" s="33">
        <v>1</v>
      </c>
      <c r="D370" s="37"/>
    </row>
    <row r="371" spans="1:4" ht="17.25" hidden="1" outlineLevel="2" x14ac:dyDescent="0.3">
      <c r="A371" s="36" t="s">
        <v>4762</v>
      </c>
      <c r="B371" s="33">
        <v>1</v>
      </c>
      <c r="C371" s="33">
        <v>1</v>
      </c>
      <c r="D371" s="37"/>
    </row>
    <row r="372" spans="1:4" ht="17.25" hidden="1" outlineLevel="2" x14ac:dyDescent="0.3">
      <c r="A372" s="36" t="s">
        <v>4763</v>
      </c>
      <c r="B372" s="33">
        <v>1</v>
      </c>
      <c r="C372" s="33">
        <v>1</v>
      </c>
      <c r="D372" s="37"/>
    </row>
    <row r="373" spans="1:4" ht="17.25" hidden="1" outlineLevel="2" x14ac:dyDescent="0.3">
      <c r="A373" s="36" t="s">
        <v>4764</v>
      </c>
      <c r="B373" s="33">
        <v>1</v>
      </c>
      <c r="C373" s="33">
        <v>1</v>
      </c>
      <c r="D373" s="37"/>
    </row>
    <row r="374" spans="1:4" ht="17.25" hidden="1" outlineLevel="2" x14ac:dyDescent="0.3">
      <c r="A374" s="36" t="s">
        <v>4765</v>
      </c>
      <c r="B374" s="33">
        <v>1</v>
      </c>
      <c r="C374" s="33">
        <v>1</v>
      </c>
      <c r="D374" s="37"/>
    </row>
    <row r="375" spans="1:4" ht="17.25" hidden="1" outlineLevel="2" x14ac:dyDescent="0.3">
      <c r="A375" s="36" t="s">
        <v>4766</v>
      </c>
      <c r="B375" s="33">
        <v>1</v>
      </c>
      <c r="C375" s="33">
        <v>1</v>
      </c>
      <c r="D375" s="37"/>
    </row>
    <row r="376" spans="1:4" ht="17.25" hidden="1" outlineLevel="2" x14ac:dyDescent="0.3">
      <c r="A376" s="36" t="s">
        <v>4767</v>
      </c>
      <c r="B376" s="33">
        <v>1</v>
      </c>
      <c r="C376" s="33">
        <v>1</v>
      </c>
      <c r="D376" s="37"/>
    </row>
    <row r="377" spans="1:4" ht="17.25" hidden="1" outlineLevel="2" x14ac:dyDescent="0.3">
      <c r="A377" s="36" t="s">
        <v>4768</v>
      </c>
      <c r="B377" s="33">
        <v>1</v>
      </c>
      <c r="C377" s="33">
        <v>1</v>
      </c>
      <c r="D377" s="37"/>
    </row>
    <row r="378" spans="1:4" ht="17.25" hidden="1" outlineLevel="2" x14ac:dyDescent="0.3">
      <c r="A378" s="36" t="s">
        <v>4769</v>
      </c>
      <c r="B378" s="33">
        <v>1</v>
      </c>
      <c r="C378" s="33">
        <v>1</v>
      </c>
      <c r="D378" s="37"/>
    </row>
    <row r="379" spans="1:4" ht="17.25" hidden="1" outlineLevel="2" x14ac:dyDescent="0.3">
      <c r="A379" s="36" t="s">
        <v>4770</v>
      </c>
      <c r="B379" s="33">
        <v>1</v>
      </c>
      <c r="C379" s="33">
        <v>1</v>
      </c>
      <c r="D379" s="37"/>
    </row>
    <row r="380" spans="1:4" ht="17.25" hidden="1" outlineLevel="2" x14ac:dyDescent="0.3">
      <c r="A380" s="36" t="s">
        <v>4771</v>
      </c>
      <c r="B380" s="33">
        <v>1</v>
      </c>
      <c r="C380" s="33">
        <v>1</v>
      </c>
      <c r="D380" s="37"/>
    </row>
    <row r="381" spans="1:4" ht="17.25" hidden="1" outlineLevel="2" x14ac:dyDescent="0.3">
      <c r="A381" s="36" t="s">
        <v>4772</v>
      </c>
      <c r="B381" s="33">
        <v>1</v>
      </c>
      <c r="C381" s="33">
        <v>1</v>
      </c>
      <c r="D381" s="37"/>
    </row>
    <row r="382" spans="1:4" ht="17.25" hidden="1" outlineLevel="2" x14ac:dyDescent="0.3">
      <c r="A382" s="36" t="s">
        <v>4773</v>
      </c>
      <c r="B382" s="33">
        <v>1</v>
      </c>
      <c r="C382" s="33">
        <v>1</v>
      </c>
      <c r="D382" s="37"/>
    </row>
    <row r="383" spans="1:4" ht="17.25" hidden="1" outlineLevel="2" x14ac:dyDescent="0.3">
      <c r="A383" s="36" t="s">
        <v>4774</v>
      </c>
      <c r="B383" s="33">
        <v>1</v>
      </c>
      <c r="C383" s="33">
        <v>1</v>
      </c>
      <c r="D383" s="37"/>
    </row>
    <row r="384" spans="1:4" ht="17.25" hidden="1" outlineLevel="2" x14ac:dyDescent="0.3">
      <c r="A384" s="36" t="s">
        <v>4775</v>
      </c>
      <c r="B384" s="33">
        <v>1</v>
      </c>
      <c r="C384" s="33">
        <v>1</v>
      </c>
      <c r="D384" s="37"/>
    </row>
    <row r="385" spans="1:4" ht="17.25" hidden="1" outlineLevel="2" x14ac:dyDescent="0.3">
      <c r="A385" s="36" t="s">
        <v>4776</v>
      </c>
      <c r="B385" s="33">
        <v>1</v>
      </c>
      <c r="C385" s="33">
        <v>1</v>
      </c>
      <c r="D385" s="37"/>
    </row>
    <row r="386" spans="1:4" ht="17.25" hidden="1" outlineLevel="2" x14ac:dyDescent="0.3">
      <c r="A386" s="36" t="s">
        <v>4777</v>
      </c>
      <c r="B386" s="33">
        <v>1</v>
      </c>
      <c r="C386" s="33">
        <v>1</v>
      </c>
      <c r="D386" s="37"/>
    </row>
    <row r="387" spans="1:4" ht="17.25" hidden="1" outlineLevel="2" x14ac:dyDescent="0.3">
      <c r="A387" s="36" t="s">
        <v>4778</v>
      </c>
      <c r="B387" s="33">
        <v>1</v>
      </c>
      <c r="C387" s="33">
        <v>1</v>
      </c>
      <c r="D387" s="37"/>
    </row>
    <row r="388" spans="1:4" ht="17.25" hidden="1" outlineLevel="2" x14ac:dyDescent="0.3">
      <c r="A388" s="36" t="s">
        <v>4779</v>
      </c>
      <c r="B388" s="33">
        <v>1</v>
      </c>
      <c r="C388" s="33">
        <v>1</v>
      </c>
      <c r="D388" s="37"/>
    </row>
    <row r="389" spans="1:4" ht="17.25" hidden="1" outlineLevel="2" x14ac:dyDescent="0.3">
      <c r="A389" s="36" t="s">
        <v>4780</v>
      </c>
      <c r="B389" s="33">
        <v>1</v>
      </c>
      <c r="C389" s="33">
        <v>1</v>
      </c>
      <c r="D389" s="37"/>
    </row>
    <row r="390" spans="1:4" ht="17.25" hidden="1" outlineLevel="2" x14ac:dyDescent="0.3">
      <c r="A390" s="36" t="s">
        <v>4781</v>
      </c>
      <c r="B390" s="33">
        <v>1</v>
      </c>
      <c r="C390" s="33">
        <v>1</v>
      </c>
      <c r="D390" s="37"/>
    </row>
    <row r="391" spans="1:4" ht="17.25" hidden="1" outlineLevel="2" x14ac:dyDescent="0.3">
      <c r="A391" s="36" t="s">
        <v>4782</v>
      </c>
      <c r="B391" s="33">
        <v>1</v>
      </c>
      <c r="C391" s="33">
        <v>1</v>
      </c>
      <c r="D391" s="37"/>
    </row>
    <row r="392" spans="1:4" ht="17.25" hidden="1" outlineLevel="2" x14ac:dyDescent="0.3">
      <c r="A392" s="36" t="s">
        <v>4783</v>
      </c>
      <c r="B392" s="33">
        <v>1</v>
      </c>
      <c r="C392" s="33">
        <v>1</v>
      </c>
      <c r="D392" s="37"/>
    </row>
    <row r="393" spans="1:4" ht="17.25" hidden="1" outlineLevel="2" x14ac:dyDescent="0.3">
      <c r="A393" s="36" t="s">
        <v>4784</v>
      </c>
      <c r="B393" s="33">
        <v>1</v>
      </c>
      <c r="C393" s="33">
        <v>1</v>
      </c>
      <c r="D393" s="37"/>
    </row>
    <row r="394" spans="1:4" ht="17.25" hidden="1" outlineLevel="2" x14ac:dyDescent="0.3">
      <c r="A394" s="36" t="s">
        <v>4785</v>
      </c>
      <c r="B394" s="33">
        <v>1</v>
      </c>
      <c r="C394" s="33">
        <v>1</v>
      </c>
      <c r="D394" s="37"/>
    </row>
    <row r="395" spans="1:4" ht="17.25" hidden="1" outlineLevel="2" x14ac:dyDescent="0.3">
      <c r="A395" s="36" t="s">
        <v>4786</v>
      </c>
      <c r="B395" s="33">
        <v>1</v>
      </c>
      <c r="C395" s="33">
        <v>1</v>
      </c>
      <c r="D395" s="37"/>
    </row>
    <row r="396" spans="1:4" ht="17.25" hidden="1" outlineLevel="2" x14ac:dyDescent="0.3">
      <c r="A396" s="36" t="s">
        <v>4787</v>
      </c>
      <c r="B396" s="33">
        <v>1</v>
      </c>
      <c r="C396" s="33">
        <v>1</v>
      </c>
      <c r="D396" s="37"/>
    </row>
    <row r="397" spans="1:4" ht="17.25" hidden="1" outlineLevel="2" x14ac:dyDescent="0.3">
      <c r="A397" s="36" t="s">
        <v>4788</v>
      </c>
      <c r="B397" s="33">
        <v>1</v>
      </c>
      <c r="C397" s="33">
        <v>1</v>
      </c>
      <c r="D397" s="37"/>
    </row>
    <row r="398" spans="1:4" ht="17.25" hidden="1" outlineLevel="2" x14ac:dyDescent="0.3">
      <c r="A398" s="36" t="s">
        <v>4789</v>
      </c>
      <c r="B398" s="33">
        <v>1</v>
      </c>
      <c r="C398" s="33">
        <v>1</v>
      </c>
      <c r="D398" s="37"/>
    </row>
    <row r="399" spans="1:4" ht="17.25" hidden="1" outlineLevel="2" x14ac:dyDescent="0.3">
      <c r="A399" s="36" t="s">
        <v>4790</v>
      </c>
      <c r="B399" s="33">
        <v>1</v>
      </c>
      <c r="C399" s="33">
        <v>1</v>
      </c>
      <c r="D399" s="37"/>
    </row>
    <row r="400" spans="1:4" ht="17.25" hidden="1" outlineLevel="2" x14ac:dyDescent="0.3">
      <c r="A400" s="36" t="s">
        <v>4791</v>
      </c>
      <c r="B400" s="33">
        <v>1</v>
      </c>
      <c r="C400" s="33">
        <v>1</v>
      </c>
      <c r="D400" s="37"/>
    </row>
    <row r="401" spans="1:4" ht="17.25" hidden="1" outlineLevel="2" x14ac:dyDescent="0.3">
      <c r="A401" s="36" t="s">
        <v>4792</v>
      </c>
      <c r="B401" s="33">
        <v>1</v>
      </c>
      <c r="C401" s="33">
        <v>1</v>
      </c>
      <c r="D401" s="37"/>
    </row>
    <row r="402" spans="1:4" ht="17.25" hidden="1" outlineLevel="2" x14ac:dyDescent="0.3">
      <c r="A402" s="36" t="s">
        <v>4793</v>
      </c>
      <c r="B402" s="33">
        <v>1</v>
      </c>
      <c r="C402" s="33">
        <v>1</v>
      </c>
      <c r="D402" s="37"/>
    </row>
    <row r="403" spans="1:4" ht="17.25" hidden="1" outlineLevel="2" x14ac:dyDescent="0.3">
      <c r="A403" s="36" t="s">
        <v>4794</v>
      </c>
      <c r="B403" s="33">
        <v>1</v>
      </c>
      <c r="C403" s="33">
        <v>1</v>
      </c>
      <c r="D403" s="37"/>
    </row>
    <row r="404" spans="1:4" ht="17.25" hidden="1" outlineLevel="2" x14ac:dyDescent="0.3">
      <c r="A404" s="36" t="s">
        <v>4795</v>
      </c>
      <c r="B404" s="33">
        <v>1</v>
      </c>
      <c r="C404" s="33">
        <v>1</v>
      </c>
      <c r="D404" s="37"/>
    </row>
    <row r="405" spans="1:4" ht="17.25" hidden="1" outlineLevel="2" x14ac:dyDescent="0.3">
      <c r="A405" s="36" t="s">
        <v>4796</v>
      </c>
      <c r="B405" s="33">
        <v>1</v>
      </c>
      <c r="C405" s="33">
        <v>1</v>
      </c>
      <c r="D405" s="37"/>
    </row>
    <row r="406" spans="1:4" ht="17.25" hidden="1" outlineLevel="2" x14ac:dyDescent="0.3">
      <c r="A406" s="36" t="s">
        <v>4797</v>
      </c>
      <c r="B406" s="33">
        <v>1</v>
      </c>
      <c r="C406" s="33">
        <v>1</v>
      </c>
      <c r="D406" s="37"/>
    </row>
    <row r="407" spans="1:4" ht="17.25" hidden="1" outlineLevel="2" x14ac:dyDescent="0.3">
      <c r="A407" s="36" t="s">
        <v>4798</v>
      </c>
      <c r="B407" s="33">
        <v>1</v>
      </c>
      <c r="C407" s="33">
        <v>1</v>
      </c>
      <c r="D407" s="37"/>
    </row>
    <row r="408" spans="1:4" ht="17.25" hidden="1" outlineLevel="2" x14ac:dyDescent="0.3">
      <c r="A408" s="36" t="s">
        <v>4799</v>
      </c>
      <c r="B408" s="33">
        <v>1</v>
      </c>
      <c r="C408" s="33">
        <v>1</v>
      </c>
      <c r="D408" s="37"/>
    </row>
    <row r="409" spans="1:4" ht="17.25" hidden="1" outlineLevel="2" x14ac:dyDescent="0.3">
      <c r="A409" s="36" t="s">
        <v>4800</v>
      </c>
      <c r="B409" s="33">
        <v>1</v>
      </c>
      <c r="C409" s="33">
        <v>1</v>
      </c>
      <c r="D409" s="37"/>
    </row>
    <row r="410" spans="1:4" ht="17.25" hidden="1" outlineLevel="2" x14ac:dyDescent="0.3">
      <c r="A410" s="36" t="s">
        <v>4801</v>
      </c>
      <c r="B410" s="33">
        <v>1</v>
      </c>
      <c r="C410" s="33">
        <v>1</v>
      </c>
      <c r="D410" s="37"/>
    </row>
    <row r="411" spans="1:4" ht="17.25" hidden="1" outlineLevel="2" x14ac:dyDescent="0.3">
      <c r="A411" s="36" t="s">
        <v>4802</v>
      </c>
      <c r="B411" s="33">
        <v>1</v>
      </c>
      <c r="C411" s="33">
        <v>1</v>
      </c>
      <c r="D411" s="37"/>
    </row>
    <row r="412" spans="1:4" ht="17.25" hidden="1" outlineLevel="2" x14ac:dyDescent="0.3">
      <c r="A412" s="36" t="s">
        <v>4803</v>
      </c>
      <c r="B412" s="33">
        <v>1</v>
      </c>
      <c r="C412" s="33">
        <v>1</v>
      </c>
      <c r="D412" s="37"/>
    </row>
    <row r="413" spans="1:4" ht="17.25" hidden="1" outlineLevel="2" x14ac:dyDescent="0.3">
      <c r="A413" s="36" t="s">
        <v>4804</v>
      </c>
      <c r="B413" s="33">
        <v>1</v>
      </c>
      <c r="C413" s="33">
        <v>1</v>
      </c>
      <c r="D413" s="37"/>
    </row>
    <row r="414" spans="1:4" ht="17.25" hidden="1" outlineLevel="2" x14ac:dyDescent="0.3">
      <c r="A414" s="36" t="s">
        <v>4805</v>
      </c>
      <c r="B414" s="33">
        <v>1</v>
      </c>
      <c r="C414" s="33">
        <v>1</v>
      </c>
      <c r="D414" s="37"/>
    </row>
    <row r="415" spans="1:4" ht="17.25" hidden="1" outlineLevel="2" x14ac:dyDescent="0.3">
      <c r="A415" s="36" t="s">
        <v>4806</v>
      </c>
      <c r="B415" s="33">
        <v>1</v>
      </c>
      <c r="C415" s="33">
        <v>1</v>
      </c>
      <c r="D415" s="37"/>
    </row>
    <row r="416" spans="1:4" ht="17.25" hidden="1" outlineLevel="2" x14ac:dyDescent="0.3">
      <c r="A416" s="36" t="s">
        <v>4807</v>
      </c>
      <c r="B416" s="33">
        <v>1</v>
      </c>
      <c r="C416" s="33">
        <v>1</v>
      </c>
      <c r="D416" s="37"/>
    </row>
    <row r="417" spans="1:4" ht="17.25" hidden="1" outlineLevel="2" x14ac:dyDescent="0.3">
      <c r="A417" s="36" t="s">
        <v>4808</v>
      </c>
      <c r="B417" s="33">
        <v>1</v>
      </c>
      <c r="C417" s="33">
        <v>1</v>
      </c>
      <c r="D417" s="37"/>
    </row>
    <row r="418" spans="1:4" ht="17.25" hidden="1" outlineLevel="2" x14ac:dyDescent="0.3">
      <c r="A418" s="36" t="s">
        <v>4809</v>
      </c>
      <c r="B418" s="33">
        <v>1</v>
      </c>
      <c r="C418" s="33">
        <v>1</v>
      </c>
      <c r="D418" s="37"/>
    </row>
    <row r="419" spans="1:4" ht="17.25" hidden="1" outlineLevel="2" x14ac:dyDescent="0.3">
      <c r="A419" s="36" t="s">
        <v>4810</v>
      </c>
      <c r="B419" s="33">
        <v>1</v>
      </c>
      <c r="C419" s="33">
        <v>1</v>
      </c>
      <c r="D419" s="37"/>
    </row>
    <row r="420" spans="1:4" ht="17.25" hidden="1" outlineLevel="2" x14ac:dyDescent="0.3">
      <c r="A420" s="36" t="s">
        <v>4811</v>
      </c>
      <c r="B420" s="33">
        <v>1</v>
      </c>
      <c r="C420" s="33">
        <v>1</v>
      </c>
      <c r="D420" s="37"/>
    </row>
    <row r="421" spans="1:4" ht="17.25" hidden="1" outlineLevel="2" x14ac:dyDescent="0.3">
      <c r="A421" s="36" t="s">
        <v>4812</v>
      </c>
      <c r="B421" s="33">
        <v>1</v>
      </c>
      <c r="C421" s="33">
        <v>1</v>
      </c>
      <c r="D421" s="37"/>
    </row>
    <row r="422" spans="1:4" ht="17.25" hidden="1" outlineLevel="2" x14ac:dyDescent="0.3">
      <c r="A422" s="36" t="s">
        <v>4813</v>
      </c>
      <c r="B422" s="33">
        <v>1</v>
      </c>
      <c r="C422" s="33">
        <v>1</v>
      </c>
      <c r="D422" s="37"/>
    </row>
    <row r="423" spans="1:4" ht="17.25" hidden="1" outlineLevel="2" x14ac:dyDescent="0.3">
      <c r="A423" s="36" t="s">
        <v>4814</v>
      </c>
      <c r="B423" s="33">
        <v>1</v>
      </c>
      <c r="C423" s="33">
        <v>1</v>
      </c>
      <c r="D423" s="37"/>
    </row>
    <row r="424" spans="1:4" ht="17.25" hidden="1" outlineLevel="2" x14ac:dyDescent="0.3">
      <c r="A424" s="36" t="s">
        <v>4815</v>
      </c>
      <c r="B424" s="33">
        <v>1</v>
      </c>
      <c r="C424" s="33">
        <v>1</v>
      </c>
      <c r="D424" s="37"/>
    </row>
    <row r="425" spans="1:4" ht="17.25" hidden="1" outlineLevel="2" x14ac:dyDescent="0.3">
      <c r="A425" s="36" t="s">
        <v>4816</v>
      </c>
      <c r="B425" s="33">
        <v>1</v>
      </c>
      <c r="C425" s="33">
        <v>1</v>
      </c>
      <c r="D425" s="37"/>
    </row>
    <row r="426" spans="1:4" ht="17.25" hidden="1" outlineLevel="2" x14ac:dyDescent="0.3">
      <c r="A426" s="36" t="s">
        <v>4817</v>
      </c>
      <c r="B426" s="33">
        <v>1</v>
      </c>
      <c r="C426" s="33">
        <v>1</v>
      </c>
      <c r="D426" s="37"/>
    </row>
    <row r="427" spans="1:4" ht="17.25" hidden="1" outlineLevel="2" x14ac:dyDescent="0.3">
      <c r="A427" s="36" t="s">
        <v>4818</v>
      </c>
      <c r="B427" s="33">
        <v>1</v>
      </c>
      <c r="C427" s="33">
        <v>1</v>
      </c>
      <c r="D427" s="37"/>
    </row>
    <row r="428" spans="1:4" ht="17.25" hidden="1" outlineLevel="2" x14ac:dyDescent="0.3">
      <c r="A428" s="36" t="s">
        <v>4819</v>
      </c>
      <c r="B428" s="33">
        <v>1</v>
      </c>
      <c r="C428" s="33">
        <v>1</v>
      </c>
      <c r="D428" s="37"/>
    </row>
    <row r="429" spans="1:4" ht="17.25" hidden="1" outlineLevel="2" x14ac:dyDescent="0.3">
      <c r="A429" s="36" t="s">
        <v>4820</v>
      </c>
      <c r="B429" s="33">
        <v>1</v>
      </c>
      <c r="C429" s="33">
        <v>1</v>
      </c>
      <c r="D429" s="37"/>
    </row>
    <row r="430" spans="1:4" ht="17.25" hidden="1" outlineLevel="2" x14ac:dyDescent="0.3">
      <c r="A430" s="36" t="s">
        <v>4821</v>
      </c>
      <c r="B430" s="33">
        <v>1</v>
      </c>
      <c r="C430" s="33">
        <v>1</v>
      </c>
      <c r="D430" s="37"/>
    </row>
    <row r="431" spans="1:4" ht="17.25" hidden="1" outlineLevel="2" x14ac:dyDescent="0.3">
      <c r="A431" s="36" t="s">
        <v>4822</v>
      </c>
      <c r="B431" s="33">
        <v>1</v>
      </c>
      <c r="C431" s="33">
        <v>1</v>
      </c>
      <c r="D431" s="37"/>
    </row>
    <row r="432" spans="1:4" ht="17.25" hidden="1" outlineLevel="2" x14ac:dyDescent="0.3">
      <c r="A432" s="36" t="s">
        <v>4823</v>
      </c>
      <c r="B432" s="33">
        <v>1</v>
      </c>
      <c r="C432" s="33">
        <v>1</v>
      </c>
      <c r="D432" s="37"/>
    </row>
    <row r="433" spans="1:4" ht="17.25" hidden="1" outlineLevel="2" x14ac:dyDescent="0.3">
      <c r="A433" s="36" t="s">
        <v>4824</v>
      </c>
      <c r="B433" s="33">
        <v>1</v>
      </c>
      <c r="C433" s="33">
        <v>1</v>
      </c>
      <c r="D433" s="37"/>
    </row>
    <row r="434" spans="1:4" ht="17.25" hidden="1" outlineLevel="2" x14ac:dyDescent="0.3">
      <c r="A434" s="36" t="s">
        <v>4825</v>
      </c>
      <c r="B434" s="33">
        <v>1</v>
      </c>
      <c r="C434" s="33">
        <v>1</v>
      </c>
      <c r="D434" s="37"/>
    </row>
    <row r="435" spans="1:4" ht="17.25" hidden="1" outlineLevel="2" x14ac:dyDescent="0.3">
      <c r="A435" s="36" t="s">
        <v>4826</v>
      </c>
      <c r="B435" s="33">
        <v>1</v>
      </c>
      <c r="C435" s="33">
        <v>1</v>
      </c>
      <c r="D435" s="37"/>
    </row>
    <row r="436" spans="1:4" ht="17.25" hidden="1" outlineLevel="2" x14ac:dyDescent="0.3">
      <c r="A436" s="36" t="s">
        <v>4827</v>
      </c>
      <c r="B436" s="33">
        <v>1</v>
      </c>
      <c r="C436" s="33">
        <v>1</v>
      </c>
      <c r="D436" s="37"/>
    </row>
    <row r="437" spans="1:4" ht="17.25" hidden="1" outlineLevel="2" x14ac:dyDescent="0.3">
      <c r="A437" s="36" t="s">
        <v>4828</v>
      </c>
      <c r="B437" s="33">
        <v>1</v>
      </c>
      <c r="C437" s="33">
        <v>1</v>
      </c>
      <c r="D437" s="37"/>
    </row>
    <row r="438" spans="1:4" ht="17.25" hidden="1" outlineLevel="2" x14ac:dyDescent="0.3">
      <c r="A438" s="36" t="s">
        <v>4829</v>
      </c>
      <c r="B438" s="33">
        <v>1</v>
      </c>
      <c r="C438" s="33">
        <v>1</v>
      </c>
      <c r="D438" s="37"/>
    </row>
    <row r="439" spans="1:4" ht="17.25" hidden="1" outlineLevel="2" x14ac:dyDescent="0.3">
      <c r="A439" s="36" t="s">
        <v>4830</v>
      </c>
      <c r="B439" s="33">
        <v>1</v>
      </c>
      <c r="C439" s="33">
        <v>1</v>
      </c>
      <c r="D439" s="37"/>
    </row>
    <row r="440" spans="1:4" ht="17.25" hidden="1" outlineLevel="2" x14ac:dyDescent="0.3">
      <c r="A440" s="36" t="s">
        <v>4831</v>
      </c>
      <c r="B440" s="33">
        <v>1</v>
      </c>
      <c r="C440" s="33">
        <v>1</v>
      </c>
      <c r="D440" s="37"/>
    </row>
    <row r="441" spans="1:4" ht="17.25" hidden="1" outlineLevel="2" x14ac:dyDescent="0.3">
      <c r="A441" s="36" t="s">
        <v>4832</v>
      </c>
      <c r="B441" s="33">
        <v>1</v>
      </c>
      <c r="C441" s="33">
        <v>1</v>
      </c>
      <c r="D441" s="37"/>
    </row>
    <row r="442" spans="1:4" ht="17.25" hidden="1" outlineLevel="2" x14ac:dyDescent="0.3">
      <c r="A442" s="36" t="s">
        <v>4833</v>
      </c>
      <c r="B442" s="33">
        <v>1</v>
      </c>
      <c r="C442" s="33">
        <v>1</v>
      </c>
      <c r="D442" s="37"/>
    </row>
    <row r="443" spans="1:4" ht="17.25" hidden="1" outlineLevel="2" x14ac:dyDescent="0.3">
      <c r="A443" s="36" t="s">
        <v>4834</v>
      </c>
      <c r="B443" s="33">
        <v>1</v>
      </c>
      <c r="C443" s="33">
        <v>1</v>
      </c>
      <c r="D443" s="37"/>
    </row>
    <row r="444" spans="1:4" ht="17.25" hidden="1" outlineLevel="2" x14ac:dyDescent="0.3">
      <c r="A444" s="36" t="s">
        <v>4835</v>
      </c>
      <c r="B444" s="33">
        <v>1</v>
      </c>
      <c r="C444" s="33">
        <v>1</v>
      </c>
      <c r="D444" s="37"/>
    </row>
    <row r="445" spans="1:4" ht="17.25" hidden="1" outlineLevel="2" x14ac:dyDescent="0.3">
      <c r="A445" s="36" t="s">
        <v>4836</v>
      </c>
      <c r="B445" s="33">
        <v>1</v>
      </c>
      <c r="C445" s="33">
        <v>1</v>
      </c>
      <c r="D445" s="37"/>
    </row>
    <row r="446" spans="1:4" ht="17.25" hidden="1" outlineLevel="2" x14ac:dyDescent="0.3">
      <c r="A446" s="36" t="s">
        <v>4837</v>
      </c>
      <c r="B446" s="33">
        <v>1</v>
      </c>
      <c r="C446" s="33">
        <v>1</v>
      </c>
      <c r="D446" s="37"/>
    </row>
    <row r="447" spans="1:4" ht="17.25" hidden="1" outlineLevel="2" x14ac:dyDescent="0.3">
      <c r="A447" s="36" t="s">
        <v>4838</v>
      </c>
      <c r="B447" s="33">
        <v>1</v>
      </c>
      <c r="C447" s="33">
        <v>1</v>
      </c>
      <c r="D447" s="37"/>
    </row>
    <row r="448" spans="1:4" ht="17.25" hidden="1" outlineLevel="2" x14ac:dyDescent="0.3">
      <c r="A448" s="36" t="s">
        <v>4839</v>
      </c>
      <c r="B448" s="33">
        <v>1</v>
      </c>
      <c r="C448" s="33">
        <v>1</v>
      </c>
      <c r="D448" s="37"/>
    </row>
    <row r="449" spans="1:4" ht="17.25" hidden="1" outlineLevel="2" x14ac:dyDescent="0.3">
      <c r="A449" s="36" t="s">
        <v>4840</v>
      </c>
      <c r="B449" s="33">
        <v>1</v>
      </c>
      <c r="C449" s="33">
        <v>1</v>
      </c>
      <c r="D449" s="37"/>
    </row>
    <row r="450" spans="1:4" ht="17.25" hidden="1" outlineLevel="2" x14ac:dyDescent="0.3">
      <c r="A450" s="36" t="s">
        <v>4841</v>
      </c>
      <c r="B450" s="33">
        <v>1</v>
      </c>
      <c r="C450" s="33">
        <v>1</v>
      </c>
      <c r="D450" s="37"/>
    </row>
    <row r="451" spans="1:4" ht="17.25" hidden="1" outlineLevel="2" x14ac:dyDescent="0.3">
      <c r="A451" s="36" t="s">
        <v>4842</v>
      </c>
      <c r="B451" s="33">
        <v>1</v>
      </c>
      <c r="C451" s="33">
        <v>1</v>
      </c>
      <c r="D451" s="37"/>
    </row>
    <row r="452" spans="1:4" ht="17.25" hidden="1" outlineLevel="2" x14ac:dyDescent="0.3">
      <c r="A452" s="36" t="s">
        <v>4843</v>
      </c>
      <c r="B452" s="33">
        <v>1</v>
      </c>
      <c r="C452" s="33">
        <v>1</v>
      </c>
      <c r="D452" s="37"/>
    </row>
    <row r="453" spans="1:4" ht="17.25" hidden="1" outlineLevel="2" x14ac:dyDescent="0.3">
      <c r="A453" s="36" t="s">
        <v>4844</v>
      </c>
      <c r="B453" s="33">
        <v>1</v>
      </c>
      <c r="C453" s="33">
        <v>1</v>
      </c>
      <c r="D453" s="37"/>
    </row>
    <row r="454" spans="1:4" ht="17.25" hidden="1" outlineLevel="2" x14ac:dyDescent="0.3">
      <c r="A454" s="36" t="s">
        <v>4845</v>
      </c>
      <c r="B454" s="33">
        <v>1</v>
      </c>
      <c r="C454" s="33">
        <v>1</v>
      </c>
      <c r="D454" s="37"/>
    </row>
    <row r="455" spans="1:4" ht="17.25" hidden="1" outlineLevel="2" x14ac:dyDescent="0.3">
      <c r="A455" s="36" t="s">
        <v>4846</v>
      </c>
      <c r="B455" s="33">
        <v>1</v>
      </c>
      <c r="C455" s="33">
        <v>1</v>
      </c>
      <c r="D455" s="37"/>
    </row>
    <row r="456" spans="1:4" ht="17.25" hidden="1" outlineLevel="2" x14ac:dyDescent="0.3">
      <c r="A456" s="36" t="s">
        <v>4847</v>
      </c>
      <c r="B456" s="33">
        <v>1</v>
      </c>
      <c r="C456" s="33">
        <v>1</v>
      </c>
      <c r="D456" s="37"/>
    </row>
    <row r="457" spans="1:4" ht="17.25" hidden="1" outlineLevel="2" x14ac:dyDescent="0.3">
      <c r="A457" s="36" t="s">
        <v>4848</v>
      </c>
      <c r="B457" s="33">
        <v>1</v>
      </c>
      <c r="C457" s="33">
        <v>1</v>
      </c>
      <c r="D457" s="37"/>
    </row>
    <row r="458" spans="1:4" ht="17.25" hidden="1" outlineLevel="2" x14ac:dyDescent="0.3">
      <c r="A458" s="36" t="s">
        <v>4849</v>
      </c>
      <c r="B458" s="33">
        <v>1</v>
      </c>
      <c r="C458" s="33">
        <v>1</v>
      </c>
      <c r="D458" s="37"/>
    </row>
    <row r="459" spans="1:4" ht="17.25" hidden="1" outlineLevel="2" x14ac:dyDescent="0.3">
      <c r="A459" s="36" t="s">
        <v>4850</v>
      </c>
      <c r="B459" s="33">
        <v>1</v>
      </c>
      <c r="C459" s="33">
        <v>1</v>
      </c>
      <c r="D459" s="37"/>
    </row>
    <row r="460" spans="1:4" ht="17.25" hidden="1" outlineLevel="2" x14ac:dyDescent="0.3">
      <c r="A460" s="36" t="s">
        <v>4851</v>
      </c>
      <c r="B460" s="33">
        <v>1</v>
      </c>
      <c r="C460" s="33">
        <v>1</v>
      </c>
      <c r="D460" s="37"/>
    </row>
    <row r="461" spans="1:4" ht="17.25" hidden="1" outlineLevel="2" x14ac:dyDescent="0.3">
      <c r="A461" s="36" t="s">
        <v>4852</v>
      </c>
      <c r="B461" s="33">
        <v>1</v>
      </c>
      <c r="C461" s="33">
        <v>1</v>
      </c>
      <c r="D461" s="37"/>
    </row>
    <row r="462" spans="1:4" ht="17.25" hidden="1" outlineLevel="2" x14ac:dyDescent="0.3">
      <c r="A462" s="36" t="s">
        <v>4853</v>
      </c>
      <c r="B462" s="33">
        <v>1</v>
      </c>
      <c r="C462" s="33">
        <v>1</v>
      </c>
      <c r="D462" s="37"/>
    </row>
    <row r="463" spans="1:4" ht="17.25" hidden="1" outlineLevel="2" x14ac:dyDescent="0.3">
      <c r="A463" s="36" t="s">
        <v>4854</v>
      </c>
      <c r="B463" s="33">
        <v>1</v>
      </c>
      <c r="C463" s="33">
        <v>1</v>
      </c>
      <c r="D463" s="37"/>
    </row>
    <row r="464" spans="1:4" ht="17.25" hidden="1" outlineLevel="2" x14ac:dyDescent="0.3">
      <c r="A464" s="36" t="s">
        <v>4855</v>
      </c>
      <c r="B464" s="33">
        <v>1</v>
      </c>
      <c r="C464" s="33">
        <v>1</v>
      </c>
      <c r="D464" s="37"/>
    </row>
    <row r="465" spans="1:4" ht="17.25" hidden="1" outlineLevel="2" x14ac:dyDescent="0.3">
      <c r="A465" s="36" t="s">
        <v>4856</v>
      </c>
      <c r="B465" s="33">
        <v>1</v>
      </c>
      <c r="C465" s="33">
        <v>1</v>
      </c>
      <c r="D465" s="37"/>
    </row>
    <row r="466" spans="1:4" ht="17.25" hidden="1" outlineLevel="2" x14ac:dyDescent="0.3">
      <c r="A466" s="36" t="s">
        <v>4857</v>
      </c>
      <c r="B466" s="33">
        <v>1</v>
      </c>
      <c r="C466" s="33">
        <v>1</v>
      </c>
      <c r="D466" s="37"/>
    </row>
    <row r="467" spans="1:4" ht="17.25" hidden="1" outlineLevel="2" x14ac:dyDescent="0.3">
      <c r="A467" s="36" t="s">
        <v>4858</v>
      </c>
      <c r="B467" s="33">
        <v>1</v>
      </c>
      <c r="C467" s="33">
        <v>1</v>
      </c>
      <c r="D467" s="37"/>
    </row>
    <row r="468" spans="1:4" ht="17.25" hidden="1" outlineLevel="2" x14ac:dyDescent="0.3">
      <c r="A468" s="36" t="s">
        <v>4859</v>
      </c>
      <c r="B468" s="33">
        <v>1</v>
      </c>
      <c r="C468" s="33">
        <v>1</v>
      </c>
      <c r="D468" s="37"/>
    </row>
    <row r="469" spans="1:4" ht="17.25" hidden="1" outlineLevel="2" x14ac:dyDescent="0.3">
      <c r="A469" s="36" t="s">
        <v>4860</v>
      </c>
      <c r="B469" s="33">
        <v>1</v>
      </c>
      <c r="C469" s="33">
        <v>1</v>
      </c>
      <c r="D469" s="37"/>
    </row>
    <row r="470" spans="1:4" ht="17.25" hidden="1" outlineLevel="2" x14ac:dyDescent="0.3">
      <c r="A470" s="36" t="s">
        <v>4861</v>
      </c>
      <c r="B470" s="33">
        <v>1</v>
      </c>
      <c r="C470" s="33">
        <v>1</v>
      </c>
      <c r="D470" s="37"/>
    </row>
    <row r="471" spans="1:4" ht="17.25" hidden="1" outlineLevel="2" x14ac:dyDescent="0.3">
      <c r="A471" s="36" t="s">
        <v>4862</v>
      </c>
      <c r="B471" s="33">
        <v>1</v>
      </c>
      <c r="C471" s="33">
        <v>1</v>
      </c>
      <c r="D471" s="37"/>
    </row>
    <row r="472" spans="1:4" ht="17.25" hidden="1" outlineLevel="2" x14ac:dyDescent="0.3">
      <c r="A472" s="36" t="s">
        <v>4863</v>
      </c>
      <c r="B472" s="33">
        <v>1</v>
      </c>
      <c r="C472" s="33">
        <v>1</v>
      </c>
      <c r="D472" s="37"/>
    </row>
    <row r="473" spans="1:4" ht="17.25" hidden="1" outlineLevel="2" x14ac:dyDescent="0.3">
      <c r="A473" s="36" t="s">
        <v>4864</v>
      </c>
      <c r="B473" s="33">
        <v>1</v>
      </c>
      <c r="C473" s="33">
        <v>1</v>
      </c>
      <c r="D473" s="37"/>
    </row>
    <row r="474" spans="1:4" ht="17.25" hidden="1" outlineLevel="2" x14ac:dyDescent="0.3">
      <c r="A474" s="36" t="s">
        <v>4865</v>
      </c>
      <c r="B474" s="33">
        <v>1</v>
      </c>
      <c r="C474" s="33">
        <v>1</v>
      </c>
      <c r="D474" s="37"/>
    </row>
    <row r="475" spans="1:4" ht="17.25" hidden="1" outlineLevel="2" x14ac:dyDescent="0.3">
      <c r="A475" s="36" t="s">
        <v>4866</v>
      </c>
      <c r="B475" s="33">
        <v>1</v>
      </c>
      <c r="C475" s="33">
        <v>1</v>
      </c>
      <c r="D475" s="37"/>
    </row>
    <row r="476" spans="1:4" ht="17.25" hidden="1" outlineLevel="2" x14ac:dyDescent="0.3">
      <c r="A476" s="36" t="s">
        <v>4867</v>
      </c>
      <c r="B476" s="33">
        <v>1</v>
      </c>
      <c r="C476" s="33">
        <v>1</v>
      </c>
      <c r="D476" s="37"/>
    </row>
    <row r="477" spans="1:4" ht="17.25" hidden="1" outlineLevel="2" x14ac:dyDescent="0.3">
      <c r="A477" s="36" t="s">
        <v>4868</v>
      </c>
      <c r="B477" s="33">
        <v>1</v>
      </c>
      <c r="C477" s="33">
        <v>1</v>
      </c>
      <c r="D477" s="37"/>
    </row>
    <row r="478" spans="1:4" ht="17.25" hidden="1" outlineLevel="2" x14ac:dyDescent="0.3">
      <c r="A478" s="36" t="s">
        <v>4869</v>
      </c>
      <c r="B478" s="33">
        <v>1</v>
      </c>
      <c r="C478" s="33">
        <v>1</v>
      </c>
      <c r="D478" s="37"/>
    </row>
    <row r="479" spans="1:4" ht="17.25" hidden="1" outlineLevel="2" x14ac:dyDescent="0.3">
      <c r="A479" s="36" t="s">
        <v>4870</v>
      </c>
      <c r="B479" s="33">
        <v>1</v>
      </c>
      <c r="C479" s="33">
        <v>1</v>
      </c>
      <c r="D479" s="37"/>
    </row>
    <row r="480" spans="1:4" ht="17.25" hidden="1" outlineLevel="2" x14ac:dyDescent="0.3">
      <c r="A480" s="36" t="s">
        <v>4871</v>
      </c>
      <c r="B480" s="33">
        <v>1</v>
      </c>
      <c r="C480" s="33">
        <v>1</v>
      </c>
      <c r="D480" s="37"/>
    </row>
    <row r="481" spans="1:4" ht="17.25" hidden="1" outlineLevel="2" x14ac:dyDescent="0.3">
      <c r="A481" s="36" t="s">
        <v>4872</v>
      </c>
      <c r="B481" s="33">
        <v>1</v>
      </c>
      <c r="C481" s="33">
        <v>1</v>
      </c>
      <c r="D481" s="37"/>
    </row>
    <row r="482" spans="1:4" ht="17.25" hidden="1" outlineLevel="2" x14ac:dyDescent="0.3">
      <c r="A482" s="36" t="s">
        <v>4873</v>
      </c>
      <c r="B482" s="33">
        <v>1</v>
      </c>
      <c r="C482" s="33">
        <v>1</v>
      </c>
      <c r="D482" s="37"/>
    </row>
    <row r="483" spans="1:4" ht="17.25" hidden="1" outlineLevel="2" x14ac:dyDescent="0.3">
      <c r="A483" s="36" t="s">
        <v>4874</v>
      </c>
      <c r="B483" s="33">
        <v>1</v>
      </c>
      <c r="C483" s="33">
        <v>1</v>
      </c>
      <c r="D483" s="37"/>
    </row>
    <row r="484" spans="1:4" ht="17.25" hidden="1" outlineLevel="2" x14ac:dyDescent="0.3">
      <c r="A484" s="36" t="s">
        <v>4875</v>
      </c>
      <c r="B484" s="33">
        <v>1</v>
      </c>
      <c r="C484" s="33">
        <v>1</v>
      </c>
      <c r="D484" s="37"/>
    </row>
    <row r="485" spans="1:4" ht="17.25" hidden="1" outlineLevel="2" x14ac:dyDescent="0.3">
      <c r="A485" s="36" t="s">
        <v>4876</v>
      </c>
      <c r="B485" s="33">
        <v>1</v>
      </c>
      <c r="C485" s="33">
        <v>1</v>
      </c>
      <c r="D485" s="37"/>
    </row>
    <row r="486" spans="1:4" ht="17.25" hidden="1" outlineLevel="2" x14ac:dyDescent="0.3">
      <c r="A486" s="36" t="s">
        <v>4877</v>
      </c>
      <c r="B486" s="33">
        <v>1</v>
      </c>
      <c r="C486" s="33">
        <v>1</v>
      </c>
      <c r="D486" s="37"/>
    </row>
    <row r="487" spans="1:4" ht="17.25" hidden="1" outlineLevel="2" x14ac:dyDescent="0.3">
      <c r="A487" s="36" t="s">
        <v>4878</v>
      </c>
      <c r="B487" s="33">
        <v>1</v>
      </c>
      <c r="C487" s="33">
        <v>1</v>
      </c>
      <c r="D487" s="37"/>
    </row>
    <row r="488" spans="1:4" ht="17.25" hidden="1" outlineLevel="2" x14ac:dyDescent="0.3">
      <c r="A488" s="36" t="s">
        <v>4879</v>
      </c>
      <c r="B488" s="33">
        <v>1</v>
      </c>
      <c r="C488" s="33">
        <v>1</v>
      </c>
      <c r="D488" s="37"/>
    </row>
    <row r="489" spans="1:4" ht="17.25" hidden="1" outlineLevel="2" x14ac:dyDescent="0.3">
      <c r="A489" s="36" t="s">
        <v>4880</v>
      </c>
      <c r="B489" s="33">
        <v>1</v>
      </c>
      <c r="C489" s="33">
        <v>1</v>
      </c>
      <c r="D489" s="37"/>
    </row>
    <row r="490" spans="1:4" ht="17.25" hidden="1" outlineLevel="2" x14ac:dyDescent="0.3">
      <c r="A490" s="36" t="s">
        <v>4881</v>
      </c>
      <c r="B490" s="33">
        <v>1</v>
      </c>
      <c r="C490" s="33">
        <v>1</v>
      </c>
      <c r="D490" s="37"/>
    </row>
    <row r="491" spans="1:4" ht="17.25" hidden="1" outlineLevel="2" x14ac:dyDescent="0.3">
      <c r="A491" s="36" t="s">
        <v>4882</v>
      </c>
      <c r="B491" s="33">
        <v>1</v>
      </c>
      <c r="C491" s="33">
        <v>1</v>
      </c>
      <c r="D491" s="37"/>
    </row>
    <row r="492" spans="1:4" ht="17.25" hidden="1" outlineLevel="2" x14ac:dyDescent="0.3">
      <c r="A492" s="36" t="s">
        <v>4883</v>
      </c>
      <c r="B492" s="33">
        <v>1</v>
      </c>
      <c r="C492" s="33">
        <v>1</v>
      </c>
      <c r="D492" s="37"/>
    </row>
    <row r="493" spans="1:4" ht="17.25" hidden="1" outlineLevel="2" x14ac:dyDescent="0.3">
      <c r="A493" s="36" t="s">
        <v>4884</v>
      </c>
      <c r="B493" s="33">
        <v>1</v>
      </c>
      <c r="C493" s="33">
        <v>1</v>
      </c>
      <c r="D493" s="37"/>
    </row>
    <row r="494" spans="1:4" ht="17.25" hidden="1" outlineLevel="2" x14ac:dyDescent="0.3">
      <c r="A494" s="36" t="s">
        <v>4885</v>
      </c>
      <c r="B494" s="33">
        <v>1</v>
      </c>
      <c r="C494" s="33">
        <v>1</v>
      </c>
      <c r="D494" s="37"/>
    </row>
    <row r="495" spans="1:4" ht="17.25" hidden="1" outlineLevel="2" x14ac:dyDescent="0.3">
      <c r="A495" s="36" t="s">
        <v>4886</v>
      </c>
      <c r="B495" s="33">
        <v>1</v>
      </c>
      <c r="C495" s="33">
        <v>1</v>
      </c>
      <c r="D495" s="37"/>
    </row>
    <row r="496" spans="1:4" ht="17.25" hidden="1" outlineLevel="2" x14ac:dyDescent="0.3">
      <c r="A496" s="36" t="s">
        <v>4887</v>
      </c>
      <c r="B496" s="33">
        <v>1</v>
      </c>
      <c r="C496" s="33">
        <v>1</v>
      </c>
      <c r="D496" s="37"/>
    </row>
    <row r="497" spans="1:4" ht="17.25" hidden="1" outlineLevel="2" x14ac:dyDescent="0.3">
      <c r="A497" s="36" t="s">
        <v>4888</v>
      </c>
      <c r="B497" s="33">
        <v>1</v>
      </c>
      <c r="C497" s="33">
        <v>1</v>
      </c>
      <c r="D497" s="37"/>
    </row>
    <row r="498" spans="1:4" ht="17.25" hidden="1" outlineLevel="2" x14ac:dyDescent="0.3">
      <c r="A498" s="36" t="s">
        <v>4889</v>
      </c>
      <c r="B498" s="33">
        <v>1</v>
      </c>
      <c r="C498" s="33">
        <v>1</v>
      </c>
      <c r="D498" s="37"/>
    </row>
    <row r="499" spans="1:4" ht="17.25" hidden="1" outlineLevel="2" x14ac:dyDescent="0.3">
      <c r="A499" s="36" t="s">
        <v>4890</v>
      </c>
      <c r="B499" s="33">
        <v>1</v>
      </c>
      <c r="C499" s="33">
        <v>1</v>
      </c>
      <c r="D499" s="37"/>
    </row>
    <row r="500" spans="1:4" ht="17.25" hidden="1" outlineLevel="2" x14ac:dyDescent="0.3">
      <c r="A500" s="36" t="s">
        <v>4891</v>
      </c>
      <c r="B500" s="33">
        <v>1</v>
      </c>
      <c r="C500" s="33">
        <v>1</v>
      </c>
      <c r="D500" s="37"/>
    </row>
    <row r="501" spans="1:4" ht="17.25" hidden="1" outlineLevel="2" x14ac:dyDescent="0.3">
      <c r="A501" s="36" t="s">
        <v>4892</v>
      </c>
      <c r="B501" s="33">
        <v>1</v>
      </c>
      <c r="C501" s="33">
        <v>1</v>
      </c>
      <c r="D501" s="37"/>
    </row>
    <row r="502" spans="1:4" ht="17.25" hidden="1" outlineLevel="2" x14ac:dyDescent="0.3">
      <c r="A502" s="36" t="s">
        <v>4893</v>
      </c>
      <c r="B502" s="33">
        <v>1</v>
      </c>
      <c r="C502" s="33">
        <v>1</v>
      </c>
      <c r="D502" s="37"/>
    </row>
    <row r="503" spans="1:4" ht="17.25" hidden="1" outlineLevel="2" x14ac:dyDescent="0.3">
      <c r="A503" s="36" t="s">
        <v>4894</v>
      </c>
      <c r="B503" s="33">
        <v>1</v>
      </c>
      <c r="C503" s="33">
        <v>1</v>
      </c>
      <c r="D503" s="37"/>
    </row>
    <row r="504" spans="1:4" ht="17.25" hidden="1" outlineLevel="2" x14ac:dyDescent="0.3">
      <c r="A504" s="36" t="s">
        <v>4895</v>
      </c>
      <c r="B504" s="33">
        <v>1</v>
      </c>
      <c r="C504" s="33">
        <v>1</v>
      </c>
      <c r="D504" s="37"/>
    </row>
    <row r="505" spans="1:4" ht="17.25" hidden="1" outlineLevel="2" x14ac:dyDescent="0.3">
      <c r="A505" s="36" t="s">
        <v>4896</v>
      </c>
      <c r="B505" s="33">
        <v>1</v>
      </c>
      <c r="C505" s="33">
        <v>1</v>
      </c>
      <c r="D505" s="37"/>
    </row>
    <row r="506" spans="1:4" ht="17.25" hidden="1" outlineLevel="2" x14ac:dyDescent="0.3">
      <c r="A506" s="36" t="s">
        <v>4897</v>
      </c>
      <c r="B506" s="33">
        <v>1</v>
      </c>
      <c r="C506" s="33">
        <v>1</v>
      </c>
      <c r="D506" s="37"/>
    </row>
    <row r="507" spans="1:4" ht="17.25" hidden="1" outlineLevel="2" x14ac:dyDescent="0.3">
      <c r="A507" s="36" t="s">
        <v>4898</v>
      </c>
      <c r="B507" s="33">
        <v>1</v>
      </c>
      <c r="C507" s="33">
        <v>1</v>
      </c>
      <c r="D507" s="37"/>
    </row>
    <row r="508" spans="1:4" ht="17.25" hidden="1" outlineLevel="2" x14ac:dyDescent="0.3">
      <c r="A508" s="36" t="s">
        <v>4899</v>
      </c>
      <c r="B508" s="33">
        <v>1</v>
      </c>
      <c r="C508" s="33">
        <v>1</v>
      </c>
      <c r="D508" s="37"/>
    </row>
    <row r="509" spans="1:4" ht="17.25" hidden="1" outlineLevel="2" x14ac:dyDescent="0.3">
      <c r="A509" s="36" t="s">
        <v>4900</v>
      </c>
      <c r="B509" s="33">
        <v>1</v>
      </c>
      <c r="C509" s="33">
        <v>1</v>
      </c>
      <c r="D509" s="37"/>
    </row>
    <row r="510" spans="1:4" ht="17.25" hidden="1" outlineLevel="2" x14ac:dyDescent="0.3">
      <c r="A510" s="36" t="s">
        <v>4901</v>
      </c>
      <c r="B510" s="33">
        <v>1</v>
      </c>
      <c r="C510" s="33">
        <v>1</v>
      </c>
      <c r="D510" s="37"/>
    </row>
    <row r="511" spans="1:4" ht="17.25" hidden="1" outlineLevel="2" x14ac:dyDescent="0.3">
      <c r="A511" s="36" t="s">
        <v>4902</v>
      </c>
      <c r="B511" s="33">
        <v>1</v>
      </c>
      <c r="C511" s="33">
        <v>1</v>
      </c>
      <c r="D511" s="37"/>
    </row>
    <row r="512" spans="1:4" ht="17.25" hidden="1" outlineLevel="2" x14ac:dyDescent="0.3">
      <c r="A512" s="36" t="s">
        <v>4903</v>
      </c>
      <c r="B512" s="33">
        <v>1</v>
      </c>
      <c r="C512" s="33">
        <v>1</v>
      </c>
      <c r="D512" s="37"/>
    </row>
    <row r="513" spans="1:4" ht="17.25" hidden="1" outlineLevel="2" x14ac:dyDescent="0.3">
      <c r="A513" s="36" t="s">
        <v>4904</v>
      </c>
      <c r="B513" s="33">
        <v>1</v>
      </c>
      <c r="C513" s="33">
        <v>1</v>
      </c>
      <c r="D513" s="37"/>
    </row>
    <row r="514" spans="1:4" ht="17.25" hidden="1" outlineLevel="2" x14ac:dyDescent="0.3">
      <c r="A514" s="36" t="s">
        <v>4905</v>
      </c>
      <c r="B514" s="33">
        <v>1</v>
      </c>
      <c r="C514" s="33">
        <v>1</v>
      </c>
      <c r="D514" s="37"/>
    </row>
    <row r="515" spans="1:4" ht="17.25" hidden="1" outlineLevel="2" x14ac:dyDescent="0.3">
      <c r="A515" s="36" t="s">
        <v>4906</v>
      </c>
      <c r="B515" s="33">
        <v>1</v>
      </c>
      <c r="C515" s="33">
        <v>1</v>
      </c>
      <c r="D515" s="37"/>
    </row>
    <row r="516" spans="1:4" ht="17.25" hidden="1" outlineLevel="2" x14ac:dyDescent="0.3">
      <c r="A516" s="36" t="s">
        <v>4907</v>
      </c>
      <c r="B516" s="33">
        <v>1</v>
      </c>
      <c r="C516" s="33">
        <v>1</v>
      </c>
      <c r="D516" s="37"/>
    </row>
    <row r="517" spans="1:4" ht="17.25" hidden="1" outlineLevel="2" x14ac:dyDescent="0.3">
      <c r="A517" s="36" t="s">
        <v>4908</v>
      </c>
      <c r="B517" s="33">
        <v>1</v>
      </c>
      <c r="C517" s="33">
        <v>1</v>
      </c>
      <c r="D517" s="37"/>
    </row>
    <row r="518" spans="1:4" ht="17.25" hidden="1" outlineLevel="2" x14ac:dyDescent="0.3">
      <c r="A518" s="36" t="s">
        <v>4909</v>
      </c>
      <c r="B518" s="33">
        <v>1</v>
      </c>
      <c r="C518" s="33">
        <v>1</v>
      </c>
      <c r="D518" s="37"/>
    </row>
    <row r="519" spans="1:4" ht="17.25" hidden="1" outlineLevel="2" x14ac:dyDescent="0.3">
      <c r="A519" s="36" t="s">
        <v>4910</v>
      </c>
      <c r="B519" s="33">
        <v>1</v>
      </c>
      <c r="C519" s="33">
        <v>1</v>
      </c>
      <c r="D519" s="37"/>
    </row>
    <row r="520" spans="1:4" ht="17.25" hidden="1" outlineLevel="2" x14ac:dyDescent="0.3">
      <c r="A520" s="36" t="s">
        <v>4911</v>
      </c>
      <c r="B520" s="33">
        <v>1</v>
      </c>
      <c r="C520" s="33">
        <v>1</v>
      </c>
      <c r="D520" s="37"/>
    </row>
    <row r="521" spans="1:4" ht="17.25" hidden="1" outlineLevel="2" x14ac:dyDescent="0.3">
      <c r="A521" s="36" t="s">
        <v>4912</v>
      </c>
      <c r="B521" s="33">
        <v>1</v>
      </c>
      <c r="C521" s="33">
        <v>1</v>
      </c>
      <c r="D521" s="37"/>
    </row>
    <row r="522" spans="1:4" ht="17.25" hidden="1" outlineLevel="2" x14ac:dyDescent="0.3">
      <c r="A522" s="36" t="s">
        <v>4913</v>
      </c>
      <c r="B522" s="33">
        <v>1</v>
      </c>
      <c r="C522" s="33">
        <v>1</v>
      </c>
      <c r="D522" s="37"/>
    </row>
    <row r="523" spans="1:4" ht="17.25" hidden="1" outlineLevel="2" x14ac:dyDescent="0.3">
      <c r="A523" s="36" t="s">
        <v>4914</v>
      </c>
      <c r="B523" s="33">
        <v>1</v>
      </c>
      <c r="C523" s="33">
        <v>1</v>
      </c>
      <c r="D523" s="37"/>
    </row>
    <row r="524" spans="1:4" ht="17.25" hidden="1" outlineLevel="2" x14ac:dyDescent="0.3">
      <c r="A524" s="36" t="s">
        <v>4915</v>
      </c>
      <c r="B524" s="33">
        <v>1</v>
      </c>
      <c r="C524" s="33">
        <v>1</v>
      </c>
      <c r="D524" s="37"/>
    </row>
    <row r="525" spans="1:4" ht="17.25" hidden="1" outlineLevel="2" x14ac:dyDescent="0.3">
      <c r="A525" s="36" t="s">
        <v>4916</v>
      </c>
      <c r="B525" s="33">
        <v>1</v>
      </c>
      <c r="C525" s="33">
        <v>1</v>
      </c>
      <c r="D525" s="37"/>
    </row>
    <row r="526" spans="1:4" ht="17.25" hidden="1" outlineLevel="2" x14ac:dyDescent="0.3">
      <c r="A526" s="36" t="s">
        <v>4917</v>
      </c>
      <c r="B526" s="33">
        <v>1</v>
      </c>
      <c r="C526" s="33">
        <v>1</v>
      </c>
      <c r="D526" s="37"/>
    </row>
    <row r="527" spans="1:4" ht="17.25" hidden="1" outlineLevel="2" x14ac:dyDescent="0.3">
      <c r="A527" s="36" t="s">
        <v>4918</v>
      </c>
      <c r="B527" s="33">
        <v>1</v>
      </c>
      <c r="C527" s="33">
        <v>1</v>
      </c>
      <c r="D527" s="37"/>
    </row>
    <row r="528" spans="1:4" ht="17.25" hidden="1" outlineLevel="2" x14ac:dyDescent="0.3">
      <c r="A528" s="36" t="s">
        <v>4919</v>
      </c>
      <c r="B528" s="33">
        <v>1</v>
      </c>
      <c r="C528" s="33">
        <v>1</v>
      </c>
      <c r="D528" s="37"/>
    </row>
    <row r="529" spans="1:4" ht="17.25" hidden="1" outlineLevel="2" x14ac:dyDescent="0.3">
      <c r="A529" s="36" t="s">
        <v>4920</v>
      </c>
      <c r="B529" s="33">
        <v>1</v>
      </c>
      <c r="C529" s="33">
        <v>1</v>
      </c>
      <c r="D529" s="37"/>
    </row>
    <row r="530" spans="1:4" ht="17.25" hidden="1" outlineLevel="2" x14ac:dyDescent="0.3">
      <c r="A530" s="36" t="s">
        <v>4921</v>
      </c>
      <c r="B530" s="33">
        <v>1</v>
      </c>
      <c r="C530" s="33">
        <v>1</v>
      </c>
      <c r="D530" s="37"/>
    </row>
    <row r="531" spans="1:4" ht="17.25" hidden="1" outlineLevel="2" x14ac:dyDescent="0.3">
      <c r="A531" s="36" t="s">
        <v>4922</v>
      </c>
      <c r="B531" s="33">
        <v>1</v>
      </c>
      <c r="C531" s="33">
        <v>1</v>
      </c>
      <c r="D531" s="37"/>
    </row>
    <row r="532" spans="1:4" ht="17.25" hidden="1" outlineLevel="2" x14ac:dyDescent="0.3">
      <c r="A532" s="36" t="s">
        <v>4923</v>
      </c>
      <c r="B532" s="33">
        <v>1</v>
      </c>
      <c r="C532" s="33">
        <v>1</v>
      </c>
      <c r="D532" s="37"/>
    </row>
    <row r="533" spans="1:4" ht="17.25" hidden="1" outlineLevel="2" x14ac:dyDescent="0.3">
      <c r="A533" s="36" t="s">
        <v>4924</v>
      </c>
      <c r="B533" s="33">
        <v>1</v>
      </c>
      <c r="C533" s="33">
        <v>1</v>
      </c>
      <c r="D533" s="37"/>
    </row>
    <row r="534" spans="1:4" ht="17.25" hidden="1" outlineLevel="2" x14ac:dyDescent="0.3">
      <c r="A534" s="36" t="s">
        <v>4925</v>
      </c>
      <c r="B534" s="33">
        <v>1</v>
      </c>
      <c r="C534" s="33">
        <v>1</v>
      </c>
      <c r="D534" s="37"/>
    </row>
    <row r="535" spans="1:4" ht="17.25" hidden="1" outlineLevel="2" x14ac:dyDescent="0.3">
      <c r="A535" s="36" t="s">
        <v>4926</v>
      </c>
      <c r="B535" s="33">
        <v>1</v>
      </c>
      <c r="C535" s="33">
        <v>1</v>
      </c>
      <c r="D535" s="37"/>
    </row>
    <row r="536" spans="1:4" ht="17.25" hidden="1" outlineLevel="2" x14ac:dyDescent="0.3">
      <c r="A536" s="36" t="s">
        <v>4927</v>
      </c>
      <c r="B536" s="33">
        <v>1</v>
      </c>
      <c r="C536" s="33">
        <v>1</v>
      </c>
      <c r="D536" s="37"/>
    </row>
    <row r="537" spans="1:4" ht="17.25" hidden="1" outlineLevel="2" x14ac:dyDescent="0.3">
      <c r="A537" s="36" t="s">
        <v>4928</v>
      </c>
      <c r="B537" s="33">
        <v>1</v>
      </c>
      <c r="C537" s="33">
        <v>1</v>
      </c>
      <c r="D537" s="37"/>
    </row>
    <row r="538" spans="1:4" ht="17.25" hidden="1" outlineLevel="2" x14ac:dyDescent="0.3">
      <c r="A538" s="36" t="s">
        <v>4929</v>
      </c>
      <c r="B538" s="33">
        <v>1</v>
      </c>
      <c r="C538" s="33">
        <v>1</v>
      </c>
      <c r="D538" s="37"/>
    </row>
    <row r="539" spans="1:4" ht="17.25" hidden="1" outlineLevel="2" x14ac:dyDescent="0.3">
      <c r="A539" s="36" t="s">
        <v>4930</v>
      </c>
      <c r="B539" s="33">
        <v>1</v>
      </c>
      <c r="C539" s="33">
        <v>1</v>
      </c>
      <c r="D539" s="37"/>
    </row>
    <row r="540" spans="1:4" ht="17.25" hidden="1" outlineLevel="2" x14ac:dyDescent="0.3">
      <c r="A540" s="36" t="s">
        <v>4931</v>
      </c>
      <c r="B540" s="33">
        <v>1</v>
      </c>
      <c r="C540" s="33">
        <v>1</v>
      </c>
      <c r="D540" s="37"/>
    </row>
    <row r="541" spans="1:4" ht="17.25" hidden="1" outlineLevel="2" x14ac:dyDescent="0.3">
      <c r="A541" s="36" t="s">
        <v>4932</v>
      </c>
      <c r="B541" s="33">
        <v>1</v>
      </c>
      <c r="C541" s="33">
        <v>1</v>
      </c>
      <c r="D541" s="37"/>
    </row>
    <row r="542" spans="1:4" ht="17.25" hidden="1" outlineLevel="2" x14ac:dyDescent="0.3">
      <c r="A542" s="36" t="s">
        <v>4933</v>
      </c>
      <c r="B542" s="33">
        <v>1</v>
      </c>
      <c r="C542" s="33">
        <v>1</v>
      </c>
      <c r="D542" s="37"/>
    </row>
    <row r="543" spans="1:4" ht="17.25" hidden="1" outlineLevel="2" x14ac:dyDescent="0.3">
      <c r="A543" s="36" t="s">
        <v>4934</v>
      </c>
      <c r="B543" s="33">
        <v>1</v>
      </c>
      <c r="C543" s="33">
        <v>1</v>
      </c>
      <c r="D543" s="37"/>
    </row>
    <row r="544" spans="1:4" ht="17.25" hidden="1" outlineLevel="2" x14ac:dyDescent="0.3">
      <c r="A544" s="36" t="s">
        <v>4935</v>
      </c>
      <c r="B544" s="33">
        <v>1</v>
      </c>
      <c r="C544" s="33">
        <v>1</v>
      </c>
      <c r="D544" s="37"/>
    </row>
    <row r="545" spans="1:4" ht="17.25" hidden="1" outlineLevel="2" x14ac:dyDescent="0.3">
      <c r="A545" s="36" t="s">
        <v>4936</v>
      </c>
      <c r="B545" s="33">
        <v>1</v>
      </c>
      <c r="C545" s="33">
        <v>1</v>
      </c>
      <c r="D545" s="37"/>
    </row>
    <row r="546" spans="1:4" ht="17.25" hidden="1" outlineLevel="2" x14ac:dyDescent="0.3">
      <c r="A546" s="36" t="s">
        <v>4937</v>
      </c>
      <c r="B546" s="33">
        <v>1</v>
      </c>
      <c r="C546" s="33">
        <v>1</v>
      </c>
      <c r="D546" s="37"/>
    </row>
    <row r="547" spans="1:4" ht="17.25" hidden="1" outlineLevel="2" x14ac:dyDescent="0.3">
      <c r="A547" s="36" t="s">
        <v>4938</v>
      </c>
      <c r="B547" s="33">
        <v>1</v>
      </c>
      <c r="C547" s="33">
        <v>1</v>
      </c>
      <c r="D547" s="37"/>
    </row>
    <row r="548" spans="1:4" ht="17.25" hidden="1" outlineLevel="2" x14ac:dyDescent="0.3">
      <c r="A548" s="36" t="s">
        <v>4939</v>
      </c>
      <c r="B548" s="33">
        <v>1</v>
      </c>
      <c r="C548" s="33">
        <v>1</v>
      </c>
      <c r="D548" s="37"/>
    </row>
    <row r="549" spans="1:4" ht="17.25" hidden="1" outlineLevel="2" x14ac:dyDescent="0.3">
      <c r="A549" s="36" t="s">
        <v>4940</v>
      </c>
      <c r="B549" s="33">
        <v>1</v>
      </c>
      <c r="C549" s="33">
        <v>1</v>
      </c>
      <c r="D549" s="37"/>
    </row>
    <row r="550" spans="1:4" ht="17.25" hidden="1" outlineLevel="2" x14ac:dyDescent="0.3">
      <c r="A550" s="36" t="s">
        <v>4941</v>
      </c>
      <c r="B550" s="33">
        <v>1</v>
      </c>
      <c r="C550" s="33">
        <v>1</v>
      </c>
      <c r="D550" s="37"/>
    </row>
    <row r="551" spans="1:4" ht="17.25" hidden="1" outlineLevel="2" x14ac:dyDescent="0.3">
      <c r="A551" s="36" t="s">
        <v>4942</v>
      </c>
      <c r="B551" s="33">
        <v>1</v>
      </c>
      <c r="C551" s="33">
        <v>1</v>
      </c>
      <c r="D551" s="37"/>
    </row>
    <row r="552" spans="1:4" ht="17.25" hidden="1" outlineLevel="2" x14ac:dyDescent="0.3">
      <c r="A552" s="36" t="s">
        <v>4943</v>
      </c>
      <c r="B552" s="33">
        <v>1</v>
      </c>
      <c r="C552" s="33">
        <v>1</v>
      </c>
      <c r="D552" s="37"/>
    </row>
    <row r="553" spans="1:4" ht="17.25" hidden="1" outlineLevel="2" x14ac:dyDescent="0.3">
      <c r="A553" s="36" t="s">
        <v>4944</v>
      </c>
      <c r="B553" s="33">
        <v>1</v>
      </c>
      <c r="C553" s="33">
        <v>1</v>
      </c>
      <c r="D553" s="37"/>
    </row>
    <row r="554" spans="1:4" ht="17.25" hidden="1" outlineLevel="2" x14ac:dyDescent="0.3">
      <c r="A554" s="36" t="s">
        <v>4945</v>
      </c>
      <c r="B554" s="33">
        <v>1</v>
      </c>
      <c r="C554" s="33">
        <v>1</v>
      </c>
      <c r="D554" s="37"/>
    </row>
    <row r="555" spans="1:4" ht="17.25" hidden="1" outlineLevel="2" x14ac:dyDescent="0.3">
      <c r="A555" s="36" t="s">
        <v>4946</v>
      </c>
      <c r="B555" s="33">
        <v>1</v>
      </c>
      <c r="C555" s="33">
        <v>1</v>
      </c>
      <c r="D555" s="37"/>
    </row>
    <row r="556" spans="1:4" ht="17.25" hidden="1" outlineLevel="2" x14ac:dyDescent="0.3">
      <c r="A556" s="36" t="s">
        <v>4947</v>
      </c>
      <c r="B556" s="33">
        <v>1</v>
      </c>
      <c r="C556" s="33">
        <v>1</v>
      </c>
      <c r="D556" s="37"/>
    </row>
    <row r="557" spans="1:4" ht="17.25" hidden="1" outlineLevel="2" x14ac:dyDescent="0.3">
      <c r="A557" s="36" t="s">
        <v>4948</v>
      </c>
      <c r="B557" s="33">
        <v>1</v>
      </c>
      <c r="C557" s="33">
        <v>1</v>
      </c>
      <c r="D557" s="37"/>
    </row>
    <row r="558" spans="1:4" ht="17.25" hidden="1" outlineLevel="2" x14ac:dyDescent="0.3">
      <c r="A558" s="36" t="s">
        <v>4949</v>
      </c>
      <c r="B558" s="33">
        <v>1</v>
      </c>
      <c r="C558" s="33">
        <v>1</v>
      </c>
      <c r="D558" s="37"/>
    </row>
    <row r="559" spans="1:4" ht="17.25" hidden="1" outlineLevel="2" x14ac:dyDescent="0.3">
      <c r="A559" s="36" t="s">
        <v>4950</v>
      </c>
      <c r="B559" s="33">
        <v>1</v>
      </c>
      <c r="C559" s="33">
        <v>1</v>
      </c>
      <c r="D559" s="37"/>
    </row>
    <row r="560" spans="1:4" ht="17.25" hidden="1" outlineLevel="2" x14ac:dyDescent="0.3">
      <c r="A560" s="36" t="s">
        <v>4951</v>
      </c>
      <c r="B560" s="33">
        <v>1</v>
      </c>
      <c r="C560" s="33">
        <v>1</v>
      </c>
      <c r="D560" s="37"/>
    </row>
    <row r="561" spans="1:4" ht="17.25" hidden="1" outlineLevel="2" x14ac:dyDescent="0.3">
      <c r="A561" s="36" t="s">
        <v>4952</v>
      </c>
      <c r="B561" s="33">
        <v>1</v>
      </c>
      <c r="C561" s="33">
        <v>1</v>
      </c>
      <c r="D561" s="37"/>
    </row>
    <row r="562" spans="1:4" ht="17.25" hidden="1" outlineLevel="2" x14ac:dyDescent="0.3">
      <c r="A562" s="36" t="s">
        <v>4953</v>
      </c>
      <c r="B562" s="33">
        <v>1</v>
      </c>
      <c r="C562" s="33">
        <v>1</v>
      </c>
      <c r="D562" s="37"/>
    </row>
    <row r="563" spans="1:4" ht="17.25" hidden="1" outlineLevel="2" x14ac:dyDescent="0.3">
      <c r="A563" s="36" t="s">
        <v>4954</v>
      </c>
      <c r="B563" s="33">
        <v>1</v>
      </c>
      <c r="C563" s="33">
        <v>1</v>
      </c>
      <c r="D563" s="37"/>
    </row>
    <row r="564" spans="1:4" ht="17.25" hidden="1" outlineLevel="2" x14ac:dyDescent="0.3">
      <c r="A564" s="36" t="s">
        <v>4955</v>
      </c>
      <c r="B564" s="33">
        <v>1</v>
      </c>
      <c r="C564" s="33">
        <v>1</v>
      </c>
      <c r="D564" s="37"/>
    </row>
    <row r="565" spans="1:4" ht="17.25" hidden="1" outlineLevel="2" x14ac:dyDescent="0.3">
      <c r="A565" s="36" t="s">
        <v>4956</v>
      </c>
      <c r="B565" s="33">
        <v>1</v>
      </c>
      <c r="C565" s="33">
        <v>1</v>
      </c>
      <c r="D565" s="37"/>
    </row>
    <row r="566" spans="1:4" ht="17.25" hidden="1" outlineLevel="2" x14ac:dyDescent="0.3">
      <c r="A566" s="36" t="s">
        <v>4957</v>
      </c>
      <c r="B566" s="33">
        <v>1</v>
      </c>
      <c r="C566" s="33">
        <v>1</v>
      </c>
      <c r="D566" s="37"/>
    </row>
    <row r="567" spans="1:4" ht="17.25" hidden="1" outlineLevel="2" x14ac:dyDescent="0.3">
      <c r="A567" s="36" t="s">
        <v>4958</v>
      </c>
      <c r="B567" s="33">
        <v>1</v>
      </c>
      <c r="C567" s="33">
        <v>1</v>
      </c>
      <c r="D567" s="37"/>
    </row>
    <row r="568" spans="1:4" ht="17.25" hidden="1" outlineLevel="2" x14ac:dyDescent="0.3">
      <c r="A568" s="36" t="s">
        <v>4959</v>
      </c>
      <c r="B568" s="33">
        <v>1</v>
      </c>
      <c r="C568" s="33">
        <v>1</v>
      </c>
      <c r="D568" s="37"/>
    </row>
    <row r="569" spans="1:4" ht="17.25" hidden="1" outlineLevel="2" x14ac:dyDescent="0.3">
      <c r="A569" s="36" t="s">
        <v>4960</v>
      </c>
      <c r="B569" s="33">
        <v>1</v>
      </c>
      <c r="C569" s="33">
        <v>1</v>
      </c>
      <c r="D569" s="37"/>
    </row>
    <row r="570" spans="1:4" ht="17.25" hidden="1" outlineLevel="2" x14ac:dyDescent="0.3">
      <c r="A570" s="36" t="s">
        <v>4961</v>
      </c>
      <c r="B570" s="33">
        <v>1</v>
      </c>
      <c r="C570" s="33">
        <v>1</v>
      </c>
      <c r="D570" s="37"/>
    </row>
    <row r="571" spans="1:4" ht="17.25" hidden="1" outlineLevel="2" x14ac:dyDescent="0.3">
      <c r="A571" s="36" t="s">
        <v>4962</v>
      </c>
      <c r="B571" s="33">
        <v>1</v>
      </c>
      <c r="C571" s="33">
        <v>1</v>
      </c>
      <c r="D571" s="37"/>
    </row>
    <row r="572" spans="1:4" ht="17.25" hidden="1" outlineLevel="2" x14ac:dyDescent="0.3">
      <c r="A572" s="36" t="s">
        <v>4963</v>
      </c>
      <c r="B572" s="33">
        <v>1</v>
      </c>
      <c r="C572" s="33">
        <v>1</v>
      </c>
      <c r="D572" s="37"/>
    </row>
    <row r="573" spans="1:4" ht="17.25" hidden="1" outlineLevel="2" x14ac:dyDescent="0.3">
      <c r="A573" s="36" t="s">
        <v>4964</v>
      </c>
      <c r="B573" s="33">
        <v>1</v>
      </c>
      <c r="C573" s="33">
        <v>1</v>
      </c>
      <c r="D573" s="37"/>
    </row>
    <row r="574" spans="1:4" ht="17.25" hidden="1" outlineLevel="2" x14ac:dyDescent="0.3">
      <c r="A574" s="36" t="s">
        <v>4965</v>
      </c>
      <c r="B574" s="33">
        <v>1</v>
      </c>
      <c r="C574" s="33">
        <v>1</v>
      </c>
      <c r="D574" s="37"/>
    </row>
    <row r="575" spans="1:4" ht="17.25" hidden="1" outlineLevel="2" x14ac:dyDescent="0.3">
      <c r="A575" s="36" t="s">
        <v>4966</v>
      </c>
      <c r="B575" s="33">
        <v>1</v>
      </c>
      <c r="C575" s="33">
        <v>1</v>
      </c>
      <c r="D575" s="37"/>
    </row>
    <row r="576" spans="1:4" ht="17.25" hidden="1" outlineLevel="2" x14ac:dyDescent="0.3">
      <c r="A576" s="36" t="s">
        <v>4967</v>
      </c>
      <c r="B576" s="33">
        <v>1</v>
      </c>
      <c r="C576" s="33">
        <v>1</v>
      </c>
      <c r="D576" s="37"/>
    </row>
    <row r="577" spans="1:4" ht="17.25" hidden="1" outlineLevel="2" x14ac:dyDescent="0.3">
      <c r="A577" s="36" t="s">
        <v>4968</v>
      </c>
      <c r="B577" s="33">
        <v>1</v>
      </c>
      <c r="C577" s="33">
        <v>1</v>
      </c>
      <c r="D577" s="37"/>
    </row>
    <row r="578" spans="1:4" ht="17.25" hidden="1" outlineLevel="2" x14ac:dyDescent="0.3">
      <c r="A578" s="36" t="s">
        <v>4969</v>
      </c>
      <c r="B578" s="33">
        <v>1</v>
      </c>
      <c r="C578" s="33">
        <v>1</v>
      </c>
      <c r="D578" s="37"/>
    </row>
    <row r="579" spans="1:4" ht="17.25" hidden="1" outlineLevel="2" x14ac:dyDescent="0.3">
      <c r="A579" s="36" t="s">
        <v>4970</v>
      </c>
      <c r="B579" s="33">
        <v>1</v>
      </c>
      <c r="C579" s="33">
        <v>1</v>
      </c>
      <c r="D579" s="37"/>
    </row>
    <row r="580" spans="1:4" ht="17.25" hidden="1" outlineLevel="2" x14ac:dyDescent="0.3">
      <c r="A580" s="36" t="s">
        <v>4971</v>
      </c>
      <c r="B580" s="33">
        <v>1</v>
      </c>
      <c r="C580" s="33">
        <v>1</v>
      </c>
      <c r="D580" s="37"/>
    </row>
    <row r="581" spans="1:4" ht="17.25" hidden="1" outlineLevel="2" x14ac:dyDescent="0.3">
      <c r="A581" s="36" t="s">
        <v>4972</v>
      </c>
      <c r="B581" s="33">
        <v>1</v>
      </c>
      <c r="C581" s="33">
        <v>1</v>
      </c>
      <c r="D581" s="37"/>
    </row>
    <row r="582" spans="1:4" ht="17.25" hidden="1" outlineLevel="2" x14ac:dyDescent="0.3">
      <c r="A582" s="36" t="s">
        <v>4973</v>
      </c>
      <c r="B582" s="33">
        <v>1</v>
      </c>
      <c r="C582" s="33">
        <v>1</v>
      </c>
      <c r="D582" s="37"/>
    </row>
    <row r="583" spans="1:4" ht="17.25" hidden="1" outlineLevel="2" x14ac:dyDescent="0.3">
      <c r="A583" s="36" t="s">
        <v>4974</v>
      </c>
      <c r="B583" s="33">
        <v>1</v>
      </c>
      <c r="C583" s="33">
        <v>1</v>
      </c>
      <c r="D583" s="37"/>
    </row>
    <row r="584" spans="1:4" ht="17.25" hidden="1" outlineLevel="2" x14ac:dyDescent="0.3">
      <c r="A584" s="36" t="s">
        <v>4975</v>
      </c>
      <c r="B584" s="33">
        <v>1</v>
      </c>
      <c r="C584" s="33">
        <v>1</v>
      </c>
      <c r="D584" s="37"/>
    </row>
    <row r="585" spans="1:4" ht="17.25" hidden="1" outlineLevel="2" x14ac:dyDescent="0.3">
      <c r="A585" s="36" t="s">
        <v>4976</v>
      </c>
      <c r="B585" s="33">
        <v>1</v>
      </c>
      <c r="C585" s="33">
        <v>1</v>
      </c>
      <c r="D585" s="37"/>
    </row>
    <row r="586" spans="1:4" ht="17.25" hidden="1" outlineLevel="2" x14ac:dyDescent="0.3">
      <c r="A586" s="36" t="s">
        <v>4977</v>
      </c>
      <c r="B586" s="33">
        <v>1</v>
      </c>
      <c r="C586" s="33">
        <v>1</v>
      </c>
      <c r="D586" s="37"/>
    </row>
    <row r="587" spans="1:4" ht="17.25" hidden="1" outlineLevel="2" x14ac:dyDescent="0.3">
      <c r="A587" s="36" t="s">
        <v>4978</v>
      </c>
      <c r="B587" s="33">
        <v>1</v>
      </c>
      <c r="C587" s="33">
        <v>1</v>
      </c>
      <c r="D587" s="37"/>
    </row>
    <row r="588" spans="1:4" ht="17.25" hidden="1" outlineLevel="2" x14ac:dyDescent="0.3">
      <c r="A588" s="36" t="s">
        <v>4979</v>
      </c>
      <c r="B588" s="33">
        <v>1</v>
      </c>
      <c r="C588" s="33">
        <v>1</v>
      </c>
      <c r="D588" s="37"/>
    </row>
    <row r="589" spans="1:4" ht="17.25" hidden="1" outlineLevel="2" x14ac:dyDescent="0.3">
      <c r="A589" s="36" t="s">
        <v>4980</v>
      </c>
      <c r="B589" s="33">
        <v>1</v>
      </c>
      <c r="C589" s="33">
        <v>1</v>
      </c>
      <c r="D589" s="37"/>
    </row>
    <row r="590" spans="1:4" ht="17.25" hidden="1" outlineLevel="2" x14ac:dyDescent="0.3">
      <c r="A590" s="36" t="s">
        <v>4981</v>
      </c>
      <c r="B590" s="33">
        <v>1</v>
      </c>
      <c r="C590" s="33">
        <v>1</v>
      </c>
      <c r="D590" s="37"/>
    </row>
    <row r="591" spans="1:4" ht="17.25" hidden="1" outlineLevel="2" x14ac:dyDescent="0.3">
      <c r="A591" s="36" t="s">
        <v>4982</v>
      </c>
      <c r="B591" s="33">
        <v>1</v>
      </c>
      <c r="C591" s="33">
        <v>1</v>
      </c>
      <c r="D591" s="37"/>
    </row>
    <row r="592" spans="1:4" ht="17.25" hidden="1" outlineLevel="2" x14ac:dyDescent="0.3">
      <c r="A592" s="36" t="s">
        <v>4983</v>
      </c>
      <c r="B592" s="33">
        <v>1</v>
      </c>
      <c r="C592" s="33">
        <v>1</v>
      </c>
      <c r="D592" s="37"/>
    </row>
    <row r="593" spans="1:4" ht="17.25" hidden="1" outlineLevel="2" x14ac:dyDescent="0.3">
      <c r="A593" s="36" t="s">
        <v>4984</v>
      </c>
      <c r="B593" s="33">
        <v>1</v>
      </c>
      <c r="C593" s="33">
        <v>1</v>
      </c>
      <c r="D593" s="37"/>
    </row>
    <row r="594" spans="1:4" ht="17.25" hidden="1" outlineLevel="2" x14ac:dyDescent="0.3">
      <c r="A594" s="36" t="s">
        <v>4985</v>
      </c>
      <c r="B594" s="33">
        <v>1</v>
      </c>
      <c r="C594" s="33">
        <v>1</v>
      </c>
      <c r="D594" s="37"/>
    </row>
    <row r="595" spans="1:4" ht="17.25" hidden="1" outlineLevel="2" x14ac:dyDescent="0.3">
      <c r="A595" s="36" t="s">
        <v>4986</v>
      </c>
      <c r="B595" s="33">
        <v>1</v>
      </c>
      <c r="C595" s="33">
        <v>1</v>
      </c>
      <c r="D595" s="37"/>
    </row>
    <row r="596" spans="1:4" ht="17.25" hidden="1" outlineLevel="2" x14ac:dyDescent="0.3">
      <c r="A596" s="36" t="s">
        <v>4987</v>
      </c>
      <c r="B596" s="33">
        <v>1</v>
      </c>
      <c r="C596" s="33">
        <v>1</v>
      </c>
      <c r="D596" s="37"/>
    </row>
    <row r="597" spans="1:4" ht="17.25" hidden="1" outlineLevel="2" x14ac:dyDescent="0.3">
      <c r="A597" s="36" t="s">
        <v>4988</v>
      </c>
      <c r="B597" s="33">
        <v>1</v>
      </c>
      <c r="C597" s="33">
        <v>1</v>
      </c>
      <c r="D597" s="37"/>
    </row>
    <row r="598" spans="1:4" ht="17.25" hidden="1" outlineLevel="2" x14ac:dyDescent="0.3">
      <c r="A598" s="36" t="s">
        <v>4989</v>
      </c>
      <c r="B598" s="33">
        <v>1</v>
      </c>
      <c r="C598" s="33">
        <v>1</v>
      </c>
      <c r="D598" s="37"/>
    </row>
    <row r="599" spans="1:4" ht="17.25" hidden="1" outlineLevel="2" x14ac:dyDescent="0.3">
      <c r="A599" s="36" t="s">
        <v>4990</v>
      </c>
      <c r="B599" s="33">
        <v>1</v>
      </c>
      <c r="C599" s="33">
        <v>1</v>
      </c>
      <c r="D599" s="37"/>
    </row>
    <row r="600" spans="1:4" ht="17.25" hidden="1" outlineLevel="2" x14ac:dyDescent="0.3">
      <c r="A600" s="36" t="s">
        <v>4991</v>
      </c>
      <c r="B600" s="33">
        <v>1</v>
      </c>
      <c r="C600" s="33">
        <v>1</v>
      </c>
      <c r="D600" s="37"/>
    </row>
    <row r="601" spans="1:4" ht="17.25" hidden="1" outlineLevel="2" x14ac:dyDescent="0.3">
      <c r="A601" s="36" t="s">
        <v>4992</v>
      </c>
      <c r="B601" s="33">
        <v>1</v>
      </c>
      <c r="C601" s="33">
        <v>1</v>
      </c>
      <c r="D601" s="37"/>
    </row>
    <row r="602" spans="1:4" ht="17.25" hidden="1" outlineLevel="2" x14ac:dyDescent="0.3">
      <c r="A602" s="36" t="s">
        <v>4993</v>
      </c>
      <c r="B602" s="33">
        <v>1</v>
      </c>
      <c r="C602" s="33">
        <v>1</v>
      </c>
      <c r="D602" s="37"/>
    </row>
    <row r="603" spans="1:4" ht="17.25" hidden="1" outlineLevel="2" x14ac:dyDescent="0.3">
      <c r="A603" s="36" t="s">
        <v>4994</v>
      </c>
      <c r="B603" s="33">
        <v>1</v>
      </c>
      <c r="C603" s="33">
        <v>1</v>
      </c>
      <c r="D603" s="37"/>
    </row>
    <row r="604" spans="1:4" ht="17.25" hidden="1" outlineLevel="2" x14ac:dyDescent="0.3">
      <c r="A604" s="36" t="s">
        <v>4995</v>
      </c>
      <c r="B604" s="33">
        <v>1</v>
      </c>
      <c r="C604" s="33">
        <v>1</v>
      </c>
      <c r="D604" s="37"/>
    </row>
    <row r="605" spans="1:4" ht="17.25" hidden="1" outlineLevel="2" x14ac:dyDescent="0.3">
      <c r="A605" s="36" t="s">
        <v>4996</v>
      </c>
      <c r="B605" s="33">
        <v>1</v>
      </c>
      <c r="C605" s="33">
        <v>1</v>
      </c>
      <c r="D605" s="37"/>
    </row>
    <row r="606" spans="1:4" ht="17.25" hidden="1" outlineLevel="2" x14ac:dyDescent="0.3">
      <c r="A606" s="36" t="s">
        <v>4997</v>
      </c>
      <c r="B606" s="33">
        <v>1</v>
      </c>
      <c r="C606" s="33">
        <v>1</v>
      </c>
      <c r="D606" s="37"/>
    </row>
    <row r="607" spans="1:4" ht="17.25" hidden="1" outlineLevel="2" x14ac:dyDescent="0.3">
      <c r="A607" s="36" t="s">
        <v>4998</v>
      </c>
      <c r="B607" s="33">
        <v>1</v>
      </c>
      <c r="C607" s="33">
        <v>1</v>
      </c>
      <c r="D607" s="37"/>
    </row>
    <row r="608" spans="1:4" ht="17.25" hidden="1" outlineLevel="2" x14ac:dyDescent="0.3">
      <c r="A608" s="36" t="s">
        <v>4999</v>
      </c>
      <c r="B608" s="33">
        <v>1</v>
      </c>
      <c r="C608" s="33">
        <v>1</v>
      </c>
      <c r="D608" s="37"/>
    </row>
    <row r="609" spans="1:4" ht="17.25" hidden="1" outlineLevel="2" x14ac:dyDescent="0.3">
      <c r="A609" s="36" t="s">
        <v>5000</v>
      </c>
      <c r="B609" s="33">
        <v>1</v>
      </c>
      <c r="C609" s="33">
        <v>1</v>
      </c>
      <c r="D609" s="37"/>
    </row>
    <row r="610" spans="1:4" ht="17.25" hidden="1" outlineLevel="2" x14ac:dyDescent="0.3">
      <c r="A610" s="36" t="s">
        <v>5001</v>
      </c>
      <c r="B610" s="33">
        <v>1</v>
      </c>
      <c r="C610" s="33">
        <v>1</v>
      </c>
      <c r="D610" s="37"/>
    </row>
    <row r="611" spans="1:4" ht="17.25" hidden="1" outlineLevel="2" x14ac:dyDescent="0.3">
      <c r="A611" s="36" t="s">
        <v>5002</v>
      </c>
      <c r="B611" s="33">
        <v>1</v>
      </c>
      <c r="C611" s="33">
        <v>1</v>
      </c>
      <c r="D611" s="37"/>
    </row>
    <row r="612" spans="1:4" ht="17.25" hidden="1" outlineLevel="2" x14ac:dyDescent="0.3">
      <c r="A612" s="36" t="s">
        <v>5003</v>
      </c>
      <c r="B612" s="33">
        <v>1</v>
      </c>
      <c r="C612" s="33">
        <v>1</v>
      </c>
      <c r="D612" s="37"/>
    </row>
    <row r="613" spans="1:4" ht="17.25" hidden="1" outlineLevel="2" x14ac:dyDescent="0.3">
      <c r="A613" s="36" t="s">
        <v>5003</v>
      </c>
      <c r="B613" s="33">
        <v>1</v>
      </c>
      <c r="C613" s="33">
        <v>1</v>
      </c>
      <c r="D613" s="37"/>
    </row>
    <row r="614" spans="1:4" ht="17.25" hidden="1" outlineLevel="2" x14ac:dyDescent="0.3">
      <c r="A614" s="36" t="s">
        <v>5004</v>
      </c>
      <c r="B614" s="33">
        <v>1</v>
      </c>
      <c r="C614" s="33">
        <v>1</v>
      </c>
      <c r="D614" s="37"/>
    </row>
    <row r="615" spans="1:4" ht="17.25" hidden="1" outlineLevel="2" x14ac:dyDescent="0.3">
      <c r="A615" s="36" t="s">
        <v>5005</v>
      </c>
      <c r="B615" s="33">
        <v>1</v>
      </c>
      <c r="C615" s="33">
        <v>1</v>
      </c>
      <c r="D615" s="37"/>
    </row>
    <row r="616" spans="1:4" ht="17.25" hidden="1" outlineLevel="2" x14ac:dyDescent="0.3">
      <c r="A616" s="36" t="s">
        <v>5006</v>
      </c>
      <c r="B616" s="33">
        <v>1</v>
      </c>
      <c r="C616" s="33">
        <v>1</v>
      </c>
      <c r="D616" s="37"/>
    </row>
    <row r="617" spans="1:4" ht="17.25" hidden="1" outlineLevel="2" x14ac:dyDescent="0.3">
      <c r="A617" s="36" t="s">
        <v>5007</v>
      </c>
      <c r="B617" s="33">
        <v>1</v>
      </c>
      <c r="C617" s="33">
        <v>1</v>
      </c>
      <c r="D617" s="37"/>
    </row>
    <row r="618" spans="1:4" ht="17.25" hidden="1" outlineLevel="2" x14ac:dyDescent="0.3">
      <c r="A618" s="36" t="s">
        <v>5008</v>
      </c>
      <c r="B618" s="33">
        <v>1</v>
      </c>
      <c r="C618" s="33">
        <v>1</v>
      </c>
      <c r="D618" s="37"/>
    </row>
    <row r="619" spans="1:4" ht="17.25" hidden="1" outlineLevel="2" x14ac:dyDescent="0.3">
      <c r="A619" s="36" t="s">
        <v>5009</v>
      </c>
      <c r="B619" s="33">
        <v>1</v>
      </c>
      <c r="C619" s="33">
        <v>1</v>
      </c>
      <c r="D619" s="37"/>
    </row>
    <row r="620" spans="1:4" ht="17.25" hidden="1" outlineLevel="2" x14ac:dyDescent="0.3">
      <c r="A620" s="36" t="s">
        <v>5010</v>
      </c>
      <c r="B620" s="33">
        <v>1</v>
      </c>
      <c r="C620" s="33">
        <v>1</v>
      </c>
      <c r="D620" s="37"/>
    </row>
    <row r="621" spans="1:4" ht="17.25" hidden="1" outlineLevel="2" x14ac:dyDescent="0.3">
      <c r="A621" s="36" t="s">
        <v>5011</v>
      </c>
      <c r="B621" s="33">
        <v>1</v>
      </c>
      <c r="C621" s="33">
        <v>1</v>
      </c>
      <c r="D621" s="37"/>
    </row>
    <row r="622" spans="1:4" ht="17.25" hidden="1" outlineLevel="2" x14ac:dyDescent="0.3">
      <c r="A622" s="36" t="s">
        <v>5012</v>
      </c>
      <c r="B622" s="33">
        <v>1</v>
      </c>
      <c r="C622" s="33">
        <v>1</v>
      </c>
      <c r="D622" s="37"/>
    </row>
    <row r="623" spans="1:4" ht="17.25" hidden="1" outlineLevel="2" x14ac:dyDescent="0.3">
      <c r="A623" s="36" t="s">
        <v>5013</v>
      </c>
      <c r="B623" s="33">
        <v>1</v>
      </c>
      <c r="C623" s="33">
        <v>1</v>
      </c>
      <c r="D623" s="37"/>
    </row>
    <row r="624" spans="1:4" ht="17.25" hidden="1" outlineLevel="2" x14ac:dyDescent="0.3">
      <c r="A624" s="36" t="s">
        <v>5014</v>
      </c>
      <c r="B624" s="33">
        <v>1</v>
      </c>
      <c r="C624" s="33">
        <v>1</v>
      </c>
      <c r="D624" s="37"/>
    </row>
    <row r="625" spans="1:4" ht="17.25" hidden="1" outlineLevel="2" x14ac:dyDescent="0.3">
      <c r="A625" s="36" t="s">
        <v>5015</v>
      </c>
      <c r="B625" s="33">
        <v>1</v>
      </c>
      <c r="C625" s="33">
        <v>1</v>
      </c>
      <c r="D625" s="37"/>
    </row>
    <row r="626" spans="1:4" ht="17.25" hidden="1" outlineLevel="2" x14ac:dyDescent="0.3">
      <c r="A626" s="36" t="s">
        <v>5016</v>
      </c>
      <c r="B626" s="33">
        <v>1</v>
      </c>
      <c r="C626" s="33">
        <v>1</v>
      </c>
      <c r="D626" s="37"/>
    </row>
    <row r="627" spans="1:4" ht="17.25" hidden="1" outlineLevel="2" x14ac:dyDescent="0.3">
      <c r="A627" s="36" t="s">
        <v>5017</v>
      </c>
      <c r="B627" s="33">
        <v>1</v>
      </c>
      <c r="C627" s="33">
        <v>1</v>
      </c>
      <c r="D627" s="37"/>
    </row>
    <row r="628" spans="1:4" ht="17.25" hidden="1" outlineLevel="2" x14ac:dyDescent="0.3">
      <c r="A628" s="36" t="s">
        <v>5018</v>
      </c>
      <c r="B628" s="33">
        <v>1</v>
      </c>
      <c r="C628" s="33">
        <v>1</v>
      </c>
      <c r="D628" s="37"/>
    </row>
    <row r="629" spans="1:4" ht="17.25" hidden="1" outlineLevel="2" x14ac:dyDescent="0.3">
      <c r="A629" s="36" t="s">
        <v>5019</v>
      </c>
      <c r="B629" s="33">
        <v>1</v>
      </c>
      <c r="C629" s="33">
        <v>1</v>
      </c>
      <c r="D629" s="37"/>
    </row>
    <row r="630" spans="1:4" ht="17.25" hidden="1" outlineLevel="2" x14ac:dyDescent="0.3">
      <c r="A630" s="36" t="s">
        <v>5020</v>
      </c>
      <c r="B630" s="33">
        <v>1</v>
      </c>
      <c r="C630" s="33">
        <v>1</v>
      </c>
      <c r="D630" s="37"/>
    </row>
    <row r="631" spans="1:4" ht="17.25" hidden="1" outlineLevel="2" x14ac:dyDescent="0.3">
      <c r="A631" s="36" t="s">
        <v>5021</v>
      </c>
      <c r="B631" s="33">
        <v>1</v>
      </c>
      <c r="C631" s="33">
        <v>1</v>
      </c>
      <c r="D631" s="37"/>
    </row>
    <row r="632" spans="1:4" ht="17.25" hidden="1" outlineLevel="2" x14ac:dyDescent="0.3">
      <c r="A632" s="36" t="s">
        <v>5022</v>
      </c>
      <c r="B632" s="33">
        <v>1</v>
      </c>
      <c r="C632" s="33">
        <v>1</v>
      </c>
      <c r="D632" s="37"/>
    </row>
    <row r="633" spans="1:4" ht="17.25" hidden="1" outlineLevel="2" x14ac:dyDescent="0.3">
      <c r="A633" s="36" t="s">
        <v>5023</v>
      </c>
      <c r="B633" s="33">
        <v>1</v>
      </c>
      <c r="C633" s="33">
        <v>1</v>
      </c>
      <c r="D633" s="37"/>
    </row>
    <row r="634" spans="1:4" ht="17.25" hidden="1" outlineLevel="2" x14ac:dyDescent="0.3">
      <c r="A634" s="36" t="s">
        <v>5024</v>
      </c>
      <c r="B634" s="33">
        <v>1</v>
      </c>
      <c r="C634" s="33">
        <v>1</v>
      </c>
      <c r="D634" s="37"/>
    </row>
    <row r="635" spans="1:4" ht="17.25" hidden="1" outlineLevel="2" x14ac:dyDescent="0.3">
      <c r="A635" s="36" t="s">
        <v>5025</v>
      </c>
      <c r="B635" s="33">
        <v>1</v>
      </c>
      <c r="C635" s="33">
        <v>1</v>
      </c>
      <c r="D635" s="37"/>
    </row>
    <row r="636" spans="1:4" ht="17.25" hidden="1" outlineLevel="2" x14ac:dyDescent="0.3">
      <c r="A636" s="36" t="s">
        <v>5026</v>
      </c>
      <c r="B636" s="33">
        <v>1</v>
      </c>
      <c r="C636" s="33">
        <v>1</v>
      </c>
      <c r="D636" s="37"/>
    </row>
    <row r="637" spans="1:4" ht="17.25" hidden="1" outlineLevel="2" x14ac:dyDescent="0.3">
      <c r="A637" s="36" t="s">
        <v>5027</v>
      </c>
      <c r="B637" s="33">
        <v>1</v>
      </c>
      <c r="C637" s="33">
        <v>1</v>
      </c>
      <c r="D637" s="37"/>
    </row>
    <row r="638" spans="1:4" ht="17.25" hidden="1" outlineLevel="2" x14ac:dyDescent="0.3">
      <c r="A638" s="36" t="s">
        <v>5028</v>
      </c>
      <c r="B638" s="33">
        <v>1</v>
      </c>
      <c r="C638" s="33">
        <v>1</v>
      </c>
      <c r="D638" s="37"/>
    </row>
    <row r="639" spans="1:4" ht="17.25" hidden="1" outlineLevel="2" x14ac:dyDescent="0.3">
      <c r="A639" s="36" t="s">
        <v>5029</v>
      </c>
      <c r="B639" s="33">
        <v>1</v>
      </c>
      <c r="C639" s="33">
        <v>1</v>
      </c>
      <c r="D639" s="37"/>
    </row>
    <row r="640" spans="1:4" ht="17.25" hidden="1" outlineLevel="2" x14ac:dyDescent="0.3">
      <c r="A640" s="36" t="s">
        <v>5030</v>
      </c>
      <c r="B640" s="33">
        <v>1</v>
      </c>
      <c r="C640" s="33">
        <v>1</v>
      </c>
      <c r="D640" s="37"/>
    </row>
    <row r="641" spans="1:4" ht="17.25" hidden="1" outlineLevel="2" x14ac:dyDescent="0.3">
      <c r="A641" s="36" t="s">
        <v>5031</v>
      </c>
      <c r="B641" s="33">
        <v>1</v>
      </c>
      <c r="C641" s="33">
        <v>1</v>
      </c>
      <c r="D641" s="37"/>
    </row>
    <row r="642" spans="1:4" ht="17.25" hidden="1" outlineLevel="2" x14ac:dyDescent="0.3">
      <c r="A642" s="36" t="s">
        <v>5032</v>
      </c>
      <c r="B642" s="33">
        <v>1</v>
      </c>
      <c r="C642" s="33">
        <v>1</v>
      </c>
      <c r="D642" s="37"/>
    </row>
    <row r="643" spans="1:4" ht="17.25" hidden="1" outlineLevel="2" x14ac:dyDescent="0.3">
      <c r="A643" s="36" t="s">
        <v>5033</v>
      </c>
      <c r="B643" s="33">
        <v>1</v>
      </c>
      <c r="C643" s="33">
        <v>1</v>
      </c>
      <c r="D643" s="37"/>
    </row>
    <row r="644" spans="1:4" ht="17.25" hidden="1" outlineLevel="2" x14ac:dyDescent="0.3">
      <c r="A644" s="36" t="s">
        <v>5034</v>
      </c>
      <c r="B644" s="33">
        <v>1</v>
      </c>
      <c r="C644" s="33">
        <v>1</v>
      </c>
      <c r="D644" s="37"/>
    </row>
    <row r="645" spans="1:4" ht="17.25" hidden="1" outlineLevel="2" x14ac:dyDescent="0.3">
      <c r="A645" s="36" t="s">
        <v>5035</v>
      </c>
      <c r="B645" s="33">
        <v>1</v>
      </c>
      <c r="C645" s="33">
        <v>1</v>
      </c>
      <c r="D645" s="37"/>
    </row>
    <row r="646" spans="1:4" ht="17.25" hidden="1" outlineLevel="2" x14ac:dyDescent="0.3">
      <c r="A646" s="36" t="s">
        <v>5036</v>
      </c>
      <c r="B646" s="33">
        <v>1</v>
      </c>
      <c r="C646" s="33">
        <v>1</v>
      </c>
      <c r="D646" s="37"/>
    </row>
    <row r="647" spans="1:4" ht="17.25" hidden="1" outlineLevel="2" x14ac:dyDescent="0.3">
      <c r="A647" s="36" t="s">
        <v>5037</v>
      </c>
      <c r="B647" s="33">
        <v>1</v>
      </c>
      <c r="C647" s="33">
        <v>1</v>
      </c>
      <c r="D647" s="37"/>
    </row>
    <row r="648" spans="1:4" ht="17.25" hidden="1" outlineLevel="2" x14ac:dyDescent="0.3">
      <c r="A648" s="36" t="s">
        <v>5038</v>
      </c>
      <c r="B648" s="33">
        <v>1</v>
      </c>
      <c r="C648" s="33">
        <v>1</v>
      </c>
      <c r="D648" s="37"/>
    </row>
    <row r="649" spans="1:4" ht="17.25" hidden="1" outlineLevel="2" x14ac:dyDescent="0.3">
      <c r="A649" s="36" t="s">
        <v>5039</v>
      </c>
      <c r="B649" s="33">
        <v>1</v>
      </c>
      <c r="C649" s="33">
        <v>1</v>
      </c>
      <c r="D649" s="37"/>
    </row>
    <row r="650" spans="1:4" ht="17.25" hidden="1" outlineLevel="2" x14ac:dyDescent="0.3">
      <c r="A650" s="36" t="s">
        <v>5040</v>
      </c>
      <c r="B650" s="33">
        <v>1</v>
      </c>
      <c r="C650" s="33">
        <v>1</v>
      </c>
      <c r="D650" s="37"/>
    </row>
    <row r="651" spans="1:4" ht="17.25" hidden="1" outlineLevel="2" x14ac:dyDescent="0.3">
      <c r="A651" s="36" t="s">
        <v>5041</v>
      </c>
      <c r="B651" s="33">
        <v>1</v>
      </c>
      <c r="C651" s="33">
        <v>1</v>
      </c>
      <c r="D651" s="37"/>
    </row>
    <row r="652" spans="1:4" ht="17.25" hidden="1" outlineLevel="2" x14ac:dyDescent="0.3">
      <c r="A652" s="36" t="s">
        <v>5042</v>
      </c>
      <c r="B652" s="33">
        <v>1</v>
      </c>
      <c r="C652" s="33">
        <v>1</v>
      </c>
      <c r="D652" s="37"/>
    </row>
    <row r="653" spans="1:4" ht="17.25" hidden="1" outlineLevel="2" x14ac:dyDescent="0.3">
      <c r="A653" s="36" t="s">
        <v>5043</v>
      </c>
      <c r="B653" s="33">
        <v>1</v>
      </c>
      <c r="C653" s="33">
        <v>1</v>
      </c>
      <c r="D653" s="37"/>
    </row>
    <row r="654" spans="1:4" ht="17.25" hidden="1" outlineLevel="2" x14ac:dyDescent="0.3">
      <c r="A654" s="36" t="s">
        <v>5044</v>
      </c>
      <c r="B654" s="33">
        <v>1</v>
      </c>
      <c r="C654" s="33">
        <v>1</v>
      </c>
      <c r="D654" s="37"/>
    </row>
    <row r="655" spans="1:4" ht="17.25" hidden="1" outlineLevel="2" x14ac:dyDescent="0.3">
      <c r="A655" s="36" t="s">
        <v>5045</v>
      </c>
      <c r="B655" s="33">
        <v>1</v>
      </c>
      <c r="C655" s="33">
        <v>1</v>
      </c>
      <c r="D655" s="37"/>
    </row>
    <row r="656" spans="1:4" ht="17.25" hidden="1" outlineLevel="2" x14ac:dyDescent="0.3">
      <c r="A656" s="36" t="s">
        <v>5046</v>
      </c>
      <c r="B656" s="33">
        <v>1</v>
      </c>
      <c r="C656" s="33">
        <v>1</v>
      </c>
      <c r="D656" s="37"/>
    </row>
    <row r="657" spans="1:4" ht="17.25" hidden="1" outlineLevel="2" x14ac:dyDescent="0.3">
      <c r="A657" s="36" t="s">
        <v>5047</v>
      </c>
      <c r="B657" s="33">
        <v>1</v>
      </c>
      <c r="C657" s="33">
        <v>1</v>
      </c>
      <c r="D657" s="37"/>
    </row>
    <row r="658" spans="1:4" ht="17.25" hidden="1" outlineLevel="2" x14ac:dyDescent="0.3">
      <c r="A658" s="36" t="s">
        <v>5048</v>
      </c>
      <c r="B658" s="33">
        <v>1</v>
      </c>
      <c r="C658" s="33">
        <v>1</v>
      </c>
      <c r="D658" s="37"/>
    </row>
    <row r="659" spans="1:4" ht="17.25" hidden="1" outlineLevel="2" x14ac:dyDescent="0.3">
      <c r="A659" s="36" t="s">
        <v>5049</v>
      </c>
      <c r="B659" s="33">
        <v>1</v>
      </c>
      <c r="C659" s="33">
        <v>1</v>
      </c>
      <c r="D659" s="37"/>
    </row>
    <row r="660" spans="1:4" ht="17.25" hidden="1" outlineLevel="2" x14ac:dyDescent="0.3">
      <c r="A660" s="36" t="s">
        <v>5050</v>
      </c>
      <c r="B660" s="33">
        <v>1</v>
      </c>
      <c r="C660" s="33">
        <v>1</v>
      </c>
      <c r="D660" s="37"/>
    </row>
    <row r="661" spans="1:4" ht="17.25" hidden="1" outlineLevel="2" x14ac:dyDescent="0.3">
      <c r="A661" s="36" t="s">
        <v>5051</v>
      </c>
      <c r="B661" s="33">
        <v>1</v>
      </c>
      <c r="C661" s="33">
        <v>1</v>
      </c>
      <c r="D661" s="37"/>
    </row>
    <row r="662" spans="1:4" ht="17.25" hidden="1" outlineLevel="2" x14ac:dyDescent="0.3">
      <c r="A662" s="36" t="s">
        <v>5052</v>
      </c>
      <c r="B662" s="33">
        <v>1</v>
      </c>
      <c r="C662" s="33">
        <v>1</v>
      </c>
      <c r="D662" s="37"/>
    </row>
    <row r="663" spans="1:4" ht="17.25" hidden="1" outlineLevel="2" x14ac:dyDescent="0.3">
      <c r="A663" s="36" t="s">
        <v>5053</v>
      </c>
      <c r="B663" s="33">
        <v>1</v>
      </c>
      <c r="C663" s="33">
        <v>1</v>
      </c>
      <c r="D663" s="37"/>
    </row>
    <row r="664" spans="1:4" ht="17.25" hidden="1" outlineLevel="2" x14ac:dyDescent="0.3">
      <c r="A664" s="36" t="s">
        <v>5054</v>
      </c>
      <c r="B664" s="33">
        <v>1</v>
      </c>
      <c r="C664" s="33">
        <v>1</v>
      </c>
      <c r="D664" s="37"/>
    </row>
    <row r="665" spans="1:4" ht="17.25" hidden="1" outlineLevel="2" x14ac:dyDescent="0.3">
      <c r="A665" s="36" t="s">
        <v>5055</v>
      </c>
      <c r="B665" s="33">
        <v>1</v>
      </c>
      <c r="C665" s="33">
        <v>1</v>
      </c>
      <c r="D665" s="37"/>
    </row>
    <row r="666" spans="1:4" ht="17.25" hidden="1" outlineLevel="2" x14ac:dyDescent="0.3">
      <c r="A666" s="36" t="s">
        <v>5056</v>
      </c>
      <c r="B666" s="33">
        <v>1</v>
      </c>
      <c r="C666" s="33">
        <v>1</v>
      </c>
      <c r="D666" s="37"/>
    </row>
    <row r="667" spans="1:4" ht="17.25" hidden="1" outlineLevel="2" x14ac:dyDescent="0.3">
      <c r="A667" s="36" t="s">
        <v>5057</v>
      </c>
      <c r="B667" s="33">
        <v>1</v>
      </c>
      <c r="C667" s="33">
        <v>1</v>
      </c>
      <c r="D667" s="37"/>
    </row>
    <row r="668" spans="1:4" ht="17.25" hidden="1" outlineLevel="2" x14ac:dyDescent="0.3">
      <c r="A668" s="36" t="s">
        <v>5058</v>
      </c>
      <c r="B668" s="33">
        <v>1</v>
      </c>
      <c r="C668" s="33">
        <v>1</v>
      </c>
      <c r="D668" s="37"/>
    </row>
    <row r="669" spans="1:4" ht="17.25" hidden="1" outlineLevel="2" x14ac:dyDescent="0.3">
      <c r="A669" s="36" t="s">
        <v>5059</v>
      </c>
      <c r="B669" s="33">
        <v>1</v>
      </c>
      <c r="C669" s="33">
        <v>1</v>
      </c>
      <c r="D669" s="37"/>
    </row>
    <row r="670" spans="1:4" ht="17.25" hidden="1" outlineLevel="2" x14ac:dyDescent="0.3">
      <c r="A670" s="36" t="s">
        <v>5060</v>
      </c>
      <c r="B670" s="33">
        <v>1</v>
      </c>
      <c r="C670" s="33">
        <v>1</v>
      </c>
      <c r="D670" s="37"/>
    </row>
    <row r="671" spans="1:4" ht="17.25" hidden="1" outlineLevel="2" x14ac:dyDescent="0.3">
      <c r="A671" s="36" t="s">
        <v>5061</v>
      </c>
      <c r="B671" s="33">
        <v>1</v>
      </c>
      <c r="C671" s="33">
        <v>1</v>
      </c>
      <c r="D671" s="37"/>
    </row>
    <row r="672" spans="1:4" ht="17.25" hidden="1" outlineLevel="2" x14ac:dyDescent="0.3">
      <c r="A672" s="36" t="s">
        <v>5062</v>
      </c>
      <c r="B672" s="33">
        <v>1</v>
      </c>
      <c r="C672" s="33">
        <v>1</v>
      </c>
      <c r="D672" s="37"/>
    </row>
    <row r="673" spans="1:4" ht="17.25" hidden="1" outlineLevel="2" x14ac:dyDescent="0.3">
      <c r="A673" s="36" t="s">
        <v>5063</v>
      </c>
      <c r="B673" s="33">
        <v>1</v>
      </c>
      <c r="C673" s="33">
        <v>1</v>
      </c>
      <c r="D673" s="37"/>
    </row>
    <row r="674" spans="1:4" ht="17.25" hidden="1" outlineLevel="2" x14ac:dyDescent="0.3">
      <c r="A674" s="36" t="s">
        <v>5064</v>
      </c>
      <c r="B674" s="33">
        <v>1</v>
      </c>
      <c r="C674" s="33">
        <v>1</v>
      </c>
      <c r="D674" s="37"/>
    </row>
    <row r="675" spans="1:4" ht="17.25" hidden="1" outlineLevel="2" x14ac:dyDescent="0.3">
      <c r="A675" s="36" t="s">
        <v>5065</v>
      </c>
      <c r="B675" s="33">
        <v>1</v>
      </c>
      <c r="C675" s="33">
        <v>1</v>
      </c>
      <c r="D675" s="37"/>
    </row>
    <row r="676" spans="1:4" ht="17.25" hidden="1" outlineLevel="2" x14ac:dyDescent="0.3">
      <c r="A676" s="36" t="s">
        <v>5066</v>
      </c>
      <c r="B676" s="33">
        <v>1</v>
      </c>
      <c r="C676" s="33">
        <v>1</v>
      </c>
      <c r="D676" s="37"/>
    </row>
    <row r="677" spans="1:4" ht="17.25" hidden="1" outlineLevel="2" x14ac:dyDescent="0.3">
      <c r="A677" s="36" t="s">
        <v>5067</v>
      </c>
      <c r="B677" s="33">
        <v>1</v>
      </c>
      <c r="C677" s="33">
        <v>1</v>
      </c>
      <c r="D677" s="37"/>
    </row>
    <row r="678" spans="1:4" ht="17.25" hidden="1" outlineLevel="2" x14ac:dyDescent="0.3">
      <c r="A678" s="36" t="s">
        <v>5068</v>
      </c>
      <c r="B678" s="33">
        <v>1</v>
      </c>
      <c r="C678" s="33">
        <v>1</v>
      </c>
      <c r="D678" s="37"/>
    </row>
    <row r="679" spans="1:4" ht="17.25" hidden="1" outlineLevel="2" x14ac:dyDescent="0.3">
      <c r="A679" s="36" t="s">
        <v>5069</v>
      </c>
      <c r="B679" s="33">
        <v>1</v>
      </c>
      <c r="C679" s="33">
        <v>1</v>
      </c>
      <c r="D679" s="37"/>
    </row>
    <row r="680" spans="1:4" ht="17.25" hidden="1" outlineLevel="2" x14ac:dyDescent="0.3">
      <c r="A680" s="36" t="s">
        <v>5070</v>
      </c>
      <c r="B680" s="33">
        <v>1</v>
      </c>
      <c r="C680" s="33">
        <v>1</v>
      </c>
      <c r="D680" s="37"/>
    </row>
    <row r="681" spans="1:4" ht="17.25" hidden="1" outlineLevel="2" x14ac:dyDescent="0.3">
      <c r="A681" s="36" t="s">
        <v>5071</v>
      </c>
      <c r="B681" s="33">
        <v>1</v>
      </c>
      <c r="C681" s="33">
        <v>1</v>
      </c>
      <c r="D681" s="37"/>
    </row>
    <row r="682" spans="1:4" ht="17.25" hidden="1" outlineLevel="2" x14ac:dyDescent="0.3">
      <c r="A682" s="36" t="s">
        <v>5072</v>
      </c>
      <c r="B682" s="33">
        <v>1</v>
      </c>
      <c r="C682" s="33">
        <v>1</v>
      </c>
      <c r="D682" s="37"/>
    </row>
    <row r="683" spans="1:4" ht="17.25" hidden="1" outlineLevel="2" x14ac:dyDescent="0.3">
      <c r="A683" s="36" t="s">
        <v>5073</v>
      </c>
      <c r="B683" s="33">
        <v>1</v>
      </c>
      <c r="C683" s="33">
        <v>1</v>
      </c>
      <c r="D683" s="37"/>
    </row>
    <row r="684" spans="1:4" ht="17.25" hidden="1" outlineLevel="2" x14ac:dyDescent="0.3">
      <c r="A684" s="36" t="s">
        <v>5074</v>
      </c>
      <c r="B684" s="33">
        <v>1</v>
      </c>
      <c r="C684" s="33">
        <v>1</v>
      </c>
      <c r="D684" s="37"/>
    </row>
    <row r="685" spans="1:4" ht="17.25" hidden="1" outlineLevel="2" x14ac:dyDescent="0.3">
      <c r="A685" s="36" t="s">
        <v>5075</v>
      </c>
      <c r="B685" s="33">
        <v>1</v>
      </c>
      <c r="C685" s="33">
        <v>1</v>
      </c>
      <c r="D685" s="37"/>
    </row>
    <row r="686" spans="1:4" ht="17.25" outlineLevel="1" collapsed="1" x14ac:dyDescent="0.3">
      <c r="A686" s="45" t="s">
        <v>5076</v>
      </c>
      <c r="B686" s="33">
        <f>SUM(B687:B690)</f>
        <v>4</v>
      </c>
      <c r="C686" s="33">
        <f>SUM(C687:C690)</f>
        <v>4</v>
      </c>
      <c r="D686" s="37"/>
    </row>
    <row r="687" spans="1:4" ht="17.25" hidden="1" outlineLevel="2" x14ac:dyDescent="0.3">
      <c r="A687" s="36" t="s">
        <v>5077</v>
      </c>
      <c r="B687" s="33">
        <v>1</v>
      </c>
      <c r="C687" s="33">
        <v>1</v>
      </c>
      <c r="D687" s="37"/>
    </row>
    <row r="688" spans="1:4" ht="17.25" hidden="1" outlineLevel="2" x14ac:dyDescent="0.3">
      <c r="A688" s="36" t="s">
        <v>5078</v>
      </c>
      <c r="B688" s="33">
        <v>1</v>
      </c>
      <c r="C688" s="33">
        <v>1</v>
      </c>
      <c r="D688" s="37"/>
    </row>
    <row r="689" spans="1:4" ht="17.25" hidden="1" outlineLevel="2" x14ac:dyDescent="0.3">
      <c r="A689" s="36" t="s">
        <v>5079</v>
      </c>
      <c r="B689" s="33">
        <v>1</v>
      </c>
      <c r="C689" s="33">
        <v>1</v>
      </c>
      <c r="D689" s="37"/>
    </row>
    <row r="690" spans="1:4" ht="17.25" hidden="1" outlineLevel="2" x14ac:dyDescent="0.3">
      <c r="A690" s="36" t="s">
        <v>5080</v>
      </c>
      <c r="B690" s="33">
        <v>1</v>
      </c>
      <c r="C690" s="33">
        <v>1</v>
      </c>
      <c r="D690" s="37"/>
    </row>
    <row r="691" spans="1:4" ht="17.25" outlineLevel="1" collapsed="1" x14ac:dyDescent="0.3">
      <c r="A691" s="45" t="s">
        <v>4604</v>
      </c>
      <c r="B691" s="33">
        <f>SUM(B692:B695)</f>
        <v>4</v>
      </c>
      <c r="C691" s="33">
        <f>SUM(C692:C695)</f>
        <v>4</v>
      </c>
      <c r="D691" s="37"/>
    </row>
    <row r="692" spans="1:4" ht="17.25" hidden="1" outlineLevel="2" x14ac:dyDescent="0.3">
      <c r="A692" s="36" t="s">
        <v>5081</v>
      </c>
      <c r="B692" s="33">
        <v>1</v>
      </c>
      <c r="C692" s="33">
        <v>1</v>
      </c>
      <c r="D692" s="37"/>
    </row>
    <row r="693" spans="1:4" ht="17.25" hidden="1" outlineLevel="2" x14ac:dyDescent="0.3">
      <c r="A693" s="36" t="s">
        <v>5082</v>
      </c>
      <c r="B693" s="33">
        <v>1</v>
      </c>
      <c r="C693" s="33">
        <v>1</v>
      </c>
      <c r="D693" s="37"/>
    </row>
    <row r="694" spans="1:4" ht="17.25" hidden="1" outlineLevel="2" x14ac:dyDescent="0.3">
      <c r="A694" s="36" t="s">
        <v>5083</v>
      </c>
      <c r="B694" s="33">
        <v>1</v>
      </c>
      <c r="C694" s="33">
        <v>1</v>
      </c>
      <c r="D694" s="37"/>
    </row>
    <row r="695" spans="1:4" ht="17.25" hidden="1" outlineLevel="2" x14ac:dyDescent="0.3">
      <c r="A695" s="36" t="s">
        <v>5084</v>
      </c>
      <c r="B695" s="33">
        <v>1</v>
      </c>
      <c r="C695" s="33">
        <v>1</v>
      </c>
      <c r="D695" s="37"/>
    </row>
    <row r="696" spans="1:4" ht="17.25" outlineLevel="1" collapsed="1" x14ac:dyDescent="0.3">
      <c r="A696" s="45" t="s">
        <v>5085</v>
      </c>
      <c r="B696" s="33">
        <f>SUM(B697:B700)</f>
        <v>4</v>
      </c>
      <c r="C696" s="33">
        <f>SUM(C697:C700)</f>
        <v>4</v>
      </c>
      <c r="D696" s="37"/>
    </row>
    <row r="697" spans="1:4" ht="17.25" hidden="1" outlineLevel="2" x14ac:dyDescent="0.3">
      <c r="A697" s="36" t="s">
        <v>5086</v>
      </c>
      <c r="B697" s="33">
        <v>1</v>
      </c>
      <c r="C697" s="33">
        <v>1</v>
      </c>
      <c r="D697" s="37"/>
    </row>
    <row r="698" spans="1:4" ht="17.25" hidden="1" outlineLevel="2" x14ac:dyDescent="0.3">
      <c r="A698" s="36" t="s">
        <v>5087</v>
      </c>
      <c r="B698" s="33">
        <v>1</v>
      </c>
      <c r="C698" s="33">
        <v>1</v>
      </c>
      <c r="D698" s="37"/>
    </row>
    <row r="699" spans="1:4" ht="17.25" hidden="1" outlineLevel="2" x14ac:dyDescent="0.3">
      <c r="A699" s="36" t="s">
        <v>5088</v>
      </c>
      <c r="B699" s="33">
        <v>1</v>
      </c>
      <c r="C699" s="33">
        <v>1</v>
      </c>
      <c r="D699" s="37"/>
    </row>
    <row r="700" spans="1:4" ht="17.25" hidden="1" outlineLevel="2" x14ac:dyDescent="0.3">
      <c r="A700" s="36" t="s">
        <v>5089</v>
      </c>
      <c r="B700" s="33">
        <v>1</v>
      </c>
      <c r="C700" s="33">
        <v>1</v>
      </c>
      <c r="D700" s="37"/>
    </row>
    <row r="701" spans="1:4" ht="17.25" outlineLevel="1" collapsed="1" x14ac:dyDescent="0.3">
      <c r="A701" s="45" t="s">
        <v>5090</v>
      </c>
      <c r="B701" s="33">
        <f>SUM(B702:B705)</f>
        <v>4</v>
      </c>
      <c r="C701" s="33">
        <f>SUM(C702:C705)</f>
        <v>4</v>
      </c>
      <c r="D701" s="37"/>
    </row>
    <row r="702" spans="1:4" ht="17.25" hidden="1" outlineLevel="2" x14ac:dyDescent="0.3">
      <c r="A702" s="36" t="s">
        <v>5091</v>
      </c>
      <c r="B702" s="33">
        <v>1</v>
      </c>
      <c r="C702" s="33">
        <v>1</v>
      </c>
      <c r="D702" s="37"/>
    </row>
    <row r="703" spans="1:4" ht="17.25" hidden="1" outlineLevel="2" x14ac:dyDescent="0.3">
      <c r="A703" s="36" t="s">
        <v>5092</v>
      </c>
      <c r="B703" s="33">
        <v>1</v>
      </c>
      <c r="C703" s="33">
        <v>1</v>
      </c>
      <c r="D703" s="37"/>
    </row>
    <row r="704" spans="1:4" ht="17.25" hidden="1" outlineLevel="2" x14ac:dyDescent="0.3">
      <c r="A704" s="36" t="s">
        <v>5093</v>
      </c>
      <c r="B704" s="33">
        <v>1</v>
      </c>
      <c r="C704" s="33">
        <v>1</v>
      </c>
      <c r="D704" s="37"/>
    </row>
    <row r="705" spans="1:4" ht="17.25" hidden="1" outlineLevel="2" x14ac:dyDescent="0.3">
      <c r="A705" s="36" t="s">
        <v>5094</v>
      </c>
      <c r="B705" s="33">
        <v>1</v>
      </c>
      <c r="C705" s="33">
        <v>1</v>
      </c>
      <c r="D705" s="37"/>
    </row>
    <row r="706" spans="1:4" ht="17.25" outlineLevel="1" collapsed="1" x14ac:dyDescent="0.3">
      <c r="A706" s="45" t="s">
        <v>5095</v>
      </c>
      <c r="B706" s="33">
        <f>SUM(B707:B710)</f>
        <v>4</v>
      </c>
      <c r="C706" s="33">
        <f>SUM(C707:C710)</f>
        <v>4</v>
      </c>
      <c r="D706" s="37"/>
    </row>
    <row r="707" spans="1:4" ht="17.25" hidden="1" outlineLevel="2" x14ac:dyDescent="0.3">
      <c r="A707" s="36" t="s">
        <v>5096</v>
      </c>
      <c r="B707" s="33">
        <v>1</v>
      </c>
      <c r="C707" s="33">
        <v>1</v>
      </c>
      <c r="D707" s="37"/>
    </row>
    <row r="708" spans="1:4" ht="17.25" hidden="1" outlineLevel="2" x14ac:dyDescent="0.3">
      <c r="A708" s="36" t="s">
        <v>5097</v>
      </c>
      <c r="B708" s="33">
        <v>1</v>
      </c>
      <c r="C708" s="33">
        <v>1</v>
      </c>
      <c r="D708" s="37"/>
    </row>
    <row r="709" spans="1:4" ht="17.25" hidden="1" outlineLevel="2" x14ac:dyDescent="0.3">
      <c r="A709" s="36" t="s">
        <v>5098</v>
      </c>
      <c r="B709" s="33">
        <v>1</v>
      </c>
      <c r="C709" s="33">
        <v>1</v>
      </c>
      <c r="D709" s="37"/>
    </row>
    <row r="710" spans="1:4" ht="17.25" hidden="1" outlineLevel="2" x14ac:dyDescent="0.3">
      <c r="A710" s="36" t="s">
        <v>5099</v>
      </c>
      <c r="B710" s="33">
        <v>1</v>
      </c>
      <c r="C710" s="33">
        <v>1</v>
      </c>
      <c r="D710" s="37"/>
    </row>
    <row r="711" spans="1:4" ht="17.25" outlineLevel="1" collapsed="1" x14ac:dyDescent="0.3">
      <c r="A711" s="45" t="s">
        <v>5100</v>
      </c>
      <c r="B711" s="33">
        <f>SUM(B712:B715)</f>
        <v>4</v>
      </c>
      <c r="C711" s="33">
        <f>SUM(C712:C715)</f>
        <v>4</v>
      </c>
      <c r="D711" s="37"/>
    </row>
    <row r="712" spans="1:4" ht="17.25" hidden="1" outlineLevel="2" x14ac:dyDescent="0.3">
      <c r="A712" s="36" t="s">
        <v>5101</v>
      </c>
      <c r="B712" s="33">
        <v>1</v>
      </c>
      <c r="C712" s="33">
        <v>1</v>
      </c>
      <c r="D712" s="37"/>
    </row>
    <row r="713" spans="1:4" ht="17.25" hidden="1" outlineLevel="2" x14ac:dyDescent="0.3">
      <c r="A713" s="36" t="s">
        <v>5102</v>
      </c>
      <c r="B713" s="33">
        <v>1</v>
      </c>
      <c r="C713" s="33">
        <v>1</v>
      </c>
      <c r="D713" s="37"/>
    </row>
    <row r="714" spans="1:4" ht="17.25" hidden="1" outlineLevel="2" x14ac:dyDescent="0.3">
      <c r="A714" s="36" t="s">
        <v>5103</v>
      </c>
      <c r="B714" s="33">
        <v>1</v>
      </c>
      <c r="C714" s="33">
        <v>1</v>
      </c>
      <c r="D714" s="37"/>
    </row>
    <row r="715" spans="1:4" ht="17.25" hidden="1" outlineLevel="2" x14ac:dyDescent="0.3">
      <c r="A715" s="36" t="s">
        <v>5104</v>
      </c>
      <c r="B715" s="33">
        <v>1</v>
      </c>
      <c r="C715" s="33">
        <v>1</v>
      </c>
      <c r="D715" s="37"/>
    </row>
    <row r="716" spans="1:4" ht="17.25" outlineLevel="1" collapsed="1" x14ac:dyDescent="0.3">
      <c r="A716" s="45" t="s">
        <v>5105</v>
      </c>
      <c r="B716" s="33">
        <f>SUM(B717:B719)</f>
        <v>3</v>
      </c>
      <c r="C716" s="33">
        <f>SUM(C717:C719)</f>
        <v>3</v>
      </c>
      <c r="D716" s="37"/>
    </row>
    <row r="717" spans="1:4" ht="17.25" hidden="1" outlineLevel="2" x14ac:dyDescent="0.3">
      <c r="A717" s="36" t="s">
        <v>5106</v>
      </c>
      <c r="B717" s="33">
        <v>1</v>
      </c>
      <c r="C717" s="33">
        <v>1</v>
      </c>
      <c r="D717" s="37"/>
    </row>
    <row r="718" spans="1:4" ht="17.25" hidden="1" outlineLevel="2" x14ac:dyDescent="0.3">
      <c r="A718" s="36" t="s">
        <v>5107</v>
      </c>
      <c r="B718" s="33">
        <v>1</v>
      </c>
      <c r="C718" s="33">
        <v>1</v>
      </c>
      <c r="D718" s="37"/>
    </row>
    <row r="719" spans="1:4" ht="17.25" hidden="1" outlineLevel="2" x14ac:dyDescent="0.3">
      <c r="A719" s="36" t="s">
        <v>5108</v>
      </c>
      <c r="B719" s="33">
        <v>1</v>
      </c>
      <c r="C719" s="33">
        <v>1</v>
      </c>
      <c r="D719" s="37"/>
    </row>
    <row r="720" spans="1:4" ht="17.25" outlineLevel="1" collapsed="1" x14ac:dyDescent="0.3">
      <c r="A720" s="45" t="s">
        <v>4606</v>
      </c>
      <c r="B720" s="33">
        <f>SUM(B721:B724)</f>
        <v>4</v>
      </c>
      <c r="C720" s="33">
        <f>SUM(C721:C724)</f>
        <v>4</v>
      </c>
      <c r="D720" s="37"/>
    </row>
    <row r="721" spans="1:4" ht="17.25" hidden="1" outlineLevel="2" x14ac:dyDescent="0.3">
      <c r="A721" s="36" t="s">
        <v>5109</v>
      </c>
      <c r="B721" s="33">
        <v>1</v>
      </c>
      <c r="C721" s="33">
        <v>1</v>
      </c>
      <c r="D721" s="37"/>
    </row>
    <row r="722" spans="1:4" ht="17.25" hidden="1" outlineLevel="2" x14ac:dyDescent="0.3">
      <c r="A722" s="36" t="s">
        <v>5110</v>
      </c>
      <c r="B722" s="33">
        <v>1</v>
      </c>
      <c r="C722" s="33">
        <v>1</v>
      </c>
      <c r="D722" s="37"/>
    </row>
    <row r="723" spans="1:4" ht="17.25" hidden="1" outlineLevel="2" x14ac:dyDescent="0.3">
      <c r="A723" s="36" t="s">
        <v>5111</v>
      </c>
      <c r="B723" s="33">
        <v>1</v>
      </c>
      <c r="C723" s="33">
        <v>1</v>
      </c>
      <c r="D723" s="37"/>
    </row>
    <row r="724" spans="1:4" ht="17.25" hidden="1" outlineLevel="2" x14ac:dyDescent="0.3">
      <c r="A724" s="36" t="s">
        <v>5112</v>
      </c>
      <c r="B724" s="33">
        <v>1</v>
      </c>
      <c r="C724" s="33">
        <v>1</v>
      </c>
      <c r="D724" s="37"/>
    </row>
    <row r="725" spans="1:4" ht="17.25" outlineLevel="1" collapsed="1" x14ac:dyDescent="0.3">
      <c r="A725" s="45" t="s">
        <v>5113</v>
      </c>
      <c r="B725" s="33">
        <f>SUM(B726:B729)</f>
        <v>4</v>
      </c>
      <c r="C725" s="33">
        <f>SUM(C726:C729)</f>
        <v>4</v>
      </c>
      <c r="D725" s="37"/>
    </row>
    <row r="726" spans="1:4" ht="17.25" hidden="1" outlineLevel="2" x14ac:dyDescent="0.3">
      <c r="A726" s="36" t="s">
        <v>5114</v>
      </c>
      <c r="B726" s="33">
        <v>1</v>
      </c>
      <c r="C726" s="33">
        <v>1</v>
      </c>
      <c r="D726" s="37"/>
    </row>
    <row r="727" spans="1:4" ht="17.25" hidden="1" outlineLevel="2" x14ac:dyDescent="0.3">
      <c r="A727" s="36" t="s">
        <v>5115</v>
      </c>
      <c r="B727" s="33">
        <v>1</v>
      </c>
      <c r="C727" s="33">
        <v>1</v>
      </c>
      <c r="D727" s="37"/>
    </row>
    <row r="728" spans="1:4" ht="17.25" hidden="1" outlineLevel="2" x14ac:dyDescent="0.3">
      <c r="A728" s="36" t="s">
        <v>5116</v>
      </c>
      <c r="B728" s="33">
        <v>1</v>
      </c>
      <c r="C728" s="33">
        <v>1</v>
      </c>
      <c r="D728" s="37"/>
    </row>
    <row r="729" spans="1:4" ht="17.25" hidden="1" outlineLevel="2" x14ac:dyDescent="0.3">
      <c r="A729" s="36" t="s">
        <v>5117</v>
      </c>
      <c r="B729" s="33">
        <v>1</v>
      </c>
      <c r="C729" s="33">
        <v>1</v>
      </c>
      <c r="D729" s="37"/>
    </row>
    <row r="730" spans="1:4" ht="17.25" outlineLevel="1" collapsed="1" x14ac:dyDescent="0.3">
      <c r="A730" s="45" t="s">
        <v>5118</v>
      </c>
      <c r="B730" s="33">
        <f>SUM(B731:B734)</f>
        <v>4</v>
      </c>
      <c r="C730" s="33">
        <f>SUM(C731:C734)</f>
        <v>4</v>
      </c>
      <c r="D730" s="37"/>
    </row>
    <row r="731" spans="1:4" ht="17.25" hidden="1" outlineLevel="2" x14ac:dyDescent="0.3">
      <c r="A731" s="36" t="s">
        <v>5119</v>
      </c>
      <c r="B731" s="33">
        <v>1</v>
      </c>
      <c r="C731" s="33">
        <v>1</v>
      </c>
      <c r="D731" s="37"/>
    </row>
    <row r="732" spans="1:4" ht="17.25" hidden="1" outlineLevel="2" x14ac:dyDescent="0.3">
      <c r="A732" s="36" t="s">
        <v>5120</v>
      </c>
      <c r="B732" s="33">
        <v>1</v>
      </c>
      <c r="C732" s="33">
        <v>1</v>
      </c>
      <c r="D732" s="37"/>
    </row>
    <row r="733" spans="1:4" ht="17.25" hidden="1" outlineLevel="2" x14ac:dyDescent="0.3">
      <c r="A733" s="36" t="s">
        <v>5121</v>
      </c>
      <c r="B733" s="33">
        <v>1</v>
      </c>
      <c r="C733" s="33">
        <v>1</v>
      </c>
      <c r="D733" s="37"/>
    </row>
    <row r="734" spans="1:4" ht="17.25" hidden="1" outlineLevel="2" x14ac:dyDescent="0.3">
      <c r="A734" s="36" t="s">
        <v>5122</v>
      </c>
      <c r="B734" s="33">
        <v>1</v>
      </c>
      <c r="C734" s="33">
        <v>1</v>
      </c>
      <c r="D734" s="37"/>
    </row>
    <row r="735" spans="1:4" ht="17.25" outlineLevel="1" collapsed="1" x14ac:dyDescent="0.3">
      <c r="A735" s="45" t="s">
        <v>5123</v>
      </c>
      <c r="B735" s="33">
        <f>SUM(B736:B739)</f>
        <v>4</v>
      </c>
      <c r="C735" s="33">
        <f>SUM(C736:C739)</f>
        <v>4</v>
      </c>
      <c r="D735" s="37"/>
    </row>
    <row r="736" spans="1:4" ht="17.25" hidden="1" outlineLevel="2" x14ac:dyDescent="0.3">
      <c r="A736" s="36" t="s">
        <v>5124</v>
      </c>
      <c r="B736" s="33">
        <v>1</v>
      </c>
      <c r="C736" s="33">
        <v>1</v>
      </c>
      <c r="D736" s="37"/>
    </row>
    <row r="737" spans="1:4" ht="17.25" hidden="1" outlineLevel="2" x14ac:dyDescent="0.3">
      <c r="A737" s="36" t="s">
        <v>5125</v>
      </c>
      <c r="B737" s="33">
        <v>1</v>
      </c>
      <c r="C737" s="33">
        <v>1</v>
      </c>
      <c r="D737" s="37"/>
    </row>
    <row r="738" spans="1:4" ht="17.25" hidden="1" outlineLevel="2" x14ac:dyDescent="0.3">
      <c r="A738" s="36" t="s">
        <v>5126</v>
      </c>
      <c r="B738" s="33">
        <v>1</v>
      </c>
      <c r="C738" s="33">
        <v>1</v>
      </c>
      <c r="D738" s="37"/>
    </row>
    <row r="739" spans="1:4" ht="17.25" hidden="1" outlineLevel="2" x14ac:dyDescent="0.3">
      <c r="A739" s="36" t="s">
        <v>5127</v>
      </c>
      <c r="B739" s="33">
        <v>1</v>
      </c>
      <c r="C739" s="33">
        <v>1</v>
      </c>
      <c r="D739" s="37"/>
    </row>
    <row r="740" spans="1:4" ht="17.25" outlineLevel="1" collapsed="1" x14ac:dyDescent="0.3">
      <c r="A740" s="45" t="s">
        <v>5128</v>
      </c>
      <c r="B740" s="33">
        <f>SUM(B741:B742)</f>
        <v>2</v>
      </c>
      <c r="C740" s="33">
        <f>SUM(C741:C742)</f>
        <v>2</v>
      </c>
      <c r="D740" s="37"/>
    </row>
    <row r="741" spans="1:4" ht="17.25" hidden="1" outlineLevel="2" x14ac:dyDescent="0.3">
      <c r="A741" s="36" t="s">
        <v>5126</v>
      </c>
      <c r="B741" s="33">
        <v>1</v>
      </c>
      <c r="C741" s="33">
        <v>1</v>
      </c>
      <c r="D741" s="37"/>
    </row>
    <row r="742" spans="1:4" ht="17.25" hidden="1" outlineLevel="2" x14ac:dyDescent="0.3">
      <c r="A742" s="36" t="s">
        <v>5129</v>
      </c>
      <c r="B742" s="33">
        <v>1</v>
      </c>
      <c r="C742" s="33">
        <v>1</v>
      </c>
      <c r="D742" s="37"/>
    </row>
    <row r="743" spans="1:4" ht="17.25" outlineLevel="1" collapsed="1" x14ac:dyDescent="0.3">
      <c r="A743" s="45" t="s">
        <v>5130</v>
      </c>
      <c r="B743" s="33">
        <f>SUM(B744:B745)</f>
        <v>2</v>
      </c>
      <c r="C743" s="33">
        <f>SUM(C744:C745)</f>
        <v>2</v>
      </c>
      <c r="D743" s="37"/>
    </row>
    <row r="744" spans="1:4" ht="17.25" hidden="1" outlineLevel="2" x14ac:dyDescent="0.3">
      <c r="A744" s="36" t="s">
        <v>5131</v>
      </c>
      <c r="B744" s="33">
        <v>1</v>
      </c>
      <c r="C744" s="33">
        <v>1</v>
      </c>
      <c r="D744" s="37"/>
    </row>
    <row r="745" spans="1:4" ht="17.25" hidden="1" outlineLevel="2" x14ac:dyDescent="0.3">
      <c r="A745" s="36" t="s">
        <v>5132</v>
      </c>
      <c r="B745" s="33">
        <v>1</v>
      </c>
      <c r="C745" s="33">
        <v>1</v>
      </c>
      <c r="D745" s="37"/>
    </row>
    <row r="746" spans="1:4" ht="17.25" outlineLevel="1" collapsed="1" x14ac:dyDescent="0.3">
      <c r="A746" s="45" t="s">
        <v>5133</v>
      </c>
      <c r="B746" s="33">
        <f>SUM(B747:B750)</f>
        <v>4</v>
      </c>
      <c r="C746" s="33">
        <f>SUM(C747:C750)</f>
        <v>4</v>
      </c>
      <c r="D746" s="37"/>
    </row>
    <row r="747" spans="1:4" ht="17.25" hidden="1" outlineLevel="2" x14ac:dyDescent="0.3">
      <c r="A747" s="36" t="s">
        <v>5134</v>
      </c>
      <c r="B747" s="33">
        <v>1</v>
      </c>
      <c r="C747" s="33">
        <v>1</v>
      </c>
      <c r="D747" s="37"/>
    </row>
    <row r="748" spans="1:4" ht="17.25" hidden="1" outlineLevel="2" x14ac:dyDescent="0.3">
      <c r="A748" s="36" t="s">
        <v>5135</v>
      </c>
      <c r="B748" s="33">
        <v>1</v>
      </c>
      <c r="C748" s="33">
        <v>1</v>
      </c>
      <c r="D748" s="37"/>
    </row>
    <row r="749" spans="1:4" ht="17.25" hidden="1" outlineLevel="2" x14ac:dyDescent="0.3">
      <c r="A749" s="36" t="s">
        <v>5136</v>
      </c>
      <c r="B749" s="33">
        <v>1</v>
      </c>
      <c r="C749" s="33">
        <v>1</v>
      </c>
      <c r="D749" s="37"/>
    </row>
    <row r="750" spans="1:4" ht="17.25" hidden="1" outlineLevel="2" x14ac:dyDescent="0.3">
      <c r="A750" s="36" t="s">
        <v>5137</v>
      </c>
      <c r="B750" s="33">
        <v>1</v>
      </c>
      <c r="C750" s="33">
        <v>1</v>
      </c>
      <c r="D750" s="37"/>
    </row>
    <row r="751" spans="1:4" ht="17.25" outlineLevel="1" collapsed="1" x14ac:dyDescent="0.3">
      <c r="A751" s="45" t="s">
        <v>5138</v>
      </c>
      <c r="B751" s="33">
        <f>SUM(B752:B755)</f>
        <v>4</v>
      </c>
      <c r="C751" s="33">
        <f>SUM(C752:C755)</f>
        <v>4</v>
      </c>
      <c r="D751" s="37"/>
    </row>
    <row r="752" spans="1:4" ht="17.25" hidden="1" outlineLevel="2" x14ac:dyDescent="0.3">
      <c r="A752" s="36" t="s">
        <v>5139</v>
      </c>
      <c r="B752" s="33">
        <v>1</v>
      </c>
      <c r="C752" s="33">
        <v>1</v>
      </c>
      <c r="D752" s="37"/>
    </row>
    <row r="753" spans="1:4" ht="17.25" hidden="1" outlineLevel="2" x14ac:dyDescent="0.3">
      <c r="A753" s="36" t="s">
        <v>5140</v>
      </c>
      <c r="B753" s="33">
        <v>1</v>
      </c>
      <c r="C753" s="33">
        <v>1</v>
      </c>
      <c r="D753" s="37"/>
    </row>
    <row r="754" spans="1:4" ht="17.25" hidden="1" outlineLevel="2" x14ac:dyDescent="0.3">
      <c r="A754" s="36" t="s">
        <v>5141</v>
      </c>
      <c r="B754" s="33">
        <v>1</v>
      </c>
      <c r="C754" s="33">
        <v>1</v>
      </c>
      <c r="D754" s="37"/>
    </row>
    <row r="755" spans="1:4" ht="17.25" hidden="1" outlineLevel="2" x14ac:dyDescent="0.3">
      <c r="A755" s="36" t="s">
        <v>5142</v>
      </c>
      <c r="B755" s="33">
        <v>1</v>
      </c>
      <c r="C755" s="33">
        <v>1</v>
      </c>
      <c r="D755" s="37"/>
    </row>
    <row r="756" spans="1:4" ht="17.25" collapsed="1" x14ac:dyDescent="0.3">
      <c r="A756" s="44" t="s">
        <v>135</v>
      </c>
      <c r="B756" s="26">
        <f>B757+B768</f>
        <v>25</v>
      </c>
      <c r="C756" s="26">
        <f>C757+C768</f>
        <v>25</v>
      </c>
      <c r="D756" s="37"/>
    </row>
    <row r="757" spans="1:4" ht="17.25" hidden="1" outlineLevel="1" collapsed="1" x14ac:dyDescent="0.3">
      <c r="A757" s="45" t="s">
        <v>1231</v>
      </c>
      <c r="B757" s="33">
        <f>SUM(B758:B767)</f>
        <v>10</v>
      </c>
      <c r="C757" s="33">
        <f>SUM(C758:C767)</f>
        <v>10</v>
      </c>
      <c r="D757" s="37"/>
    </row>
    <row r="758" spans="1:4" ht="17.25" hidden="1" outlineLevel="2" x14ac:dyDescent="0.3">
      <c r="A758" s="36" t="s">
        <v>5143</v>
      </c>
      <c r="B758" s="33">
        <v>1</v>
      </c>
      <c r="C758" s="33">
        <v>1</v>
      </c>
      <c r="D758" s="37"/>
    </row>
    <row r="759" spans="1:4" ht="17.25" hidden="1" outlineLevel="2" x14ac:dyDescent="0.3">
      <c r="A759" s="36" t="s">
        <v>5144</v>
      </c>
      <c r="B759" s="33">
        <v>1</v>
      </c>
      <c r="C759" s="33">
        <v>1</v>
      </c>
      <c r="D759" s="37"/>
    </row>
    <row r="760" spans="1:4" ht="17.25" hidden="1" outlineLevel="2" x14ac:dyDescent="0.3">
      <c r="A760" s="36" t="s">
        <v>5145</v>
      </c>
      <c r="B760" s="33">
        <v>1</v>
      </c>
      <c r="C760" s="33">
        <v>1</v>
      </c>
      <c r="D760" s="37"/>
    </row>
    <row r="761" spans="1:4" ht="17.25" hidden="1" outlineLevel="2" x14ac:dyDescent="0.3">
      <c r="A761" s="36" t="s">
        <v>5146</v>
      </c>
      <c r="B761" s="33">
        <v>1</v>
      </c>
      <c r="C761" s="33">
        <v>1</v>
      </c>
      <c r="D761" s="37"/>
    </row>
    <row r="762" spans="1:4" ht="17.25" hidden="1" outlineLevel="2" x14ac:dyDescent="0.3">
      <c r="A762" s="36" t="s">
        <v>5147</v>
      </c>
      <c r="B762" s="33">
        <v>1</v>
      </c>
      <c r="C762" s="33">
        <v>1</v>
      </c>
      <c r="D762" s="37"/>
    </row>
    <row r="763" spans="1:4" ht="17.25" hidden="1" outlineLevel="2" x14ac:dyDescent="0.3">
      <c r="A763" s="36" t="s">
        <v>1232</v>
      </c>
      <c r="B763" s="33">
        <v>1</v>
      </c>
      <c r="C763" s="33">
        <v>1</v>
      </c>
      <c r="D763" s="37"/>
    </row>
    <row r="764" spans="1:4" ht="17.25" hidden="1" outlineLevel="2" x14ac:dyDescent="0.3">
      <c r="A764" s="36" t="s">
        <v>5148</v>
      </c>
      <c r="B764" s="33">
        <v>1</v>
      </c>
      <c r="C764" s="33">
        <v>1</v>
      </c>
      <c r="D764" s="37"/>
    </row>
    <row r="765" spans="1:4" ht="17.25" hidden="1" outlineLevel="2" x14ac:dyDescent="0.3">
      <c r="A765" s="36" t="s">
        <v>5149</v>
      </c>
      <c r="B765" s="33">
        <v>1</v>
      </c>
      <c r="C765" s="33">
        <v>1</v>
      </c>
      <c r="D765" s="37"/>
    </row>
    <row r="766" spans="1:4" ht="17.25" hidden="1" outlineLevel="2" x14ac:dyDescent="0.3">
      <c r="A766" s="36" t="s">
        <v>5150</v>
      </c>
      <c r="B766" s="33">
        <v>1</v>
      </c>
      <c r="C766" s="33">
        <v>1</v>
      </c>
      <c r="D766" s="37"/>
    </row>
    <row r="767" spans="1:4" ht="17.25" hidden="1" outlineLevel="2" x14ac:dyDescent="0.3">
      <c r="A767" s="36" t="s">
        <v>5151</v>
      </c>
      <c r="B767" s="33">
        <v>1</v>
      </c>
      <c r="C767" s="33">
        <v>1</v>
      </c>
      <c r="D767" s="37"/>
    </row>
    <row r="768" spans="1:4" ht="17.25" hidden="1" outlineLevel="1" collapsed="1" x14ac:dyDescent="0.3">
      <c r="A768" s="45" t="s">
        <v>136</v>
      </c>
      <c r="B768" s="33">
        <f>SUM(B769:B783)</f>
        <v>15</v>
      </c>
      <c r="C768" s="33">
        <f>SUM(C769:C783)</f>
        <v>15</v>
      </c>
      <c r="D768" s="37"/>
    </row>
    <row r="769" spans="1:4" ht="17.25" hidden="1" outlineLevel="2" x14ac:dyDescent="0.3">
      <c r="A769" s="36" t="s">
        <v>5152</v>
      </c>
      <c r="B769" s="33">
        <v>1</v>
      </c>
      <c r="C769" s="33">
        <v>1</v>
      </c>
      <c r="D769" s="37"/>
    </row>
    <row r="770" spans="1:4" ht="17.25" hidden="1" outlineLevel="2" x14ac:dyDescent="0.3">
      <c r="A770" s="36" t="s">
        <v>5153</v>
      </c>
      <c r="B770" s="33">
        <v>1</v>
      </c>
      <c r="C770" s="33">
        <v>1</v>
      </c>
      <c r="D770" s="37"/>
    </row>
    <row r="771" spans="1:4" ht="17.25" hidden="1" outlineLevel="2" x14ac:dyDescent="0.3">
      <c r="A771" s="36" t="s">
        <v>5154</v>
      </c>
      <c r="B771" s="33">
        <v>1</v>
      </c>
      <c r="C771" s="33">
        <v>1</v>
      </c>
      <c r="D771" s="37"/>
    </row>
    <row r="772" spans="1:4" ht="17.25" hidden="1" outlineLevel="2" x14ac:dyDescent="0.3">
      <c r="A772" s="36" t="s">
        <v>5155</v>
      </c>
      <c r="B772" s="33">
        <v>1</v>
      </c>
      <c r="C772" s="33">
        <v>1</v>
      </c>
      <c r="D772" s="37"/>
    </row>
    <row r="773" spans="1:4" ht="17.25" hidden="1" outlineLevel="2" x14ac:dyDescent="0.3">
      <c r="A773" s="36" t="s">
        <v>5156</v>
      </c>
      <c r="B773" s="33">
        <v>1</v>
      </c>
      <c r="C773" s="33">
        <v>1</v>
      </c>
      <c r="D773" s="37"/>
    </row>
    <row r="774" spans="1:4" ht="17.25" hidden="1" outlineLevel="2" x14ac:dyDescent="0.3">
      <c r="A774" s="36" t="s">
        <v>1229</v>
      </c>
      <c r="B774" s="33">
        <v>1</v>
      </c>
      <c r="C774" s="33">
        <v>1</v>
      </c>
      <c r="D774" s="37"/>
    </row>
    <row r="775" spans="1:4" ht="17.25" hidden="1" outlineLevel="2" x14ac:dyDescent="0.3">
      <c r="A775" s="36" t="s">
        <v>1230</v>
      </c>
      <c r="B775" s="33">
        <v>1</v>
      </c>
      <c r="C775" s="33">
        <v>1</v>
      </c>
      <c r="D775" s="37"/>
    </row>
    <row r="776" spans="1:4" ht="17.25" hidden="1" outlineLevel="2" x14ac:dyDescent="0.3">
      <c r="A776" s="36" t="s">
        <v>405</v>
      </c>
      <c r="B776" s="33">
        <v>1</v>
      </c>
      <c r="C776" s="33">
        <v>1</v>
      </c>
      <c r="D776" s="37"/>
    </row>
    <row r="777" spans="1:4" ht="17.25" hidden="1" outlineLevel="2" x14ac:dyDescent="0.3">
      <c r="A777" s="36" t="s">
        <v>5157</v>
      </c>
      <c r="B777" s="33">
        <v>1</v>
      </c>
      <c r="C777" s="33">
        <v>1</v>
      </c>
      <c r="D777" s="37"/>
    </row>
    <row r="778" spans="1:4" ht="17.25" hidden="1" outlineLevel="2" x14ac:dyDescent="0.3">
      <c r="A778" s="36" t="s">
        <v>5158</v>
      </c>
      <c r="B778" s="33">
        <v>1</v>
      </c>
      <c r="C778" s="33">
        <v>1</v>
      </c>
      <c r="D778" s="37"/>
    </row>
    <row r="779" spans="1:4" ht="17.25" hidden="1" outlineLevel="2" x14ac:dyDescent="0.3">
      <c r="A779" s="36" t="s">
        <v>5159</v>
      </c>
      <c r="B779" s="33">
        <v>1</v>
      </c>
      <c r="C779" s="33">
        <v>1</v>
      </c>
      <c r="D779" s="37"/>
    </row>
    <row r="780" spans="1:4" ht="17.25" hidden="1" outlineLevel="2" x14ac:dyDescent="0.3">
      <c r="A780" s="36" t="s">
        <v>5160</v>
      </c>
      <c r="B780" s="33">
        <v>1</v>
      </c>
      <c r="C780" s="33">
        <v>1</v>
      </c>
      <c r="D780" s="37"/>
    </row>
    <row r="781" spans="1:4" ht="17.25" hidden="1" outlineLevel="2" x14ac:dyDescent="0.3">
      <c r="A781" s="36" t="s">
        <v>5161</v>
      </c>
      <c r="B781" s="33">
        <v>1</v>
      </c>
      <c r="C781" s="33">
        <v>1</v>
      </c>
      <c r="D781" s="37"/>
    </row>
    <row r="782" spans="1:4" ht="17.25" hidden="1" outlineLevel="2" x14ac:dyDescent="0.3">
      <c r="A782" s="36" t="s">
        <v>5162</v>
      </c>
      <c r="B782" s="33">
        <v>1</v>
      </c>
      <c r="C782" s="33">
        <v>1</v>
      </c>
      <c r="D782" s="37"/>
    </row>
    <row r="783" spans="1:4" ht="17.25" hidden="1" outlineLevel="2" x14ac:dyDescent="0.3">
      <c r="A783" s="36" t="s">
        <v>5163</v>
      </c>
      <c r="B783" s="33">
        <v>1</v>
      </c>
      <c r="C783" s="33">
        <v>1</v>
      </c>
      <c r="D783" s="37"/>
    </row>
    <row r="784" spans="1:4" ht="17.25" collapsed="1" x14ac:dyDescent="0.3">
      <c r="A784" s="44" t="s">
        <v>142</v>
      </c>
      <c r="B784" s="26">
        <f>B785+B842+B845+B849</f>
        <v>62</v>
      </c>
      <c r="C784" s="26">
        <f>C785+C842+C845+C849</f>
        <v>62</v>
      </c>
      <c r="D784" s="37"/>
    </row>
    <row r="785" spans="1:4" ht="17.25" hidden="1" outlineLevel="1" collapsed="1" x14ac:dyDescent="0.3">
      <c r="A785" s="45" t="s">
        <v>143</v>
      </c>
      <c r="B785" s="33">
        <f>SUM(B786:B841)</f>
        <v>56</v>
      </c>
      <c r="C785" s="33">
        <f>SUM(C786:C841)</f>
        <v>56</v>
      </c>
      <c r="D785" s="37"/>
    </row>
    <row r="786" spans="1:4" ht="17.25" hidden="1" outlineLevel="2" x14ac:dyDescent="0.3">
      <c r="A786" s="36" t="s">
        <v>5164</v>
      </c>
      <c r="B786" s="33">
        <v>1</v>
      </c>
      <c r="C786" s="33">
        <v>1</v>
      </c>
      <c r="D786" s="37"/>
    </row>
    <row r="787" spans="1:4" ht="17.25" hidden="1" outlineLevel="2" x14ac:dyDescent="0.3">
      <c r="A787" s="36" t="s">
        <v>5165</v>
      </c>
      <c r="B787" s="33">
        <v>1</v>
      </c>
      <c r="C787" s="33">
        <v>1</v>
      </c>
      <c r="D787" s="37"/>
    </row>
    <row r="788" spans="1:4" ht="17.25" hidden="1" outlineLevel="2" x14ac:dyDescent="0.3">
      <c r="A788" s="36" t="s">
        <v>5166</v>
      </c>
      <c r="B788" s="33">
        <v>1</v>
      </c>
      <c r="C788" s="33">
        <v>1</v>
      </c>
      <c r="D788" s="37"/>
    </row>
    <row r="789" spans="1:4" ht="17.25" hidden="1" outlineLevel="2" x14ac:dyDescent="0.3">
      <c r="A789" s="36" t="s">
        <v>5167</v>
      </c>
      <c r="B789" s="33">
        <v>1</v>
      </c>
      <c r="C789" s="33">
        <v>1</v>
      </c>
      <c r="D789" s="37"/>
    </row>
    <row r="790" spans="1:4" ht="17.25" hidden="1" outlineLevel="2" x14ac:dyDescent="0.3">
      <c r="A790" s="36" t="s">
        <v>5168</v>
      </c>
      <c r="B790" s="33">
        <v>1</v>
      </c>
      <c r="C790" s="33">
        <v>1</v>
      </c>
      <c r="D790" s="37"/>
    </row>
    <row r="791" spans="1:4" ht="17.25" hidden="1" outlineLevel="2" x14ac:dyDescent="0.3">
      <c r="A791" s="36" t="s">
        <v>5169</v>
      </c>
      <c r="B791" s="33">
        <v>1</v>
      </c>
      <c r="C791" s="33">
        <v>1</v>
      </c>
      <c r="D791" s="37"/>
    </row>
    <row r="792" spans="1:4" ht="17.25" hidden="1" outlineLevel="2" x14ac:dyDescent="0.3">
      <c r="A792" s="36" t="s">
        <v>5170</v>
      </c>
      <c r="B792" s="33">
        <v>1</v>
      </c>
      <c r="C792" s="33">
        <v>1</v>
      </c>
      <c r="D792" s="37"/>
    </row>
    <row r="793" spans="1:4" ht="17.25" hidden="1" outlineLevel="2" x14ac:dyDescent="0.3">
      <c r="A793" s="36" t="s">
        <v>5171</v>
      </c>
      <c r="B793" s="33">
        <v>1</v>
      </c>
      <c r="C793" s="33">
        <v>1</v>
      </c>
      <c r="D793" s="37"/>
    </row>
    <row r="794" spans="1:4" ht="17.25" hidden="1" outlineLevel="2" x14ac:dyDescent="0.3">
      <c r="A794" s="36" t="s">
        <v>4550</v>
      </c>
      <c r="B794" s="33">
        <v>1</v>
      </c>
      <c r="C794" s="33">
        <v>1</v>
      </c>
      <c r="D794" s="37"/>
    </row>
    <row r="795" spans="1:4" ht="17.25" hidden="1" outlineLevel="2" x14ac:dyDescent="0.3">
      <c r="A795" s="36" t="s">
        <v>4551</v>
      </c>
      <c r="B795" s="33">
        <v>1</v>
      </c>
      <c r="C795" s="33">
        <v>1</v>
      </c>
      <c r="D795" s="37"/>
    </row>
    <row r="796" spans="1:4" ht="17.25" hidden="1" outlineLevel="2" x14ac:dyDescent="0.3">
      <c r="A796" s="36" t="s">
        <v>1074</v>
      </c>
      <c r="B796" s="33">
        <v>1</v>
      </c>
      <c r="C796" s="33">
        <v>1</v>
      </c>
      <c r="D796" s="37"/>
    </row>
    <row r="797" spans="1:4" ht="17.25" hidden="1" outlineLevel="2" x14ac:dyDescent="0.3">
      <c r="A797" s="36" t="s">
        <v>1075</v>
      </c>
      <c r="B797" s="33">
        <v>1</v>
      </c>
      <c r="C797" s="33">
        <v>1</v>
      </c>
      <c r="D797" s="37"/>
    </row>
    <row r="798" spans="1:4" ht="17.25" hidden="1" outlineLevel="2" x14ac:dyDescent="0.3">
      <c r="A798" s="36" t="s">
        <v>1076</v>
      </c>
      <c r="B798" s="33">
        <v>1</v>
      </c>
      <c r="C798" s="33">
        <v>1</v>
      </c>
      <c r="D798" s="37"/>
    </row>
    <row r="799" spans="1:4" ht="17.25" hidden="1" outlineLevel="2" x14ac:dyDescent="0.3">
      <c r="A799" s="36" t="s">
        <v>1077</v>
      </c>
      <c r="B799" s="33">
        <v>1</v>
      </c>
      <c r="C799" s="33">
        <v>1</v>
      </c>
      <c r="D799" s="37"/>
    </row>
    <row r="800" spans="1:4" ht="17.25" hidden="1" outlineLevel="2" x14ac:dyDescent="0.3">
      <c r="A800" s="36" t="s">
        <v>1078</v>
      </c>
      <c r="B800" s="33">
        <v>1</v>
      </c>
      <c r="C800" s="33">
        <v>1</v>
      </c>
      <c r="D800" s="37"/>
    </row>
    <row r="801" spans="1:4" ht="17.25" hidden="1" outlineLevel="2" x14ac:dyDescent="0.3">
      <c r="A801" s="36" t="s">
        <v>1020</v>
      </c>
      <c r="B801" s="33">
        <v>1</v>
      </c>
      <c r="C801" s="33">
        <v>1</v>
      </c>
      <c r="D801" s="37"/>
    </row>
    <row r="802" spans="1:4" ht="17.25" hidden="1" outlineLevel="2" x14ac:dyDescent="0.3">
      <c r="A802" s="36" t="s">
        <v>1021</v>
      </c>
      <c r="B802" s="33">
        <v>1</v>
      </c>
      <c r="C802" s="33">
        <v>1</v>
      </c>
      <c r="D802" s="37"/>
    </row>
    <row r="803" spans="1:4" ht="17.25" hidden="1" outlineLevel="2" x14ac:dyDescent="0.3">
      <c r="A803" s="36" t="s">
        <v>338</v>
      </c>
      <c r="B803" s="33">
        <v>1</v>
      </c>
      <c r="C803" s="33">
        <v>1</v>
      </c>
      <c r="D803" s="37"/>
    </row>
    <row r="804" spans="1:4" ht="17.25" hidden="1" outlineLevel="2" x14ac:dyDescent="0.3">
      <c r="A804" s="36" t="s">
        <v>339</v>
      </c>
      <c r="B804" s="33">
        <v>1</v>
      </c>
      <c r="C804" s="33">
        <v>1</v>
      </c>
      <c r="D804" s="37"/>
    </row>
    <row r="805" spans="1:4" ht="17.25" hidden="1" outlineLevel="2" x14ac:dyDescent="0.3">
      <c r="A805" s="36" t="s">
        <v>5172</v>
      </c>
      <c r="B805" s="33">
        <v>1</v>
      </c>
      <c r="C805" s="33">
        <v>1</v>
      </c>
      <c r="D805" s="37"/>
    </row>
    <row r="806" spans="1:4" ht="17.25" hidden="1" outlineLevel="2" x14ac:dyDescent="0.3">
      <c r="A806" s="36" t="s">
        <v>5173</v>
      </c>
      <c r="B806" s="33">
        <v>1</v>
      </c>
      <c r="C806" s="33">
        <v>1</v>
      </c>
      <c r="D806" s="37"/>
    </row>
    <row r="807" spans="1:4" ht="17.25" hidden="1" outlineLevel="2" x14ac:dyDescent="0.3">
      <c r="A807" s="36" t="s">
        <v>5174</v>
      </c>
      <c r="B807" s="33">
        <v>1</v>
      </c>
      <c r="C807" s="33">
        <v>1</v>
      </c>
      <c r="D807" s="37"/>
    </row>
    <row r="808" spans="1:4" ht="17.25" hidden="1" outlineLevel="2" x14ac:dyDescent="0.3">
      <c r="A808" s="36" t="s">
        <v>5175</v>
      </c>
      <c r="B808" s="33">
        <v>1</v>
      </c>
      <c r="C808" s="33">
        <v>1</v>
      </c>
      <c r="D808" s="37"/>
    </row>
    <row r="809" spans="1:4" ht="17.25" hidden="1" outlineLevel="2" x14ac:dyDescent="0.3">
      <c r="A809" s="36" t="s">
        <v>5176</v>
      </c>
      <c r="B809" s="33">
        <v>1</v>
      </c>
      <c r="C809" s="33">
        <v>1</v>
      </c>
      <c r="D809" s="37"/>
    </row>
    <row r="810" spans="1:4" ht="17.25" hidden="1" outlineLevel="2" x14ac:dyDescent="0.3">
      <c r="A810" s="36" t="s">
        <v>5177</v>
      </c>
      <c r="B810" s="33">
        <v>1</v>
      </c>
      <c r="C810" s="33">
        <v>1</v>
      </c>
      <c r="D810" s="37"/>
    </row>
    <row r="811" spans="1:4" ht="17.25" hidden="1" outlineLevel="2" x14ac:dyDescent="0.3">
      <c r="A811" s="36" t="s">
        <v>5178</v>
      </c>
      <c r="B811" s="33">
        <v>1</v>
      </c>
      <c r="C811" s="33">
        <v>1</v>
      </c>
      <c r="D811" s="37"/>
    </row>
    <row r="812" spans="1:4" ht="17.25" hidden="1" outlineLevel="2" x14ac:dyDescent="0.3">
      <c r="A812" s="36" t="s">
        <v>5179</v>
      </c>
      <c r="B812" s="33">
        <v>1</v>
      </c>
      <c r="C812" s="33">
        <v>1</v>
      </c>
      <c r="D812" s="37"/>
    </row>
    <row r="813" spans="1:4" ht="17.25" hidden="1" outlineLevel="2" x14ac:dyDescent="0.3">
      <c r="A813" s="36" t="s">
        <v>5180</v>
      </c>
      <c r="B813" s="33">
        <v>1</v>
      </c>
      <c r="C813" s="33">
        <v>1</v>
      </c>
      <c r="D813" s="37"/>
    </row>
    <row r="814" spans="1:4" ht="17.25" hidden="1" outlineLevel="2" x14ac:dyDescent="0.3">
      <c r="A814" s="36" t="s">
        <v>5181</v>
      </c>
      <c r="B814" s="33">
        <v>1</v>
      </c>
      <c r="C814" s="33">
        <v>1</v>
      </c>
      <c r="D814" s="37"/>
    </row>
    <row r="815" spans="1:4" ht="17.25" hidden="1" outlineLevel="2" x14ac:dyDescent="0.3">
      <c r="A815" s="36" t="s">
        <v>5182</v>
      </c>
      <c r="B815" s="33">
        <v>1</v>
      </c>
      <c r="C815" s="33">
        <v>1</v>
      </c>
      <c r="D815" s="37"/>
    </row>
    <row r="816" spans="1:4" ht="17.25" hidden="1" outlineLevel="2" x14ac:dyDescent="0.3">
      <c r="A816" s="36" t="s">
        <v>5183</v>
      </c>
      <c r="B816" s="33">
        <v>1</v>
      </c>
      <c r="C816" s="33">
        <v>1</v>
      </c>
      <c r="D816" s="37"/>
    </row>
    <row r="817" spans="1:4" ht="17.25" hidden="1" outlineLevel="2" x14ac:dyDescent="0.3">
      <c r="A817" s="36" t="s">
        <v>5184</v>
      </c>
      <c r="B817" s="33">
        <v>1</v>
      </c>
      <c r="C817" s="33">
        <v>1</v>
      </c>
      <c r="D817" s="37"/>
    </row>
    <row r="818" spans="1:4" ht="17.25" hidden="1" outlineLevel="2" x14ac:dyDescent="0.3">
      <c r="A818" s="36" t="s">
        <v>5185</v>
      </c>
      <c r="B818" s="33">
        <v>1</v>
      </c>
      <c r="C818" s="33">
        <v>1</v>
      </c>
      <c r="D818" s="37"/>
    </row>
    <row r="819" spans="1:4" ht="17.25" hidden="1" outlineLevel="2" x14ac:dyDescent="0.3">
      <c r="A819" s="36" t="s">
        <v>5186</v>
      </c>
      <c r="B819" s="33">
        <v>1</v>
      </c>
      <c r="C819" s="33">
        <v>1</v>
      </c>
      <c r="D819" s="37"/>
    </row>
    <row r="820" spans="1:4" ht="17.25" hidden="1" outlineLevel="2" x14ac:dyDescent="0.3">
      <c r="A820" s="36" t="s">
        <v>5187</v>
      </c>
      <c r="B820" s="33">
        <v>1</v>
      </c>
      <c r="C820" s="33">
        <v>1</v>
      </c>
      <c r="D820" s="37"/>
    </row>
    <row r="821" spans="1:4" ht="17.25" hidden="1" outlineLevel="2" x14ac:dyDescent="0.3">
      <c r="A821" s="36" t="s">
        <v>5188</v>
      </c>
      <c r="B821" s="33">
        <v>1</v>
      </c>
      <c r="C821" s="33">
        <v>1</v>
      </c>
      <c r="D821" s="37"/>
    </row>
    <row r="822" spans="1:4" ht="17.25" hidden="1" outlineLevel="2" x14ac:dyDescent="0.3">
      <c r="A822" s="36" t="s">
        <v>5189</v>
      </c>
      <c r="B822" s="33">
        <v>1</v>
      </c>
      <c r="C822" s="33">
        <v>1</v>
      </c>
      <c r="D822" s="37"/>
    </row>
    <row r="823" spans="1:4" ht="17.25" hidden="1" outlineLevel="2" x14ac:dyDescent="0.3">
      <c r="A823" s="36" t="s">
        <v>5190</v>
      </c>
      <c r="B823" s="33">
        <v>1</v>
      </c>
      <c r="C823" s="33">
        <v>1</v>
      </c>
      <c r="D823" s="37"/>
    </row>
    <row r="824" spans="1:4" ht="17.25" hidden="1" outlineLevel="2" x14ac:dyDescent="0.3">
      <c r="A824" s="36" t="s">
        <v>5191</v>
      </c>
      <c r="B824" s="33">
        <v>1</v>
      </c>
      <c r="C824" s="33">
        <v>1</v>
      </c>
      <c r="D824" s="37"/>
    </row>
    <row r="825" spans="1:4" ht="17.25" hidden="1" outlineLevel="2" x14ac:dyDescent="0.3">
      <c r="A825" s="36" t="s">
        <v>5192</v>
      </c>
      <c r="B825" s="33">
        <v>1</v>
      </c>
      <c r="C825" s="33">
        <v>1</v>
      </c>
      <c r="D825" s="37"/>
    </row>
    <row r="826" spans="1:4" ht="17.25" hidden="1" outlineLevel="2" x14ac:dyDescent="0.3">
      <c r="A826" s="36" t="s">
        <v>5193</v>
      </c>
      <c r="B826" s="33">
        <v>1</v>
      </c>
      <c r="C826" s="33">
        <v>1</v>
      </c>
      <c r="D826" s="37"/>
    </row>
    <row r="827" spans="1:4" ht="17.25" hidden="1" outlineLevel="2" x14ac:dyDescent="0.3">
      <c r="A827" s="36" t="s">
        <v>5194</v>
      </c>
      <c r="B827" s="33">
        <v>1</v>
      </c>
      <c r="C827" s="33">
        <v>1</v>
      </c>
      <c r="D827" s="37"/>
    </row>
    <row r="828" spans="1:4" ht="17.25" hidden="1" outlineLevel="2" x14ac:dyDescent="0.3">
      <c r="A828" s="36" t="s">
        <v>5195</v>
      </c>
      <c r="B828" s="33">
        <v>1</v>
      </c>
      <c r="C828" s="33">
        <v>1</v>
      </c>
      <c r="D828" s="37"/>
    </row>
    <row r="829" spans="1:4" ht="17.25" hidden="1" outlineLevel="2" x14ac:dyDescent="0.3">
      <c r="A829" s="36" t="s">
        <v>5196</v>
      </c>
      <c r="B829" s="33">
        <v>1</v>
      </c>
      <c r="C829" s="33">
        <v>1</v>
      </c>
      <c r="D829" s="37"/>
    </row>
    <row r="830" spans="1:4" ht="17.25" hidden="1" outlineLevel="2" x14ac:dyDescent="0.3">
      <c r="A830" s="36" t="s">
        <v>5197</v>
      </c>
      <c r="B830" s="33">
        <v>1</v>
      </c>
      <c r="C830" s="33">
        <v>1</v>
      </c>
      <c r="D830" s="37"/>
    </row>
    <row r="831" spans="1:4" ht="17.25" hidden="1" outlineLevel="2" x14ac:dyDescent="0.3">
      <c r="A831" s="36" t="s">
        <v>5198</v>
      </c>
      <c r="B831" s="33">
        <v>1</v>
      </c>
      <c r="C831" s="33">
        <v>1</v>
      </c>
      <c r="D831" s="37"/>
    </row>
    <row r="832" spans="1:4" ht="17.25" hidden="1" outlineLevel="2" x14ac:dyDescent="0.3">
      <c r="A832" s="36" t="s">
        <v>5199</v>
      </c>
      <c r="B832" s="33">
        <v>1</v>
      </c>
      <c r="C832" s="33">
        <v>1</v>
      </c>
      <c r="D832" s="37"/>
    </row>
    <row r="833" spans="1:4" ht="17.25" hidden="1" outlineLevel="2" x14ac:dyDescent="0.3">
      <c r="A833" s="36" t="s">
        <v>5200</v>
      </c>
      <c r="B833" s="33">
        <v>1</v>
      </c>
      <c r="C833" s="33">
        <v>1</v>
      </c>
      <c r="D833" s="37"/>
    </row>
    <row r="834" spans="1:4" ht="17.25" hidden="1" outlineLevel="2" x14ac:dyDescent="0.3">
      <c r="A834" s="36" t="s">
        <v>5201</v>
      </c>
      <c r="B834" s="33">
        <v>1</v>
      </c>
      <c r="C834" s="33">
        <v>1</v>
      </c>
      <c r="D834" s="37"/>
    </row>
    <row r="835" spans="1:4" ht="17.25" hidden="1" outlineLevel="2" x14ac:dyDescent="0.3">
      <c r="A835" s="36" t="s">
        <v>5202</v>
      </c>
      <c r="B835" s="33">
        <v>1</v>
      </c>
      <c r="C835" s="33">
        <v>1</v>
      </c>
      <c r="D835" s="37"/>
    </row>
    <row r="836" spans="1:4" ht="17.25" hidden="1" outlineLevel="2" x14ac:dyDescent="0.3">
      <c r="A836" s="36" t="s">
        <v>5203</v>
      </c>
      <c r="B836" s="33">
        <v>1</v>
      </c>
      <c r="C836" s="33">
        <v>1</v>
      </c>
      <c r="D836" s="37"/>
    </row>
    <row r="837" spans="1:4" ht="17.25" hidden="1" outlineLevel="2" x14ac:dyDescent="0.3">
      <c r="A837" s="36" t="s">
        <v>5204</v>
      </c>
      <c r="B837" s="33">
        <v>1</v>
      </c>
      <c r="C837" s="33">
        <v>1</v>
      </c>
      <c r="D837" s="37"/>
    </row>
    <row r="838" spans="1:4" ht="17.25" hidden="1" outlineLevel="2" x14ac:dyDescent="0.3">
      <c r="A838" s="36" t="s">
        <v>5205</v>
      </c>
      <c r="B838" s="33">
        <v>1</v>
      </c>
      <c r="C838" s="33">
        <v>1</v>
      </c>
      <c r="D838" s="37"/>
    </row>
    <row r="839" spans="1:4" ht="17.25" hidden="1" outlineLevel="2" x14ac:dyDescent="0.3">
      <c r="A839" s="36" t="s">
        <v>5206</v>
      </c>
      <c r="B839" s="33">
        <v>1</v>
      </c>
      <c r="C839" s="33">
        <v>1</v>
      </c>
      <c r="D839" s="37"/>
    </row>
    <row r="840" spans="1:4" ht="17.25" hidden="1" outlineLevel="2" x14ac:dyDescent="0.3">
      <c r="A840" s="36" t="s">
        <v>5207</v>
      </c>
      <c r="B840" s="33">
        <v>1</v>
      </c>
      <c r="C840" s="33">
        <v>1</v>
      </c>
      <c r="D840" s="37"/>
    </row>
    <row r="841" spans="1:4" ht="17.25" hidden="1" outlineLevel="2" x14ac:dyDescent="0.3">
      <c r="A841" s="36" t="s">
        <v>5208</v>
      </c>
      <c r="B841" s="33">
        <v>1</v>
      </c>
      <c r="C841" s="33">
        <v>1</v>
      </c>
      <c r="D841" s="37"/>
    </row>
    <row r="842" spans="1:4" ht="17.25" hidden="1" outlineLevel="1" collapsed="1" x14ac:dyDescent="0.3">
      <c r="A842" s="45" t="s">
        <v>5209</v>
      </c>
      <c r="B842" s="33">
        <f>SUM(B843:B844)</f>
        <v>2</v>
      </c>
      <c r="C842" s="33">
        <f>SUM(C843:C844)</f>
        <v>2</v>
      </c>
      <c r="D842" s="37"/>
    </row>
    <row r="843" spans="1:4" ht="17.25" hidden="1" outlineLevel="2" x14ac:dyDescent="0.3">
      <c r="A843" s="36" t="s">
        <v>5210</v>
      </c>
      <c r="B843" s="33">
        <v>1</v>
      </c>
      <c r="C843" s="33">
        <v>1</v>
      </c>
      <c r="D843" s="37"/>
    </row>
    <row r="844" spans="1:4" ht="17.25" hidden="1" outlineLevel="2" x14ac:dyDescent="0.3">
      <c r="A844" s="36" t="s">
        <v>5211</v>
      </c>
      <c r="B844" s="33">
        <v>1</v>
      </c>
      <c r="C844" s="33">
        <v>1</v>
      </c>
      <c r="D844" s="37"/>
    </row>
    <row r="845" spans="1:4" ht="17.25" hidden="1" outlineLevel="1" collapsed="1" x14ac:dyDescent="0.3">
      <c r="A845" s="45" t="s">
        <v>147</v>
      </c>
      <c r="B845" s="33">
        <f>SUM(B846:B848)</f>
        <v>3</v>
      </c>
      <c r="C845" s="33">
        <f>SUM(C846:C848)</f>
        <v>3</v>
      </c>
      <c r="D845" s="37"/>
    </row>
    <row r="846" spans="1:4" ht="17.25" hidden="1" outlineLevel="2" x14ac:dyDescent="0.3">
      <c r="A846" s="36" t="s">
        <v>5212</v>
      </c>
      <c r="B846" s="33">
        <v>1</v>
      </c>
      <c r="C846" s="33">
        <v>1</v>
      </c>
      <c r="D846" s="37"/>
    </row>
    <row r="847" spans="1:4" ht="17.25" hidden="1" outlineLevel="2" x14ac:dyDescent="0.3">
      <c r="A847" s="36" t="s">
        <v>5213</v>
      </c>
      <c r="B847" s="33">
        <v>1</v>
      </c>
      <c r="C847" s="33">
        <v>1</v>
      </c>
      <c r="D847" s="37"/>
    </row>
    <row r="848" spans="1:4" ht="17.25" hidden="1" outlineLevel="2" x14ac:dyDescent="0.3">
      <c r="A848" s="36" t="s">
        <v>5214</v>
      </c>
      <c r="B848" s="33">
        <v>1</v>
      </c>
      <c r="C848" s="33">
        <v>1</v>
      </c>
      <c r="D848" s="37"/>
    </row>
    <row r="849" spans="1:4" ht="17.25" hidden="1" outlineLevel="1" collapsed="1" x14ac:dyDescent="0.3">
      <c r="A849" s="45" t="s">
        <v>5215</v>
      </c>
      <c r="B849" s="33">
        <f>SUM(B850:B850)</f>
        <v>1</v>
      </c>
      <c r="C849" s="33">
        <f>SUM(C850:C850)</f>
        <v>1</v>
      </c>
      <c r="D849" s="37"/>
    </row>
    <row r="850" spans="1:4" ht="17.25" hidden="1" outlineLevel="2" x14ac:dyDescent="0.3">
      <c r="A850" s="36" t="s">
        <v>5216</v>
      </c>
      <c r="B850" s="33">
        <v>1</v>
      </c>
      <c r="C850" s="33">
        <v>1</v>
      </c>
      <c r="D850" s="37"/>
    </row>
    <row r="851" spans="1:4" ht="17.25" collapsed="1" x14ac:dyDescent="0.3">
      <c r="A851" s="44" t="s">
        <v>146</v>
      </c>
      <c r="B851" s="26">
        <f>B852+B878+B881</f>
        <v>100</v>
      </c>
      <c r="C851" s="26">
        <f>C852+C878+C881</f>
        <v>100</v>
      </c>
      <c r="D851" s="37"/>
    </row>
    <row r="852" spans="1:4" ht="17.25" hidden="1" outlineLevel="1" collapsed="1" x14ac:dyDescent="0.3">
      <c r="A852" s="45" t="s">
        <v>1054</v>
      </c>
      <c r="B852" s="33">
        <f>SUM(B853:B877)</f>
        <v>25</v>
      </c>
      <c r="C852" s="33">
        <f>SUM(C853:C877)</f>
        <v>25</v>
      </c>
      <c r="D852" s="37"/>
    </row>
    <row r="853" spans="1:4" ht="17.25" hidden="1" outlineLevel="2" x14ac:dyDescent="0.3">
      <c r="A853" s="36" t="s">
        <v>5217</v>
      </c>
      <c r="B853" s="33">
        <v>1</v>
      </c>
      <c r="C853" s="33">
        <v>1</v>
      </c>
      <c r="D853" s="37"/>
    </row>
    <row r="854" spans="1:4" ht="17.25" hidden="1" outlineLevel="2" x14ac:dyDescent="0.3">
      <c r="A854" s="36" t="s">
        <v>5218</v>
      </c>
      <c r="B854" s="33">
        <v>1</v>
      </c>
      <c r="C854" s="33">
        <v>1</v>
      </c>
      <c r="D854" s="37"/>
    </row>
    <row r="855" spans="1:4" ht="17.25" hidden="1" outlineLevel="2" x14ac:dyDescent="0.3">
      <c r="A855" s="36" t="s">
        <v>5219</v>
      </c>
      <c r="B855" s="33">
        <v>1</v>
      </c>
      <c r="C855" s="33">
        <v>1</v>
      </c>
      <c r="D855" s="37"/>
    </row>
    <row r="856" spans="1:4" ht="17.25" hidden="1" outlineLevel="2" x14ac:dyDescent="0.3">
      <c r="A856" s="36" t="s">
        <v>5220</v>
      </c>
      <c r="B856" s="33">
        <v>1</v>
      </c>
      <c r="C856" s="33">
        <v>1</v>
      </c>
      <c r="D856" s="37"/>
    </row>
    <row r="857" spans="1:4" ht="17.25" hidden="1" outlineLevel="2" x14ac:dyDescent="0.3">
      <c r="A857" s="36" t="s">
        <v>5221</v>
      </c>
      <c r="B857" s="33">
        <v>1</v>
      </c>
      <c r="C857" s="33">
        <v>1</v>
      </c>
      <c r="D857" s="37"/>
    </row>
    <row r="858" spans="1:4" ht="17.25" hidden="1" outlineLevel="2" x14ac:dyDescent="0.3">
      <c r="A858" s="36" t="s">
        <v>5222</v>
      </c>
      <c r="B858" s="33">
        <v>1</v>
      </c>
      <c r="C858" s="33">
        <v>1</v>
      </c>
      <c r="D858" s="37"/>
    </row>
    <row r="859" spans="1:4" ht="17.25" hidden="1" outlineLevel="2" x14ac:dyDescent="0.3">
      <c r="A859" s="36" t="s">
        <v>4522</v>
      </c>
      <c r="B859" s="33">
        <v>1</v>
      </c>
      <c r="C859" s="33">
        <v>1</v>
      </c>
      <c r="D859" s="37"/>
    </row>
    <row r="860" spans="1:4" ht="17.25" hidden="1" outlineLevel="2" x14ac:dyDescent="0.3">
      <c r="A860" s="36" t="s">
        <v>1182</v>
      </c>
      <c r="B860" s="33">
        <v>1</v>
      </c>
      <c r="C860" s="33">
        <v>1</v>
      </c>
      <c r="D860" s="37"/>
    </row>
    <row r="861" spans="1:4" ht="17.25" hidden="1" outlineLevel="2" x14ac:dyDescent="0.3">
      <c r="A861" s="36" t="s">
        <v>1183</v>
      </c>
      <c r="B861" s="33">
        <v>1</v>
      </c>
      <c r="C861" s="33">
        <v>1</v>
      </c>
      <c r="D861" s="37"/>
    </row>
    <row r="862" spans="1:4" ht="17.25" hidden="1" outlineLevel="2" x14ac:dyDescent="0.3">
      <c r="A862" s="36" t="s">
        <v>1184</v>
      </c>
      <c r="B862" s="33">
        <v>1</v>
      </c>
      <c r="C862" s="33">
        <v>1</v>
      </c>
      <c r="D862" s="37"/>
    </row>
    <row r="863" spans="1:4" ht="17.25" hidden="1" outlineLevel="2" x14ac:dyDescent="0.3">
      <c r="A863" s="36" t="s">
        <v>1185</v>
      </c>
      <c r="B863" s="33">
        <v>1</v>
      </c>
      <c r="C863" s="33">
        <v>1</v>
      </c>
      <c r="D863" s="37"/>
    </row>
    <row r="864" spans="1:4" ht="17.25" hidden="1" outlineLevel="2" x14ac:dyDescent="0.3">
      <c r="A864" s="36" t="s">
        <v>1186</v>
      </c>
      <c r="B864" s="33">
        <v>1</v>
      </c>
      <c r="C864" s="33">
        <v>1</v>
      </c>
      <c r="D864" s="37"/>
    </row>
    <row r="865" spans="1:4" ht="17.25" hidden="1" outlineLevel="2" x14ac:dyDescent="0.3">
      <c r="A865" s="36" t="s">
        <v>1187</v>
      </c>
      <c r="B865" s="33">
        <v>1</v>
      </c>
      <c r="C865" s="33">
        <v>1</v>
      </c>
      <c r="D865" s="37"/>
    </row>
    <row r="866" spans="1:4" ht="17.25" hidden="1" outlineLevel="2" x14ac:dyDescent="0.3">
      <c r="A866" s="36" t="s">
        <v>1055</v>
      </c>
      <c r="B866" s="33">
        <v>1</v>
      </c>
      <c r="C866" s="33">
        <v>1</v>
      </c>
      <c r="D866" s="37"/>
    </row>
    <row r="867" spans="1:4" ht="17.25" hidden="1" outlineLevel="2" x14ac:dyDescent="0.3">
      <c r="A867" s="36" t="s">
        <v>5223</v>
      </c>
      <c r="B867" s="33">
        <v>1</v>
      </c>
      <c r="C867" s="33">
        <v>1</v>
      </c>
      <c r="D867" s="37"/>
    </row>
    <row r="868" spans="1:4" ht="17.25" hidden="1" outlineLevel="2" x14ac:dyDescent="0.3">
      <c r="A868" s="36" t="s">
        <v>5224</v>
      </c>
      <c r="B868" s="33">
        <v>1</v>
      </c>
      <c r="C868" s="33">
        <v>1</v>
      </c>
      <c r="D868" s="37"/>
    </row>
    <row r="869" spans="1:4" ht="17.25" hidden="1" outlineLevel="2" x14ac:dyDescent="0.3">
      <c r="A869" s="36" t="s">
        <v>5225</v>
      </c>
      <c r="B869" s="33">
        <v>1</v>
      </c>
      <c r="C869" s="33">
        <v>1</v>
      </c>
      <c r="D869" s="37"/>
    </row>
    <row r="870" spans="1:4" ht="17.25" hidden="1" outlineLevel="2" x14ac:dyDescent="0.3">
      <c r="A870" s="36" t="s">
        <v>5226</v>
      </c>
      <c r="B870" s="33">
        <v>1</v>
      </c>
      <c r="C870" s="33">
        <v>1</v>
      </c>
      <c r="D870" s="37"/>
    </row>
    <row r="871" spans="1:4" ht="17.25" hidden="1" outlineLevel="2" x14ac:dyDescent="0.3">
      <c r="A871" s="36" t="s">
        <v>5227</v>
      </c>
      <c r="B871" s="33">
        <v>1</v>
      </c>
      <c r="C871" s="33">
        <v>1</v>
      </c>
      <c r="D871" s="37"/>
    </row>
    <row r="872" spans="1:4" ht="17.25" hidden="1" outlineLevel="2" x14ac:dyDescent="0.3">
      <c r="A872" s="36" t="s">
        <v>5228</v>
      </c>
      <c r="B872" s="33">
        <v>1</v>
      </c>
      <c r="C872" s="33">
        <v>1</v>
      </c>
      <c r="D872" s="37"/>
    </row>
    <row r="873" spans="1:4" ht="17.25" hidden="1" outlineLevel="2" x14ac:dyDescent="0.3">
      <c r="A873" s="36" t="s">
        <v>5229</v>
      </c>
      <c r="B873" s="33">
        <v>1</v>
      </c>
      <c r="C873" s="33">
        <v>1</v>
      </c>
      <c r="D873" s="37"/>
    </row>
    <row r="874" spans="1:4" ht="17.25" hidden="1" outlineLevel="2" x14ac:dyDescent="0.3">
      <c r="A874" s="36" t="s">
        <v>5230</v>
      </c>
      <c r="B874" s="33">
        <v>1</v>
      </c>
      <c r="C874" s="33">
        <v>1</v>
      </c>
      <c r="D874" s="37"/>
    </row>
    <row r="875" spans="1:4" ht="17.25" hidden="1" outlineLevel="2" x14ac:dyDescent="0.3">
      <c r="A875" s="36" t="s">
        <v>5231</v>
      </c>
      <c r="B875" s="33">
        <v>1</v>
      </c>
      <c r="C875" s="33">
        <v>1</v>
      </c>
      <c r="D875" s="37"/>
    </row>
    <row r="876" spans="1:4" ht="17.25" hidden="1" outlineLevel="2" x14ac:dyDescent="0.3">
      <c r="A876" s="36" t="s">
        <v>5232</v>
      </c>
      <c r="B876" s="33">
        <v>1</v>
      </c>
      <c r="C876" s="33">
        <v>1</v>
      </c>
      <c r="D876" s="37"/>
    </row>
    <row r="877" spans="1:4" ht="17.25" hidden="1" outlineLevel="2" x14ac:dyDescent="0.3">
      <c r="A877" s="36" t="s">
        <v>5233</v>
      </c>
      <c r="B877" s="33">
        <v>1</v>
      </c>
      <c r="C877" s="33">
        <v>1</v>
      </c>
      <c r="D877" s="37"/>
    </row>
    <row r="878" spans="1:4" ht="17.25" hidden="1" outlineLevel="1" collapsed="1" x14ac:dyDescent="0.3">
      <c r="A878" s="45" t="s">
        <v>136</v>
      </c>
      <c r="B878" s="33">
        <f>SUM(B879:B880)</f>
        <v>2</v>
      </c>
      <c r="C878" s="33">
        <f>SUM(C879:C880)</f>
        <v>2</v>
      </c>
      <c r="D878" s="37"/>
    </row>
    <row r="879" spans="1:4" ht="17.25" hidden="1" outlineLevel="2" x14ac:dyDescent="0.3">
      <c r="A879" s="36" t="s">
        <v>5234</v>
      </c>
      <c r="B879" s="33">
        <v>1</v>
      </c>
      <c r="C879" s="33">
        <v>1</v>
      </c>
      <c r="D879" s="37"/>
    </row>
    <row r="880" spans="1:4" ht="17.25" hidden="1" outlineLevel="2" x14ac:dyDescent="0.3">
      <c r="A880" s="36" t="s">
        <v>5235</v>
      </c>
      <c r="B880" s="33">
        <v>1</v>
      </c>
      <c r="C880" s="33">
        <v>1</v>
      </c>
      <c r="D880" s="37"/>
    </row>
    <row r="881" spans="1:4" ht="17.25" hidden="1" outlineLevel="1" collapsed="1" x14ac:dyDescent="0.3">
      <c r="A881" s="45" t="s">
        <v>141</v>
      </c>
      <c r="B881" s="33">
        <f>SUM(B882:B954)</f>
        <v>73</v>
      </c>
      <c r="C881" s="33">
        <f>SUM(C882:C954)</f>
        <v>73</v>
      </c>
      <c r="D881" s="37"/>
    </row>
    <row r="882" spans="1:4" ht="17.25" hidden="1" outlineLevel="2" x14ac:dyDescent="0.3">
      <c r="A882" s="36" t="s">
        <v>5236</v>
      </c>
      <c r="B882" s="33">
        <v>1</v>
      </c>
      <c r="C882" s="33">
        <v>1</v>
      </c>
      <c r="D882" s="37"/>
    </row>
    <row r="883" spans="1:4" ht="17.25" hidden="1" outlineLevel="2" x14ac:dyDescent="0.3">
      <c r="A883" s="36" t="s">
        <v>5237</v>
      </c>
      <c r="B883" s="33">
        <v>1</v>
      </c>
      <c r="C883" s="33">
        <v>1</v>
      </c>
      <c r="D883" s="37"/>
    </row>
    <row r="884" spans="1:4" ht="17.25" hidden="1" outlineLevel="2" x14ac:dyDescent="0.3">
      <c r="A884" s="36" t="s">
        <v>5238</v>
      </c>
      <c r="B884" s="33">
        <v>1</v>
      </c>
      <c r="C884" s="33">
        <v>1</v>
      </c>
      <c r="D884" s="37"/>
    </row>
    <row r="885" spans="1:4" ht="17.25" hidden="1" outlineLevel="2" x14ac:dyDescent="0.3">
      <c r="A885" s="36" t="s">
        <v>5239</v>
      </c>
      <c r="B885" s="33">
        <v>1</v>
      </c>
      <c r="C885" s="33">
        <v>1</v>
      </c>
      <c r="D885" s="37"/>
    </row>
    <row r="886" spans="1:4" ht="17.25" hidden="1" outlineLevel="2" x14ac:dyDescent="0.3">
      <c r="A886" s="36" t="s">
        <v>5240</v>
      </c>
      <c r="B886" s="33">
        <v>1</v>
      </c>
      <c r="C886" s="33">
        <v>1</v>
      </c>
      <c r="D886" s="37"/>
    </row>
    <row r="887" spans="1:4" ht="17.25" hidden="1" outlineLevel="2" x14ac:dyDescent="0.3">
      <c r="A887" s="36" t="s">
        <v>5241</v>
      </c>
      <c r="B887" s="33">
        <v>1</v>
      </c>
      <c r="C887" s="33">
        <v>1</v>
      </c>
      <c r="D887" s="37"/>
    </row>
    <row r="888" spans="1:4" ht="17.25" hidden="1" outlineLevel="2" x14ac:dyDescent="0.3">
      <c r="A888" s="36" t="s">
        <v>5242</v>
      </c>
      <c r="B888" s="33">
        <v>1</v>
      </c>
      <c r="C888" s="33">
        <v>1</v>
      </c>
      <c r="D888" s="37"/>
    </row>
    <row r="889" spans="1:4" ht="17.25" hidden="1" outlineLevel="2" x14ac:dyDescent="0.3">
      <c r="A889" s="36" t="s">
        <v>1153</v>
      </c>
      <c r="B889" s="33">
        <v>1</v>
      </c>
      <c r="C889" s="33">
        <v>1</v>
      </c>
      <c r="D889" s="37"/>
    </row>
    <row r="890" spans="1:4" ht="17.25" hidden="1" outlineLevel="2" x14ac:dyDescent="0.3">
      <c r="A890" s="36" t="s">
        <v>1154</v>
      </c>
      <c r="B890" s="33">
        <v>1</v>
      </c>
      <c r="C890" s="33">
        <v>1</v>
      </c>
      <c r="D890" s="37"/>
    </row>
    <row r="891" spans="1:4" ht="17.25" hidden="1" outlineLevel="2" x14ac:dyDescent="0.3">
      <c r="A891" s="36" t="s">
        <v>1155</v>
      </c>
      <c r="B891" s="33">
        <v>1</v>
      </c>
      <c r="C891" s="33">
        <v>1</v>
      </c>
      <c r="D891" s="37"/>
    </row>
    <row r="892" spans="1:4" ht="17.25" hidden="1" outlineLevel="2" x14ac:dyDescent="0.3">
      <c r="A892" s="36" t="s">
        <v>1156</v>
      </c>
      <c r="B892" s="33">
        <v>1</v>
      </c>
      <c r="C892" s="33">
        <v>1</v>
      </c>
      <c r="D892" s="37"/>
    </row>
    <row r="893" spans="1:4" ht="17.25" hidden="1" outlineLevel="2" x14ac:dyDescent="0.3">
      <c r="A893" s="36" t="s">
        <v>1157</v>
      </c>
      <c r="B893" s="33">
        <v>1</v>
      </c>
      <c r="C893" s="33">
        <v>1</v>
      </c>
      <c r="D893" s="37"/>
    </row>
    <row r="894" spans="1:4" ht="17.25" hidden="1" outlineLevel="2" x14ac:dyDescent="0.3">
      <c r="A894" s="36" t="s">
        <v>1158</v>
      </c>
      <c r="B894" s="33">
        <v>1</v>
      </c>
      <c r="C894" s="33">
        <v>1</v>
      </c>
      <c r="D894" s="37"/>
    </row>
    <row r="895" spans="1:4" ht="17.25" hidden="1" outlineLevel="2" x14ac:dyDescent="0.3">
      <c r="A895" s="36" t="s">
        <v>1159</v>
      </c>
      <c r="B895" s="33">
        <v>1</v>
      </c>
      <c r="C895" s="33">
        <v>1</v>
      </c>
      <c r="D895" s="37"/>
    </row>
    <row r="896" spans="1:4" ht="17.25" hidden="1" outlineLevel="2" x14ac:dyDescent="0.3">
      <c r="A896" s="36" t="s">
        <v>1160</v>
      </c>
      <c r="B896" s="33">
        <v>1</v>
      </c>
      <c r="C896" s="33">
        <v>1</v>
      </c>
      <c r="D896" s="37"/>
    </row>
    <row r="897" spans="1:4" ht="17.25" hidden="1" outlineLevel="2" x14ac:dyDescent="0.3">
      <c r="A897" s="36" t="s">
        <v>1161</v>
      </c>
      <c r="B897" s="33">
        <v>1</v>
      </c>
      <c r="C897" s="33">
        <v>1</v>
      </c>
      <c r="D897" s="37"/>
    </row>
    <row r="898" spans="1:4" ht="17.25" hidden="1" outlineLevel="2" x14ac:dyDescent="0.3">
      <c r="A898" s="36" t="s">
        <v>1162</v>
      </c>
      <c r="B898" s="33">
        <v>1</v>
      </c>
      <c r="C898" s="33">
        <v>1</v>
      </c>
      <c r="D898" s="37"/>
    </row>
    <row r="899" spans="1:4" ht="17.25" hidden="1" outlineLevel="2" x14ac:dyDescent="0.3">
      <c r="A899" s="36" t="s">
        <v>1163</v>
      </c>
      <c r="B899" s="33">
        <v>1</v>
      </c>
      <c r="C899" s="33">
        <v>1</v>
      </c>
      <c r="D899" s="37"/>
    </row>
    <row r="900" spans="1:4" ht="17.25" hidden="1" outlineLevel="2" x14ac:dyDescent="0.3">
      <c r="A900" s="36" t="s">
        <v>1164</v>
      </c>
      <c r="B900" s="33">
        <v>1</v>
      </c>
      <c r="C900" s="33">
        <v>1</v>
      </c>
      <c r="D900" s="37"/>
    </row>
    <row r="901" spans="1:4" ht="17.25" hidden="1" outlineLevel="2" x14ac:dyDescent="0.3">
      <c r="A901" s="36" t="s">
        <v>1165</v>
      </c>
      <c r="B901" s="33">
        <v>1</v>
      </c>
      <c r="C901" s="33">
        <v>1</v>
      </c>
      <c r="D901" s="37"/>
    </row>
    <row r="902" spans="1:4" ht="17.25" hidden="1" outlineLevel="2" x14ac:dyDescent="0.3">
      <c r="A902" s="36" t="s">
        <v>1166</v>
      </c>
      <c r="B902" s="33">
        <v>1</v>
      </c>
      <c r="C902" s="33">
        <v>1</v>
      </c>
      <c r="D902" s="37"/>
    </row>
    <row r="903" spans="1:4" ht="17.25" hidden="1" outlineLevel="2" x14ac:dyDescent="0.3">
      <c r="A903" s="36" t="s">
        <v>1167</v>
      </c>
      <c r="B903" s="33">
        <v>1</v>
      </c>
      <c r="C903" s="33">
        <v>1</v>
      </c>
      <c r="D903" s="37"/>
    </row>
    <row r="904" spans="1:4" ht="17.25" hidden="1" outlineLevel="2" x14ac:dyDescent="0.3">
      <c r="A904" s="36" t="s">
        <v>1168</v>
      </c>
      <c r="B904" s="33">
        <v>1</v>
      </c>
      <c r="C904" s="33">
        <v>1</v>
      </c>
      <c r="D904" s="37"/>
    </row>
    <row r="905" spans="1:4" ht="17.25" hidden="1" outlineLevel="2" x14ac:dyDescent="0.3">
      <c r="A905" s="36" t="s">
        <v>1169</v>
      </c>
      <c r="B905" s="33">
        <v>1</v>
      </c>
      <c r="C905" s="33">
        <v>1</v>
      </c>
      <c r="D905" s="37"/>
    </row>
    <row r="906" spans="1:4" ht="17.25" hidden="1" outlineLevel="2" x14ac:dyDescent="0.3">
      <c r="A906" s="36" t="s">
        <v>1170</v>
      </c>
      <c r="B906" s="33">
        <v>1</v>
      </c>
      <c r="C906" s="33">
        <v>1</v>
      </c>
      <c r="D906" s="37"/>
    </row>
    <row r="907" spans="1:4" ht="17.25" hidden="1" outlineLevel="2" x14ac:dyDescent="0.3">
      <c r="A907" s="36" t="s">
        <v>1171</v>
      </c>
      <c r="B907" s="33">
        <v>1</v>
      </c>
      <c r="C907" s="33">
        <v>1</v>
      </c>
      <c r="D907" s="37"/>
    </row>
    <row r="908" spans="1:4" ht="17.25" hidden="1" outlineLevel="2" x14ac:dyDescent="0.3">
      <c r="A908" s="36" t="s">
        <v>1172</v>
      </c>
      <c r="B908" s="33">
        <v>1</v>
      </c>
      <c r="C908" s="33">
        <v>1</v>
      </c>
      <c r="D908" s="37"/>
    </row>
    <row r="909" spans="1:4" ht="17.25" hidden="1" outlineLevel="2" x14ac:dyDescent="0.3">
      <c r="A909" s="36" t="s">
        <v>1173</v>
      </c>
      <c r="B909" s="33">
        <v>1</v>
      </c>
      <c r="C909" s="33">
        <v>1</v>
      </c>
      <c r="D909" s="37"/>
    </row>
    <row r="910" spans="1:4" ht="17.25" hidden="1" outlineLevel="2" x14ac:dyDescent="0.3">
      <c r="A910" s="36" t="s">
        <v>1174</v>
      </c>
      <c r="B910" s="33">
        <v>1</v>
      </c>
      <c r="C910" s="33">
        <v>1</v>
      </c>
      <c r="D910" s="37"/>
    </row>
    <row r="911" spans="1:4" ht="17.25" hidden="1" outlineLevel="2" x14ac:dyDescent="0.3">
      <c r="A911" s="36" t="s">
        <v>1175</v>
      </c>
      <c r="B911" s="33">
        <v>1</v>
      </c>
      <c r="C911" s="33">
        <v>1</v>
      </c>
      <c r="D911" s="37"/>
    </row>
    <row r="912" spans="1:4" ht="17.25" hidden="1" outlineLevel="2" x14ac:dyDescent="0.3">
      <c r="A912" s="36" t="s">
        <v>1176</v>
      </c>
      <c r="B912" s="33">
        <v>1</v>
      </c>
      <c r="C912" s="33">
        <v>1</v>
      </c>
      <c r="D912" s="37"/>
    </row>
    <row r="913" spans="1:4" ht="17.25" hidden="1" outlineLevel="2" x14ac:dyDescent="0.3">
      <c r="A913" s="36" t="s">
        <v>1177</v>
      </c>
      <c r="B913" s="33">
        <v>1</v>
      </c>
      <c r="C913" s="33">
        <v>1</v>
      </c>
      <c r="D913" s="37"/>
    </row>
    <row r="914" spans="1:4" ht="17.25" hidden="1" outlineLevel="2" x14ac:dyDescent="0.3">
      <c r="A914" s="36" t="s">
        <v>1178</v>
      </c>
      <c r="B914" s="33">
        <v>1</v>
      </c>
      <c r="C914" s="33">
        <v>1</v>
      </c>
      <c r="D914" s="37"/>
    </row>
    <row r="915" spans="1:4" ht="17.25" hidden="1" outlineLevel="2" x14ac:dyDescent="0.3">
      <c r="A915" s="36" t="s">
        <v>1179</v>
      </c>
      <c r="B915" s="33">
        <v>1</v>
      </c>
      <c r="C915" s="33">
        <v>1</v>
      </c>
      <c r="D915" s="37"/>
    </row>
    <row r="916" spans="1:4" ht="17.25" hidden="1" outlineLevel="2" x14ac:dyDescent="0.3">
      <c r="A916" s="36" t="s">
        <v>1180</v>
      </c>
      <c r="B916" s="33">
        <v>1</v>
      </c>
      <c r="C916" s="33">
        <v>1</v>
      </c>
      <c r="D916" s="37"/>
    </row>
    <row r="917" spans="1:4" ht="17.25" hidden="1" outlineLevel="2" x14ac:dyDescent="0.3">
      <c r="A917" s="36" t="s">
        <v>1181</v>
      </c>
      <c r="B917" s="33">
        <v>1</v>
      </c>
      <c r="C917" s="33">
        <v>1</v>
      </c>
      <c r="D917" s="37"/>
    </row>
    <row r="918" spans="1:4" ht="17.25" hidden="1" outlineLevel="2" x14ac:dyDescent="0.3">
      <c r="A918" s="36" t="s">
        <v>1039</v>
      </c>
      <c r="B918" s="33">
        <v>1</v>
      </c>
      <c r="C918" s="33">
        <v>1</v>
      </c>
      <c r="D918" s="37"/>
    </row>
    <row r="919" spans="1:4" ht="17.25" hidden="1" outlineLevel="2" x14ac:dyDescent="0.3">
      <c r="A919" s="36" t="s">
        <v>1040</v>
      </c>
      <c r="B919" s="33">
        <v>1</v>
      </c>
      <c r="C919" s="33">
        <v>1</v>
      </c>
      <c r="D919" s="37"/>
    </row>
    <row r="920" spans="1:4" ht="17.25" hidden="1" outlineLevel="2" x14ac:dyDescent="0.3">
      <c r="A920" s="36" t="s">
        <v>1041</v>
      </c>
      <c r="B920" s="33">
        <v>1</v>
      </c>
      <c r="C920" s="33">
        <v>1</v>
      </c>
      <c r="D920" s="37"/>
    </row>
    <row r="921" spans="1:4" ht="17.25" hidden="1" outlineLevel="2" x14ac:dyDescent="0.3">
      <c r="A921" s="36" t="s">
        <v>1042</v>
      </c>
      <c r="B921" s="33">
        <v>1</v>
      </c>
      <c r="C921" s="33">
        <v>1</v>
      </c>
      <c r="D921" s="37"/>
    </row>
    <row r="922" spans="1:4" ht="17.25" hidden="1" outlineLevel="2" x14ac:dyDescent="0.3">
      <c r="A922" s="36" t="s">
        <v>1043</v>
      </c>
      <c r="B922" s="33">
        <v>1</v>
      </c>
      <c r="C922" s="33">
        <v>1</v>
      </c>
      <c r="D922" s="37"/>
    </row>
    <row r="923" spans="1:4" ht="17.25" hidden="1" outlineLevel="2" x14ac:dyDescent="0.3">
      <c r="A923" s="36" t="s">
        <v>1044</v>
      </c>
      <c r="B923" s="33">
        <v>1</v>
      </c>
      <c r="C923" s="33">
        <v>1</v>
      </c>
      <c r="D923" s="37"/>
    </row>
    <row r="924" spans="1:4" ht="17.25" hidden="1" outlineLevel="2" x14ac:dyDescent="0.3">
      <c r="A924" s="36" t="s">
        <v>1045</v>
      </c>
      <c r="B924" s="33">
        <v>1</v>
      </c>
      <c r="C924" s="33">
        <v>1</v>
      </c>
      <c r="D924" s="37"/>
    </row>
    <row r="925" spans="1:4" ht="17.25" hidden="1" outlineLevel="2" x14ac:dyDescent="0.3">
      <c r="A925" s="36" t="s">
        <v>1046</v>
      </c>
      <c r="B925" s="33">
        <v>1</v>
      </c>
      <c r="C925" s="33">
        <v>1</v>
      </c>
      <c r="D925" s="37"/>
    </row>
    <row r="926" spans="1:4" ht="17.25" hidden="1" outlineLevel="2" x14ac:dyDescent="0.3">
      <c r="A926" s="36" t="s">
        <v>1047</v>
      </c>
      <c r="B926" s="33">
        <v>1</v>
      </c>
      <c r="C926" s="33">
        <v>1</v>
      </c>
      <c r="D926" s="37"/>
    </row>
    <row r="927" spans="1:4" ht="17.25" hidden="1" outlineLevel="2" x14ac:dyDescent="0.3">
      <c r="A927" s="36" t="s">
        <v>1048</v>
      </c>
      <c r="B927" s="33">
        <v>1</v>
      </c>
      <c r="C927" s="33">
        <v>1</v>
      </c>
      <c r="D927" s="37"/>
    </row>
    <row r="928" spans="1:4" ht="17.25" hidden="1" outlineLevel="2" x14ac:dyDescent="0.3">
      <c r="A928" s="36" t="s">
        <v>1049</v>
      </c>
      <c r="B928" s="33">
        <v>1</v>
      </c>
      <c r="C928" s="33">
        <v>1</v>
      </c>
      <c r="D928" s="37"/>
    </row>
    <row r="929" spans="1:4" ht="17.25" hidden="1" outlineLevel="2" x14ac:dyDescent="0.3">
      <c r="A929" s="36" t="s">
        <v>1050</v>
      </c>
      <c r="B929" s="33">
        <v>1</v>
      </c>
      <c r="C929" s="33">
        <v>1</v>
      </c>
      <c r="D929" s="37"/>
    </row>
    <row r="930" spans="1:4" ht="17.25" hidden="1" outlineLevel="2" x14ac:dyDescent="0.3">
      <c r="A930" s="36" t="s">
        <v>1051</v>
      </c>
      <c r="B930" s="33">
        <v>1</v>
      </c>
      <c r="C930" s="33">
        <v>1</v>
      </c>
      <c r="D930" s="37"/>
    </row>
    <row r="931" spans="1:4" ht="17.25" hidden="1" outlineLevel="2" x14ac:dyDescent="0.3">
      <c r="A931" s="36" t="s">
        <v>1052</v>
      </c>
      <c r="B931" s="33">
        <v>1</v>
      </c>
      <c r="C931" s="33">
        <v>1</v>
      </c>
      <c r="D931" s="37"/>
    </row>
    <row r="932" spans="1:4" ht="17.25" hidden="1" outlineLevel="2" x14ac:dyDescent="0.3">
      <c r="A932" s="36" t="s">
        <v>1053</v>
      </c>
      <c r="B932" s="33">
        <v>1</v>
      </c>
      <c r="C932" s="33">
        <v>1</v>
      </c>
      <c r="D932" s="37"/>
    </row>
    <row r="933" spans="1:4" ht="17.25" hidden="1" outlineLevel="2" x14ac:dyDescent="0.3">
      <c r="A933" s="36" t="s">
        <v>362</v>
      </c>
      <c r="B933" s="33">
        <v>1</v>
      </c>
      <c r="C933" s="33">
        <v>1</v>
      </c>
      <c r="D933" s="37"/>
    </row>
    <row r="934" spans="1:4" ht="17.25" hidden="1" outlineLevel="2" x14ac:dyDescent="0.3">
      <c r="A934" s="36" t="s">
        <v>363</v>
      </c>
      <c r="B934" s="33">
        <v>1</v>
      </c>
      <c r="C934" s="33">
        <v>1</v>
      </c>
      <c r="D934" s="37"/>
    </row>
    <row r="935" spans="1:4" ht="17.25" hidden="1" outlineLevel="2" x14ac:dyDescent="0.3">
      <c r="A935" s="36" t="s">
        <v>364</v>
      </c>
      <c r="B935" s="33">
        <v>1</v>
      </c>
      <c r="C935" s="33">
        <v>1</v>
      </c>
      <c r="D935" s="37"/>
    </row>
    <row r="936" spans="1:4" ht="17.25" hidden="1" outlineLevel="2" x14ac:dyDescent="0.3">
      <c r="A936" s="36" t="s">
        <v>365</v>
      </c>
      <c r="B936" s="33">
        <v>1</v>
      </c>
      <c r="C936" s="33">
        <v>1</v>
      </c>
      <c r="D936" s="37"/>
    </row>
    <row r="937" spans="1:4" ht="17.25" hidden="1" outlineLevel="2" x14ac:dyDescent="0.3">
      <c r="A937" s="36" t="s">
        <v>366</v>
      </c>
      <c r="B937" s="33">
        <v>1</v>
      </c>
      <c r="C937" s="33">
        <v>1</v>
      </c>
      <c r="D937" s="37"/>
    </row>
    <row r="938" spans="1:4" ht="17.25" hidden="1" outlineLevel="2" x14ac:dyDescent="0.3">
      <c r="A938" s="36" t="s">
        <v>367</v>
      </c>
      <c r="B938" s="33">
        <v>1</v>
      </c>
      <c r="C938" s="33">
        <v>1</v>
      </c>
      <c r="D938" s="37"/>
    </row>
    <row r="939" spans="1:4" ht="17.25" hidden="1" outlineLevel="2" x14ac:dyDescent="0.3">
      <c r="A939" s="36" t="s">
        <v>368</v>
      </c>
      <c r="B939" s="33">
        <v>1</v>
      </c>
      <c r="C939" s="33">
        <v>1</v>
      </c>
      <c r="D939" s="37"/>
    </row>
    <row r="940" spans="1:4" ht="17.25" hidden="1" outlineLevel="2" x14ac:dyDescent="0.3">
      <c r="A940" s="36" t="s">
        <v>369</v>
      </c>
      <c r="B940" s="33">
        <v>1</v>
      </c>
      <c r="C940" s="33">
        <v>1</v>
      </c>
      <c r="D940" s="37"/>
    </row>
    <row r="941" spans="1:4" ht="17.25" hidden="1" outlineLevel="2" x14ac:dyDescent="0.3">
      <c r="A941" s="36" t="s">
        <v>370</v>
      </c>
      <c r="B941" s="33">
        <v>1</v>
      </c>
      <c r="C941" s="33">
        <v>1</v>
      </c>
      <c r="D941" s="37"/>
    </row>
    <row r="942" spans="1:4" ht="17.25" hidden="1" outlineLevel="2" x14ac:dyDescent="0.3">
      <c r="A942" s="36" t="s">
        <v>371</v>
      </c>
      <c r="B942" s="33">
        <v>1</v>
      </c>
      <c r="C942" s="33">
        <v>1</v>
      </c>
      <c r="D942" s="37"/>
    </row>
    <row r="943" spans="1:4" ht="17.25" hidden="1" outlineLevel="2" x14ac:dyDescent="0.3">
      <c r="A943" s="36" t="s">
        <v>372</v>
      </c>
      <c r="B943" s="33">
        <v>1</v>
      </c>
      <c r="C943" s="33">
        <v>1</v>
      </c>
      <c r="D943" s="37"/>
    </row>
    <row r="944" spans="1:4" ht="17.25" hidden="1" outlineLevel="2" x14ac:dyDescent="0.3">
      <c r="A944" s="36" t="s">
        <v>373</v>
      </c>
      <c r="B944" s="33">
        <v>1</v>
      </c>
      <c r="C944" s="33">
        <v>1</v>
      </c>
      <c r="D944" s="37"/>
    </row>
    <row r="945" spans="1:4" ht="17.25" hidden="1" outlineLevel="2" x14ac:dyDescent="0.3">
      <c r="A945" s="36" t="s">
        <v>374</v>
      </c>
      <c r="B945" s="33">
        <v>1</v>
      </c>
      <c r="C945" s="33">
        <v>1</v>
      </c>
      <c r="D945" s="37"/>
    </row>
    <row r="946" spans="1:4" ht="17.25" hidden="1" outlineLevel="2" x14ac:dyDescent="0.3">
      <c r="A946" s="36" t="s">
        <v>375</v>
      </c>
      <c r="B946" s="33">
        <v>1</v>
      </c>
      <c r="C946" s="33">
        <v>1</v>
      </c>
      <c r="D946" s="37"/>
    </row>
    <row r="947" spans="1:4" ht="17.25" hidden="1" outlineLevel="2" x14ac:dyDescent="0.3">
      <c r="A947" s="36" t="s">
        <v>376</v>
      </c>
      <c r="B947" s="33">
        <v>1</v>
      </c>
      <c r="C947" s="33">
        <v>1</v>
      </c>
      <c r="D947" s="37"/>
    </row>
    <row r="948" spans="1:4" ht="17.25" hidden="1" outlineLevel="2" x14ac:dyDescent="0.3">
      <c r="A948" s="36" t="s">
        <v>377</v>
      </c>
      <c r="B948" s="33">
        <v>1</v>
      </c>
      <c r="C948" s="33">
        <v>1</v>
      </c>
      <c r="D948" s="37"/>
    </row>
    <row r="949" spans="1:4" ht="17.25" hidden="1" outlineLevel="2" x14ac:dyDescent="0.3">
      <c r="A949" s="36" t="s">
        <v>378</v>
      </c>
      <c r="B949" s="33">
        <v>1</v>
      </c>
      <c r="C949" s="33">
        <v>1</v>
      </c>
      <c r="D949" s="37"/>
    </row>
    <row r="950" spans="1:4" ht="17.25" hidden="1" outlineLevel="2" x14ac:dyDescent="0.3">
      <c r="A950" s="36" t="s">
        <v>379</v>
      </c>
      <c r="B950" s="33">
        <v>1</v>
      </c>
      <c r="C950" s="33">
        <v>1</v>
      </c>
      <c r="D950" s="37"/>
    </row>
    <row r="951" spans="1:4" ht="17.25" hidden="1" outlineLevel="2" x14ac:dyDescent="0.3">
      <c r="A951" s="36" t="s">
        <v>380</v>
      </c>
      <c r="B951" s="33">
        <v>1</v>
      </c>
      <c r="C951" s="33">
        <v>1</v>
      </c>
      <c r="D951" s="37"/>
    </row>
    <row r="952" spans="1:4" ht="17.25" hidden="1" outlineLevel="2" x14ac:dyDescent="0.3">
      <c r="A952" s="36" t="s">
        <v>381</v>
      </c>
      <c r="B952" s="33">
        <v>1</v>
      </c>
      <c r="C952" s="33">
        <v>1</v>
      </c>
      <c r="D952" s="37"/>
    </row>
    <row r="953" spans="1:4" ht="17.25" hidden="1" outlineLevel="2" x14ac:dyDescent="0.3">
      <c r="A953" s="36" t="s">
        <v>382</v>
      </c>
      <c r="B953" s="33">
        <v>1</v>
      </c>
      <c r="C953" s="33">
        <v>1</v>
      </c>
      <c r="D953" s="37"/>
    </row>
    <row r="954" spans="1:4" ht="17.25" hidden="1" outlineLevel="2" x14ac:dyDescent="0.3">
      <c r="A954" s="36" t="s">
        <v>5243</v>
      </c>
      <c r="B954" s="33">
        <v>1</v>
      </c>
      <c r="C954" s="33">
        <v>1</v>
      </c>
      <c r="D954" s="37"/>
    </row>
    <row r="955" spans="1:4" ht="17.25" collapsed="1" x14ac:dyDescent="0.3">
      <c r="A955" s="44" t="s">
        <v>5244</v>
      </c>
      <c r="B955" s="26">
        <f>B956+B961+B965+B967</f>
        <v>9</v>
      </c>
      <c r="C955" s="26">
        <f>C956+C961+C965+C967</f>
        <v>9</v>
      </c>
      <c r="D955" s="37"/>
    </row>
    <row r="956" spans="1:4" ht="17.25" hidden="1" outlineLevel="1" collapsed="1" x14ac:dyDescent="0.3">
      <c r="A956" s="45" t="s">
        <v>136</v>
      </c>
      <c r="B956" s="33">
        <f>SUM(B957:B960)</f>
        <v>4</v>
      </c>
      <c r="C956" s="33">
        <f>SUM(C957:C960)</f>
        <v>4</v>
      </c>
      <c r="D956" s="37"/>
    </row>
    <row r="957" spans="1:4" ht="17.25" hidden="1" outlineLevel="2" x14ac:dyDescent="0.3">
      <c r="A957" s="36" t="s">
        <v>5245</v>
      </c>
      <c r="B957" s="33">
        <v>1</v>
      </c>
      <c r="C957" s="33">
        <v>1</v>
      </c>
      <c r="D957" s="37"/>
    </row>
    <row r="958" spans="1:4" ht="17.25" hidden="1" outlineLevel="2" x14ac:dyDescent="0.3">
      <c r="A958" s="36" t="s">
        <v>5246</v>
      </c>
      <c r="B958" s="33">
        <v>1</v>
      </c>
      <c r="C958" s="33">
        <v>1</v>
      </c>
      <c r="D958" s="37"/>
    </row>
    <row r="959" spans="1:4" ht="17.25" hidden="1" outlineLevel="2" x14ac:dyDescent="0.3">
      <c r="A959" s="36" t="s">
        <v>5247</v>
      </c>
      <c r="B959" s="33">
        <v>1</v>
      </c>
      <c r="C959" s="33">
        <v>1</v>
      </c>
      <c r="D959" s="37"/>
    </row>
    <row r="960" spans="1:4" ht="17.25" hidden="1" outlineLevel="2" x14ac:dyDescent="0.3">
      <c r="A960" s="36" t="s">
        <v>5248</v>
      </c>
      <c r="B960" s="33">
        <v>1</v>
      </c>
      <c r="C960" s="33">
        <v>1</v>
      </c>
      <c r="D960" s="37"/>
    </row>
    <row r="961" spans="1:4" ht="17.25" hidden="1" outlineLevel="1" collapsed="1" x14ac:dyDescent="0.3">
      <c r="A961" s="45" t="s">
        <v>5249</v>
      </c>
      <c r="B961" s="33">
        <f>SUM(B962:B964)</f>
        <v>3</v>
      </c>
      <c r="C961" s="33">
        <f>SUM(C962:C964)</f>
        <v>3</v>
      </c>
      <c r="D961" s="37"/>
    </row>
    <row r="962" spans="1:4" ht="17.25" hidden="1" outlineLevel="2" x14ac:dyDescent="0.3">
      <c r="A962" s="36" t="s">
        <v>5250</v>
      </c>
      <c r="B962" s="33">
        <v>1</v>
      </c>
      <c r="C962" s="33">
        <v>1</v>
      </c>
      <c r="D962" s="37"/>
    </row>
    <row r="963" spans="1:4" ht="17.25" hidden="1" outlineLevel="2" x14ac:dyDescent="0.3">
      <c r="A963" s="36" t="s">
        <v>5251</v>
      </c>
      <c r="B963" s="33">
        <v>1</v>
      </c>
      <c r="C963" s="33">
        <v>1</v>
      </c>
      <c r="D963" s="37"/>
    </row>
    <row r="964" spans="1:4" ht="17.25" hidden="1" outlineLevel="2" x14ac:dyDescent="0.3">
      <c r="A964" s="36" t="s">
        <v>5252</v>
      </c>
      <c r="B964" s="33">
        <v>1</v>
      </c>
      <c r="C964" s="33">
        <v>1</v>
      </c>
      <c r="D964" s="37"/>
    </row>
    <row r="965" spans="1:4" ht="17.25" hidden="1" outlineLevel="1" collapsed="1" x14ac:dyDescent="0.3">
      <c r="A965" s="45" t="s">
        <v>5253</v>
      </c>
      <c r="B965" s="33">
        <f>SUM(B966:B966)</f>
        <v>1</v>
      </c>
      <c r="C965" s="33">
        <f>SUM(C966:C966)</f>
        <v>1</v>
      </c>
      <c r="D965" s="37"/>
    </row>
    <row r="966" spans="1:4" ht="17.25" hidden="1" outlineLevel="2" x14ac:dyDescent="0.3">
      <c r="A966" s="36" t="s">
        <v>5254</v>
      </c>
      <c r="B966" s="33">
        <v>1</v>
      </c>
      <c r="C966" s="33">
        <v>1</v>
      </c>
      <c r="D966" s="37"/>
    </row>
    <row r="967" spans="1:4" ht="17.25" hidden="1" outlineLevel="1" collapsed="1" x14ac:dyDescent="0.3">
      <c r="A967" s="45" t="s">
        <v>1054</v>
      </c>
      <c r="B967" s="33">
        <f>SUM(B968:B968)</f>
        <v>1</v>
      </c>
      <c r="C967" s="33">
        <f>SUM(C968:C968)</f>
        <v>1</v>
      </c>
      <c r="D967" s="37"/>
    </row>
    <row r="968" spans="1:4" ht="17.25" hidden="1" outlineLevel="2" x14ac:dyDescent="0.3">
      <c r="A968" s="36" t="s">
        <v>5255</v>
      </c>
      <c r="B968" s="33">
        <v>1</v>
      </c>
      <c r="C968" s="33">
        <v>1</v>
      </c>
      <c r="D968" s="37"/>
    </row>
    <row r="969" spans="1:4" ht="17.25" collapsed="1" x14ac:dyDescent="0.3">
      <c r="A969" s="44" t="s">
        <v>148</v>
      </c>
      <c r="B969" s="26">
        <f>B970</f>
        <v>69</v>
      </c>
      <c r="C969" s="26">
        <f>C970</f>
        <v>69</v>
      </c>
      <c r="D969" s="37"/>
    </row>
    <row r="970" spans="1:4" ht="17.25" hidden="1" outlineLevel="1" collapsed="1" x14ac:dyDescent="0.3">
      <c r="A970" s="45" t="s">
        <v>147</v>
      </c>
      <c r="B970" s="33">
        <f>SUM(B971:B1039)</f>
        <v>69</v>
      </c>
      <c r="C970" s="33">
        <f>SUM(C971:C1039)</f>
        <v>69</v>
      </c>
      <c r="D970" s="37"/>
    </row>
    <row r="971" spans="1:4" ht="17.25" hidden="1" outlineLevel="2" x14ac:dyDescent="0.3">
      <c r="A971" s="36" t="s">
        <v>5256</v>
      </c>
      <c r="B971" s="33">
        <v>1</v>
      </c>
      <c r="C971" s="33">
        <v>1</v>
      </c>
      <c r="D971" s="37"/>
    </row>
    <row r="972" spans="1:4" ht="17.25" hidden="1" outlineLevel="2" x14ac:dyDescent="0.3">
      <c r="A972" s="36" t="s">
        <v>5257</v>
      </c>
      <c r="B972" s="33">
        <v>1</v>
      </c>
      <c r="C972" s="33">
        <v>1</v>
      </c>
      <c r="D972" s="37"/>
    </row>
    <row r="973" spans="1:4" ht="17.25" hidden="1" outlineLevel="2" x14ac:dyDescent="0.3">
      <c r="A973" s="36" t="s">
        <v>5258</v>
      </c>
      <c r="B973" s="33">
        <v>1</v>
      </c>
      <c r="C973" s="33">
        <v>1</v>
      </c>
      <c r="D973" s="37"/>
    </row>
    <row r="974" spans="1:4" ht="17.25" hidden="1" outlineLevel="2" x14ac:dyDescent="0.3">
      <c r="A974" s="36" t="s">
        <v>5259</v>
      </c>
      <c r="B974" s="33">
        <v>1</v>
      </c>
      <c r="C974" s="33">
        <v>1</v>
      </c>
      <c r="D974" s="37"/>
    </row>
    <row r="975" spans="1:4" ht="17.25" hidden="1" outlineLevel="2" x14ac:dyDescent="0.3">
      <c r="A975" s="36" t="s">
        <v>5260</v>
      </c>
      <c r="B975" s="33">
        <v>1</v>
      </c>
      <c r="C975" s="33">
        <v>1</v>
      </c>
      <c r="D975" s="37"/>
    </row>
    <row r="976" spans="1:4" ht="17.25" hidden="1" outlineLevel="2" x14ac:dyDescent="0.3">
      <c r="A976" s="36" t="s">
        <v>5261</v>
      </c>
      <c r="B976" s="33">
        <v>1</v>
      </c>
      <c r="C976" s="33">
        <v>1</v>
      </c>
      <c r="D976" s="37"/>
    </row>
    <row r="977" spans="1:4" ht="17.25" hidden="1" outlineLevel="2" x14ac:dyDescent="0.3">
      <c r="A977" s="36" t="s">
        <v>5262</v>
      </c>
      <c r="B977" s="33">
        <v>1</v>
      </c>
      <c r="C977" s="33">
        <v>1</v>
      </c>
      <c r="D977" s="37"/>
    </row>
    <row r="978" spans="1:4" ht="17.25" hidden="1" outlineLevel="2" x14ac:dyDescent="0.3">
      <c r="A978" s="36" t="s">
        <v>5263</v>
      </c>
      <c r="B978" s="33">
        <v>1</v>
      </c>
      <c r="C978" s="33">
        <v>1</v>
      </c>
      <c r="D978" s="37"/>
    </row>
    <row r="979" spans="1:4" ht="17.25" hidden="1" outlineLevel="2" x14ac:dyDescent="0.3">
      <c r="A979" s="36" t="s">
        <v>5264</v>
      </c>
      <c r="B979" s="33">
        <v>1</v>
      </c>
      <c r="C979" s="33">
        <v>1</v>
      </c>
      <c r="D979" s="37"/>
    </row>
    <row r="980" spans="1:4" ht="17.25" hidden="1" outlineLevel="2" x14ac:dyDescent="0.3">
      <c r="A980" s="36" t="s">
        <v>5265</v>
      </c>
      <c r="B980" s="33">
        <v>1</v>
      </c>
      <c r="C980" s="33">
        <v>1</v>
      </c>
      <c r="D980" s="37"/>
    </row>
    <row r="981" spans="1:4" ht="17.25" hidden="1" outlineLevel="2" x14ac:dyDescent="0.3">
      <c r="A981" s="36" t="s">
        <v>5266</v>
      </c>
      <c r="B981" s="33">
        <v>1</v>
      </c>
      <c r="C981" s="33">
        <v>1</v>
      </c>
      <c r="D981" s="37"/>
    </row>
    <row r="982" spans="1:4" ht="17.25" hidden="1" outlineLevel="2" x14ac:dyDescent="0.3">
      <c r="A982" s="36" t="s">
        <v>5267</v>
      </c>
      <c r="B982" s="33">
        <v>1</v>
      </c>
      <c r="C982" s="33">
        <v>1</v>
      </c>
      <c r="D982" s="37"/>
    </row>
    <row r="983" spans="1:4" ht="17.25" hidden="1" outlineLevel="2" x14ac:dyDescent="0.3">
      <c r="A983" s="36" t="s">
        <v>5268</v>
      </c>
      <c r="B983" s="33">
        <v>1</v>
      </c>
      <c r="C983" s="33">
        <v>1</v>
      </c>
      <c r="D983" s="37"/>
    </row>
    <row r="984" spans="1:4" ht="17.25" hidden="1" outlineLevel="2" x14ac:dyDescent="0.3">
      <c r="A984" s="36" t="s">
        <v>5269</v>
      </c>
      <c r="B984" s="33">
        <v>1</v>
      </c>
      <c r="C984" s="33">
        <v>1</v>
      </c>
      <c r="D984" s="37"/>
    </row>
    <row r="985" spans="1:4" ht="17.25" hidden="1" outlineLevel="2" x14ac:dyDescent="0.3">
      <c r="A985" s="36" t="s">
        <v>5270</v>
      </c>
      <c r="B985" s="33">
        <v>1</v>
      </c>
      <c r="C985" s="33">
        <v>1</v>
      </c>
      <c r="D985" s="37"/>
    </row>
    <row r="986" spans="1:4" ht="17.25" hidden="1" outlineLevel="2" x14ac:dyDescent="0.3">
      <c r="A986" s="36" t="s">
        <v>5271</v>
      </c>
      <c r="B986" s="33">
        <v>1</v>
      </c>
      <c r="C986" s="33">
        <v>1</v>
      </c>
      <c r="D986" s="37"/>
    </row>
    <row r="987" spans="1:4" ht="17.25" hidden="1" outlineLevel="2" x14ac:dyDescent="0.3">
      <c r="A987" s="36" t="s">
        <v>5272</v>
      </c>
      <c r="B987" s="33">
        <v>1</v>
      </c>
      <c r="C987" s="33">
        <v>1</v>
      </c>
      <c r="D987" s="37"/>
    </row>
    <row r="988" spans="1:4" ht="17.25" hidden="1" outlineLevel="2" x14ac:dyDescent="0.3">
      <c r="A988" s="36" t="s">
        <v>5273</v>
      </c>
      <c r="B988" s="33">
        <v>1</v>
      </c>
      <c r="C988" s="33">
        <v>1</v>
      </c>
      <c r="D988" s="37"/>
    </row>
    <row r="989" spans="1:4" ht="17.25" hidden="1" outlineLevel="2" x14ac:dyDescent="0.3">
      <c r="A989" s="36" t="s">
        <v>5274</v>
      </c>
      <c r="B989" s="33">
        <v>1</v>
      </c>
      <c r="C989" s="33">
        <v>1</v>
      </c>
      <c r="D989" s="37"/>
    </row>
    <row r="990" spans="1:4" ht="17.25" hidden="1" outlineLevel="2" x14ac:dyDescent="0.3">
      <c r="A990" s="36" t="s">
        <v>5275</v>
      </c>
      <c r="B990" s="33">
        <v>1</v>
      </c>
      <c r="C990" s="33">
        <v>1</v>
      </c>
      <c r="D990" s="37"/>
    </row>
    <row r="991" spans="1:4" ht="17.25" hidden="1" outlineLevel="2" x14ac:dyDescent="0.3">
      <c r="A991" s="36" t="s">
        <v>5276</v>
      </c>
      <c r="B991" s="33">
        <v>1</v>
      </c>
      <c r="C991" s="33">
        <v>1</v>
      </c>
      <c r="D991" s="37"/>
    </row>
    <row r="992" spans="1:4" ht="17.25" hidden="1" outlineLevel="2" x14ac:dyDescent="0.3">
      <c r="A992" s="36" t="s">
        <v>5277</v>
      </c>
      <c r="B992" s="33">
        <v>1</v>
      </c>
      <c r="C992" s="33">
        <v>1</v>
      </c>
      <c r="D992" s="37"/>
    </row>
    <row r="993" spans="1:4" ht="17.25" hidden="1" outlineLevel="2" x14ac:dyDescent="0.3">
      <c r="A993" s="36" t="s">
        <v>5278</v>
      </c>
      <c r="B993" s="33">
        <v>1</v>
      </c>
      <c r="C993" s="33">
        <v>1</v>
      </c>
      <c r="D993" s="37"/>
    </row>
    <row r="994" spans="1:4" ht="17.25" hidden="1" outlineLevel="2" x14ac:dyDescent="0.3">
      <c r="A994" s="36" t="s">
        <v>5279</v>
      </c>
      <c r="B994" s="33">
        <v>1</v>
      </c>
      <c r="C994" s="33">
        <v>1</v>
      </c>
      <c r="D994" s="37"/>
    </row>
    <row r="995" spans="1:4" ht="17.25" hidden="1" outlineLevel="2" x14ac:dyDescent="0.3">
      <c r="A995" s="36" t="s">
        <v>5280</v>
      </c>
      <c r="B995" s="33">
        <v>1</v>
      </c>
      <c r="C995" s="33">
        <v>1</v>
      </c>
      <c r="D995" s="37"/>
    </row>
    <row r="996" spans="1:4" ht="17.25" hidden="1" outlineLevel="2" x14ac:dyDescent="0.3">
      <c r="A996" s="36" t="s">
        <v>5281</v>
      </c>
      <c r="B996" s="33">
        <v>1</v>
      </c>
      <c r="C996" s="33">
        <v>1</v>
      </c>
      <c r="D996" s="37"/>
    </row>
    <row r="997" spans="1:4" ht="17.25" hidden="1" outlineLevel="2" x14ac:dyDescent="0.3">
      <c r="A997" s="36" t="s">
        <v>5282</v>
      </c>
      <c r="B997" s="33">
        <v>1</v>
      </c>
      <c r="C997" s="33">
        <v>1</v>
      </c>
      <c r="D997" s="37"/>
    </row>
    <row r="998" spans="1:4" ht="17.25" hidden="1" outlineLevel="2" x14ac:dyDescent="0.3">
      <c r="A998" s="36" t="s">
        <v>5283</v>
      </c>
      <c r="B998" s="33">
        <v>1</v>
      </c>
      <c r="C998" s="33">
        <v>1</v>
      </c>
      <c r="D998" s="37"/>
    </row>
    <row r="999" spans="1:4" ht="17.25" hidden="1" outlineLevel="2" x14ac:dyDescent="0.3">
      <c r="A999" s="36" t="s">
        <v>5284</v>
      </c>
      <c r="B999" s="33">
        <v>1</v>
      </c>
      <c r="C999" s="33">
        <v>1</v>
      </c>
      <c r="D999" s="37"/>
    </row>
    <row r="1000" spans="1:4" ht="17.25" hidden="1" outlineLevel="2" x14ac:dyDescent="0.3">
      <c r="A1000" s="36" t="s">
        <v>5285</v>
      </c>
      <c r="B1000" s="33">
        <v>1</v>
      </c>
      <c r="C1000" s="33">
        <v>1</v>
      </c>
      <c r="D1000" s="37"/>
    </row>
    <row r="1001" spans="1:4" ht="17.25" hidden="1" outlineLevel="2" x14ac:dyDescent="0.3">
      <c r="A1001" s="36" t="s">
        <v>5286</v>
      </c>
      <c r="B1001" s="33">
        <v>1</v>
      </c>
      <c r="C1001" s="33">
        <v>1</v>
      </c>
      <c r="D1001" s="37"/>
    </row>
    <row r="1002" spans="1:4" ht="17.25" hidden="1" outlineLevel="2" x14ac:dyDescent="0.3">
      <c r="A1002" s="36" t="s">
        <v>5287</v>
      </c>
      <c r="B1002" s="33">
        <v>1</v>
      </c>
      <c r="C1002" s="33">
        <v>1</v>
      </c>
      <c r="D1002" s="37"/>
    </row>
    <row r="1003" spans="1:4" ht="17.25" hidden="1" outlineLevel="2" x14ac:dyDescent="0.3">
      <c r="A1003" s="36" t="s">
        <v>5288</v>
      </c>
      <c r="B1003" s="33">
        <v>1</v>
      </c>
      <c r="C1003" s="33">
        <v>1</v>
      </c>
      <c r="D1003" s="37"/>
    </row>
    <row r="1004" spans="1:4" ht="17.25" hidden="1" outlineLevel="2" x14ac:dyDescent="0.3">
      <c r="A1004" s="36" t="s">
        <v>5289</v>
      </c>
      <c r="B1004" s="33">
        <v>1</v>
      </c>
      <c r="C1004" s="33">
        <v>1</v>
      </c>
      <c r="D1004" s="37"/>
    </row>
    <row r="1005" spans="1:4" ht="17.25" hidden="1" outlineLevel="2" x14ac:dyDescent="0.3">
      <c r="A1005" s="36" t="s">
        <v>5290</v>
      </c>
      <c r="B1005" s="33">
        <v>1</v>
      </c>
      <c r="C1005" s="33">
        <v>1</v>
      </c>
      <c r="D1005" s="37"/>
    </row>
    <row r="1006" spans="1:4" ht="17.25" hidden="1" outlineLevel="2" x14ac:dyDescent="0.3">
      <c r="A1006" s="36" t="s">
        <v>5291</v>
      </c>
      <c r="B1006" s="33">
        <v>1</v>
      </c>
      <c r="C1006" s="33">
        <v>1</v>
      </c>
      <c r="D1006" s="37"/>
    </row>
    <row r="1007" spans="1:4" ht="17.25" hidden="1" outlineLevel="2" x14ac:dyDescent="0.3">
      <c r="A1007" s="36" t="s">
        <v>5292</v>
      </c>
      <c r="B1007" s="33">
        <v>1</v>
      </c>
      <c r="C1007" s="33">
        <v>1</v>
      </c>
      <c r="D1007" s="37"/>
    </row>
    <row r="1008" spans="1:4" ht="17.25" hidden="1" outlineLevel="2" x14ac:dyDescent="0.3">
      <c r="A1008" s="36" t="s">
        <v>5293</v>
      </c>
      <c r="B1008" s="33">
        <v>1</v>
      </c>
      <c r="C1008" s="33">
        <v>1</v>
      </c>
      <c r="D1008" s="37"/>
    </row>
    <row r="1009" spans="1:4" ht="17.25" hidden="1" outlineLevel="2" x14ac:dyDescent="0.3">
      <c r="A1009" s="36" t="s">
        <v>5294</v>
      </c>
      <c r="B1009" s="33">
        <v>1</v>
      </c>
      <c r="C1009" s="33">
        <v>1</v>
      </c>
      <c r="D1009" s="37"/>
    </row>
    <row r="1010" spans="1:4" ht="17.25" hidden="1" outlineLevel="2" x14ac:dyDescent="0.3">
      <c r="A1010" s="36" t="s">
        <v>5295</v>
      </c>
      <c r="B1010" s="33">
        <v>1</v>
      </c>
      <c r="C1010" s="33">
        <v>1</v>
      </c>
      <c r="D1010" s="37"/>
    </row>
    <row r="1011" spans="1:4" ht="17.25" hidden="1" outlineLevel="2" x14ac:dyDescent="0.3">
      <c r="A1011" s="36" t="s">
        <v>5296</v>
      </c>
      <c r="B1011" s="33">
        <v>1</v>
      </c>
      <c r="C1011" s="33">
        <v>1</v>
      </c>
      <c r="D1011" s="37"/>
    </row>
    <row r="1012" spans="1:4" ht="17.25" hidden="1" outlineLevel="2" x14ac:dyDescent="0.3">
      <c r="A1012" s="36" t="s">
        <v>5297</v>
      </c>
      <c r="B1012" s="33">
        <v>1</v>
      </c>
      <c r="C1012" s="33">
        <v>1</v>
      </c>
      <c r="D1012" s="37"/>
    </row>
    <row r="1013" spans="1:4" ht="17.25" hidden="1" outlineLevel="2" x14ac:dyDescent="0.3">
      <c r="A1013" s="36" t="s">
        <v>5298</v>
      </c>
      <c r="B1013" s="33">
        <v>1</v>
      </c>
      <c r="C1013" s="33">
        <v>1</v>
      </c>
      <c r="D1013" s="37"/>
    </row>
    <row r="1014" spans="1:4" ht="17.25" hidden="1" outlineLevel="2" x14ac:dyDescent="0.3">
      <c r="A1014" s="36" t="s">
        <v>1215</v>
      </c>
      <c r="B1014" s="33">
        <v>1</v>
      </c>
      <c r="C1014" s="33">
        <v>1</v>
      </c>
      <c r="D1014" s="37"/>
    </row>
    <row r="1015" spans="1:4" ht="17.25" hidden="1" outlineLevel="2" x14ac:dyDescent="0.3">
      <c r="A1015" s="36" t="s">
        <v>1216</v>
      </c>
      <c r="B1015" s="33">
        <v>1</v>
      </c>
      <c r="C1015" s="33">
        <v>1</v>
      </c>
      <c r="D1015" s="37"/>
    </row>
    <row r="1016" spans="1:4" ht="17.25" hidden="1" outlineLevel="2" x14ac:dyDescent="0.3">
      <c r="A1016" s="36" t="s">
        <v>1217</v>
      </c>
      <c r="B1016" s="33">
        <v>1</v>
      </c>
      <c r="C1016" s="33">
        <v>1</v>
      </c>
      <c r="D1016" s="37"/>
    </row>
    <row r="1017" spans="1:4" ht="17.25" hidden="1" outlineLevel="2" x14ac:dyDescent="0.3">
      <c r="A1017" s="36" t="s">
        <v>1218</v>
      </c>
      <c r="B1017" s="33">
        <v>1</v>
      </c>
      <c r="C1017" s="33">
        <v>1</v>
      </c>
      <c r="D1017" s="37"/>
    </row>
    <row r="1018" spans="1:4" ht="17.25" hidden="1" outlineLevel="2" x14ac:dyDescent="0.3">
      <c r="A1018" s="36" t="s">
        <v>1219</v>
      </c>
      <c r="B1018" s="33">
        <v>1</v>
      </c>
      <c r="C1018" s="33">
        <v>1</v>
      </c>
      <c r="D1018" s="37"/>
    </row>
    <row r="1019" spans="1:4" ht="17.25" hidden="1" outlineLevel="2" x14ac:dyDescent="0.3">
      <c r="A1019" s="36" t="s">
        <v>1220</v>
      </c>
      <c r="B1019" s="33">
        <v>1</v>
      </c>
      <c r="C1019" s="33">
        <v>1</v>
      </c>
      <c r="D1019" s="37"/>
    </row>
    <row r="1020" spans="1:4" ht="17.25" hidden="1" outlineLevel="2" x14ac:dyDescent="0.3">
      <c r="A1020" s="36" t="s">
        <v>1221</v>
      </c>
      <c r="B1020" s="33">
        <v>1</v>
      </c>
      <c r="C1020" s="33">
        <v>1</v>
      </c>
      <c r="D1020" s="37"/>
    </row>
    <row r="1021" spans="1:4" ht="17.25" hidden="1" outlineLevel="2" x14ac:dyDescent="0.3">
      <c r="A1021" s="36" t="s">
        <v>1222</v>
      </c>
      <c r="B1021" s="33">
        <v>1</v>
      </c>
      <c r="C1021" s="33">
        <v>1</v>
      </c>
      <c r="D1021" s="37"/>
    </row>
    <row r="1022" spans="1:4" ht="17.25" hidden="1" outlineLevel="2" x14ac:dyDescent="0.3">
      <c r="A1022" s="36" t="s">
        <v>1223</v>
      </c>
      <c r="B1022" s="33">
        <v>1</v>
      </c>
      <c r="C1022" s="33">
        <v>1</v>
      </c>
      <c r="D1022" s="37"/>
    </row>
    <row r="1023" spans="1:4" ht="17.25" hidden="1" outlineLevel="2" x14ac:dyDescent="0.3">
      <c r="A1023" s="36" t="s">
        <v>1224</v>
      </c>
      <c r="B1023" s="33">
        <v>1</v>
      </c>
      <c r="C1023" s="33">
        <v>1</v>
      </c>
      <c r="D1023" s="37"/>
    </row>
    <row r="1024" spans="1:4" ht="17.25" hidden="1" outlineLevel="2" x14ac:dyDescent="0.3">
      <c r="A1024" s="36" t="s">
        <v>1225</v>
      </c>
      <c r="B1024" s="33">
        <v>1</v>
      </c>
      <c r="C1024" s="33">
        <v>1</v>
      </c>
      <c r="D1024" s="37"/>
    </row>
    <row r="1025" spans="1:4" ht="17.25" hidden="1" outlineLevel="2" x14ac:dyDescent="0.3">
      <c r="A1025" s="36" t="s">
        <v>1226</v>
      </c>
      <c r="B1025" s="33">
        <v>1</v>
      </c>
      <c r="C1025" s="33">
        <v>1</v>
      </c>
      <c r="D1025" s="37"/>
    </row>
    <row r="1026" spans="1:4" ht="17.25" hidden="1" outlineLevel="2" x14ac:dyDescent="0.3">
      <c r="A1026" s="36" t="s">
        <v>1227</v>
      </c>
      <c r="B1026" s="33">
        <v>1</v>
      </c>
      <c r="C1026" s="33">
        <v>1</v>
      </c>
      <c r="D1026" s="37"/>
    </row>
    <row r="1027" spans="1:4" ht="17.25" hidden="1" outlineLevel="2" x14ac:dyDescent="0.3">
      <c r="A1027" s="36" t="s">
        <v>1228</v>
      </c>
      <c r="B1027" s="33">
        <v>1</v>
      </c>
      <c r="C1027" s="33">
        <v>1</v>
      </c>
      <c r="D1027" s="37"/>
    </row>
    <row r="1028" spans="1:4" ht="17.25" hidden="1" outlineLevel="2" x14ac:dyDescent="0.3">
      <c r="A1028" s="36" t="s">
        <v>403</v>
      </c>
      <c r="B1028" s="33">
        <v>1</v>
      </c>
      <c r="C1028" s="33">
        <v>1</v>
      </c>
      <c r="D1028" s="37"/>
    </row>
    <row r="1029" spans="1:4" ht="17.25" hidden="1" outlineLevel="2" x14ac:dyDescent="0.3">
      <c r="A1029" s="36" t="s">
        <v>404</v>
      </c>
      <c r="B1029" s="33">
        <v>1</v>
      </c>
      <c r="C1029" s="33">
        <v>1</v>
      </c>
      <c r="D1029" s="37"/>
    </row>
    <row r="1030" spans="1:4" ht="17.25" hidden="1" outlineLevel="2" x14ac:dyDescent="0.3">
      <c r="A1030" s="36" t="s">
        <v>5299</v>
      </c>
      <c r="B1030" s="33">
        <v>1</v>
      </c>
      <c r="C1030" s="33">
        <v>1</v>
      </c>
      <c r="D1030" s="37"/>
    </row>
    <row r="1031" spans="1:4" ht="17.25" hidden="1" outlineLevel="2" x14ac:dyDescent="0.3">
      <c r="A1031" s="36" t="s">
        <v>5300</v>
      </c>
      <c r="B1031" s="33">
        <v>1</v>
      </c>
      <c r="C1031" s="33">
        <v>1</v>
      </c>
      <c r="D1031" s="37"/>
    </row>
    <row r="1032" spans="1:4" ht="17.25" hidden="1" outlineLevel="2" x14ac:dyDescent="0.3">
      <c r="A1032" s="36" t="s">
        <v>5301</v>
      </c>
      <c r="B1032" s="33">
        <v>1</v>
      </c>
      <c r="C1032" s="33">
        <v>1</v>
      </c>
      <c r="D1032" s="37"/>
    </row>
    <row r="1033" spans="1:4" ht="17.25" hidden="1" outlineLevel="2" x14ac:dyDescent="0.3">
      <c r="A1033" s="36" t="s">
        <v>5302</v>
      </c>
      <c r="B1033" s="33">
        <v>1</v>
      </c>
      <c r="C1033" s="33">
        <v>1</v>
      </c>
      <c r="D1033" s="37"/>
    </row>
    <row r="1034" spans="1:4" ht="17.25" hidden="1" outlineLevel="2" x14ac:dyDescent="0.3">
      <c r="A1034" s="36" t="s">
        <v>5303</v>
      </c>
      <c r="B1034" s="33">
        <v>1</v>
      </c>
      <c r="C1034" s="33">
        <v>1</v>
      </c>
      <c r="D1034" s="37"/>
    </row>
    <row r="1035" spans="1:4" ht="17.25" hidden="1" outlineLevel="2" x14ac:dyDescent="0.3">
      <c r="A1035" s="36" t="s">
        <v>5304</v>
      </c>
      <c r="B1035" s="33">
        <v>1</v>
      </c>
      <c r="C1035" s="33">
        <v>1</v>
      </c>
      <c r="D1035" s="37"/>
    </row>
    <row r="1036" spans="1:4" ht="17.25" hidden="1" outlineLevel="2" x14ac:dyDescent="0.3">
      <c r="A1036" s="36" t="s">
        <v>5305</v>
      </c>
      <c r="B1036" s="33">
        <v>1</v>
      </c>
      <c r="C1036" s="33">
        <v>1</v>
      </c>
      <c r="D1036" s="37"/>
    </row>
    <row r="1037" spans="1:4" ht="17.25" hidden="1" outlineLevel="2" x14ac:dyDescent="0.3">
      <c r="A1037" s="36" t="s">
        <v>5306</v>
      </c>
      <c r="B1037" s="33">
        <v>1</v>
      </c>
      <c r="C1037" s="33">
        <v>1</v>
      </c>
      <c r="D1037" s="37"/>
    </row>
    <row r="1038" spans="1:4" ht="17.25" hidden="1" outlineLevel="2" x14ac:dyDescent="0.3">
      <c r="A1038" s="36" t="s">
        <v>5307</v>
      </c>
      <c r="B1038" s="33">
        <v>1</v>
      </c>
      <c r="C1038" s="33">
        <v>1</v>
      </c>
      <c r="D1038" s="37"/>
    </row>
    <row r="1039" spans="1:4" ht="17.25" hidden="1" outlineLevel="2" x14ac:dyDescent="0.3">
      <c r="A1039" s="36" t="s">
        <v>5308</v>
      </c>
      <c r="B1039" s="33">
        <v>1</v>
      </c>
      <c r="C1039" s="33">
        <v>1</v>
      </c>
      <c r="D1039" s="37"/>
    </row>
    <row r="1040" spans="1:4" ht="17.25" collapsed="1" x14ac:dyDescent="0.3">
      <c r="A1040" s="44" t="s">
        <v>5309</v>
      </c>
      <c r="B1040" s="26">
        <f>B1041</f>
        <v>4</v>
      </c>
      <c r="C1040" s="26">
        <f>C1041</f>
        <v>4</v>
      </c>
      <c r="D1040" s="37"/>
    </row>
    <row r="1041" spans="1:4" ht="17.25" hidden="1" outlineLevel="1" collapsed="1" x14ac:dyDescent="0.3">
      <c r="A1041" s="45" t="s">
        <v>147</v>
      </c>
      <c r="B1041" s="33">
        <f>SUM(B1042:B1045)</f>
        <v>4</v>
      </c>
      <c r="C1041" s="33">
        <f>SUM(C1042:C1045)</f>
        <v>4</v>
      </c>
      <c r="D1041" s="37"/>
    </row>
    <row r="1042" spans="1:4" ht="17.25" hidden="1" outlineLevel="2" x14ac:dyDescent="0.3">
      <c r="A1042" s="36" t="s">
        <v>5310</v>
      </c>
      <c r="B1042" s="33">
        <v>1</v>
      </c>
      <c r="C1042" s="33">
        <v>1</v>
      </c>
      <c r="D1042" s="37"/>
    </row>
    <row r="1043" spans="1:4" ht="17.25" hidden="1" outlineLevel="2" x14ac:dyDescent="0.3">
      <c r="A1043" s="36" t="s">
        <v>5311</v>
      </c>
      <c r="B1043" s="33">
        <v>1</v>
      </c>
      <c r="C1043" s="33">
        <v>1</v>
      </c>
      <c r="D1043" s="37"/>
    </row>
    <row r="1044" spans="1:4" ht="17.25" hidden="1" outlineLevel="2" x14ac:dyDescent="0.3">
      <c r="A1044" s="36" t="s">
        <v>5312</v>
      </c>
      <c r="B1044" s="33">
        <v>1</v>
      </c>
      <c r="C1044" s="33">
        <v>1</v>
      </c>
      <c r="D1044" s="37"/>
    </row>
    <row r="1045" spans="1:4" ht="17.25" hidden="1" outlineLevel="2" x14ac:dyDescent="0.3">
      <c r="A1045" s="36" t="s">
        <v>5313</v>
      </c>
      <c r="B1045" s="33">
        <v>1</v>
      </c>
      <c r="C1045" s="33">
        <v>1</v>
      </c>
      <c r="D1045" s="37"/>
    </row>
    <row r="1046" spans="1:4" ht="17.25" collapsed="1" x14ac:dyDescent="0.3">
      <c r="A1046" s="44" t="s">
        <v>5314</v>
      </c>
      <c r="B1046" s="26">
        <f>B1047+B1052+B1062</f>
        <v>14</v>
      </c>
      <c r="C1046" s="26">
        <f>C1047+C1052+C1062</f>
        <v>14</v>
      </c>
      <c r="D1046" s="37"/>
    </row>
    <row r="1047" spans="1:4" ht="17.25" hidden="1" outlineLevel="1" collapsed="1" x14ac:dyDescent="0.3">
      <c r="A1047" s="45" t="s">
        <v>147</v>
      </c>
      <c r="B1047" s="33">
        <f>SUM(B1048:B1051)</f>
        <v>4</v>
      </c>
      <c r="C1047" s="33">
        <f>SUM(C1048:C1051)</f>
        <v>4</v>
      </c>
      <c r="D1047" s="37"/>
    </row>
    <row r="1048" spans="1:4" ht="17.25" hidden="1" outlineLevel="2" x14ac:dyDescent="0.3">
      <c r="A1048" s="36" t="s">
        <v>5315</v>
      </c>
      <c r="B1048" s="33">
        <v>1</v>
      </c>
      <c r="C1048" s="33">
        <v>1</v>
      </c>
      <c r="D1048" s="37"/>
    </row>
    <row r="1049" spans="1:4" ht="17.25" hidden="1" outlineLevel="2" x14ac:dyDescent="0.3">
      <c r="A1049" s="36" t="s">
        <v>5316</v>
      </c>
      <c r="B1049" s="33">
        <v>1</v>
      </c>
      <c r="C1049" s="33">
        <v>1</v>
      </c>
      <c r="D1049" s="37"/>
    </row>
    <row r="1050" spans="1:4" ht="17.25" hidden="1" outlineLevel="2" x14ac:dyDescent="0.3">
      <c r="A1050" s="36" t="s">
        <v>5312</v>
      </c>
      <c r="B1050" s="33">
        <v>1</v>
      </c>
      <c r="C1050" s="33">
        <v>1</v>
      </c>
      <c r="D1050" s="37"/>
    </row>
    <row r="1051" spans="1:4" ht="17.25" hidden="1" outlineLevel="2" x14ac:dyDescent="0.3">
      <c r="A1051" s="36" t="s">
        <v>5317</v>
      </c>
      <c r="B1051" s="33">
        <v>1</v>
      </c>
      <c r="C1051" s="33">
        <v>1</v>
      </c>
      <c r="D1051" s="37"/>
    </row>
    <row r="1052" spans="1:4" ht="17.25" hidden="1" outlineLevel="1" collapsed="1" x14ac:dyDescent="0.3">
      <c r="A1052" s="45" t="s">
        <v>5318</v>
      </c>
      <c r="B1052" s="33">
        <f>SUM(B1053:B1061)</f>
        <v>9</v>
      </c>
      <c r="C1052" s="33">
        <f>SUM(C1053:C1061)</f>
        <v>9</v>
      </c>
      <c r="D1052" s="37"/>
    </row>
    <row r="1053" spans="1:4" ht="17.25" hidden="1" outlineLevel="2" x14ac:dyDescent="0.3">
      <c r="A1053" s="36" t="s">
        <v>5319</v>
      </c>
      <c r="B1053" s="33">
        <v>1</v>
      </c>
      <c r="C1053" s="33">
        <v>1</v>
      </c>
      <c r="D1053" s="37"/>
    </row>
    <row r="1054" spans="1:4" ht="17.25" hidden="1" outlineLevel="2" x14ac:dyDescent="0.3">
      <c r="A1054" s="36" t="s">
        <v>5320</v>
      </c>
      <c r="B1054" s="33">
        <v>1</v>
      </c>
      <c r="C1054" s="33">
        <v>1</v>
      </c>
      <c r="D1054" s="37"/>
    </row>
    <row r="1055" spans="1:4" ht="17.25" hidden="1" outlineLevel="2" x14ac:dyDescent="0.3">
      <c r="A1055" s="36" t="s">
        <v>5321</v>
      </c>
      <c r="B1055" s="33">
        <v>1</v>
      </c>
      <c r="C1055" s="33">
        <v>1</v>
      </c>
      <c r="D1055" s="37"/>
    </row>
    <row r="1056" spans="1:4" ht="17.25" hidden="1" outlineLevel="2" x14ac:dyDescent="0.3">
      <c r="A1056" s="36" t="s">
        <v>5322</v>
      </c>
      <c r="B1056" s="33">
        <v>1</v>
      </c>
      <c r="C1056" s="33">
        <v>1</v>
      </c>
      <c r="D1056" s="37"/>
    </row>
    <row r="1057" spans="1:4" ht="17.25" hidden="1" outlineLevel="2" x14ac:dyDescent="0.3">
      <c r="A1057" s="36" t="s">
        <v>5323</v>
      </c>
      <c r="B1057" s="33">
        <v>1</v>
      </c>
      <c r="C1057" s="33">
        <v>1</v>
      </c>
      <c r="D1057" s="37"/>
    </row>
    <row r="1058" spans="1:4" ht="17.25" hidden="1" outlineLevel="2" x14ac:dyDescent="0.3">
      <c r="A1058" s="36" t="s">
        <v>5324</v>
      </c>
      <c r="B1058" s="33">
        <v>1</v>
      </c>
      <c r="C1058" s="33">
        <v>1</v>
      </c>
      <c r="D1058" s="37"/>
    </row>
    <row r="1059" spans="1:4" ht="17.25" hidden="1" outlineLevel="2" x14ac:dyDescent="0.3">
      <c r="A1059" s="36" t="s">
        <v>5325</v>
      </c>
      <c r="B1059" s="33">
        <v>1</v>
      </c>
      <c r="C1059" s="33">
        <v>1</v>
      </c>
      <c r="D1059" s="37"/>
    </row>
    <row r="1060" spans="1:4" ht="17.25" hidden="1" outlineLevel="2" x14ac:dyDescent="0.3">
      <c r="A1060" s="36" t="s">
        <v>5326</v>
      </c>
      <c r="B1060" s="33">
        <v>1</v>
      </c>
      <c r="C1060" s="33">
        <v>1</v>
      </c>
      <c r="D1060" s="37"/>
    </row>
    <row r="1061" spans="1:4" ht="17.25" hidden="1" outlineLevel="2" x14ac:dyDescent="0.3">
      <c r="A1061" s="36" t="s">
        <v>5327</v>
      </c>
      <c r="B1061" s="33">
        <v>1</v>
      </c>
      <c r="C1061" s="33">
        <v>1</v>
      </c>
      <c r="D1061" s="37"/>
    </row>
    <row r="1062" spans="1:4" ht="17.25" hidden="1" outlineLevel="1" collapsed="1" x14ac:dyDescent="0.3">
      <c r="A1062" s="45" t="s">
        <v>5328</v>
      </c>
      <c r="B1062" s="33">
        <f>SUM(B1063:B1063)</f>
        <v>1</v>
      </c>
      <c r="C1062" s="33">
        <f>SUM(C1063:C1063)</f>
        <v>1</v>
      </c>
      <c r="D1062" s="37"/>
    </row>
    <row r="1063" spans="1:4" ht="17.25" hidden="1" outlineLevel="2" x14ac:dyDescent="0.3">
      <c r="A1063" s="36" t="s">
        <v>5329</v>
      </c>
      <c r="B1063" s="33">
        <v>1</v>
      </c>
      <c r="C1063" s="33">
        <v>1</v>
      </c>
      <c r="D1063" s="37"/>
    </row>
    <row r="1064" spans="1:4" ht="17.25" collapsed="1" x14ac:dyDescent="0.3">
      <c r="A1064" s="44" t="s">
        <v>5330</v>
      </c>
      <c r="B1064" s="26">
        <f>B1065+B1070+B1074</f>
        <v>16</v>
      </c>
      <c r="C1064" s="26">
        <f>C1065+C1070+C1074</f>
        <v>16</v>
      </c>
      <c r="D1064" s="37"/>
    </row>
    <row r="1065" spans="1:4" ht="17.25" hidden="1" outlineLevel="1" collapsed="1" x14ac:dyDescent="0.3">
      <c r="A1065" s="45" t="s">
        <v>5331</v>
      </c>
      <c r="B1065" s="33">
        <f>SUM(B1066:B1069)</f>
        <v>4</v>
      </c>
      <c r="C1065" s="33">
        <f>SUM(C1066:C1069)</f>
        <v>4</v>
      </c>
      <c r="D1065" s="37"/>
    </row>
    <row r="1066" spans="1:4" ht="17.25" hidden="1" outlineLevel="2" x14ac:dyDescent="0.3">
      <c r="A1066" s="36" t="s">
        <v>5332</v>
      </c>
      <c r="B1066" s="33">
        <v>1</v>
      </c>
      <c r="C1066" s="33">
        <v>1</v>
      </c>
      <c r="D1066" s="37"/>
    </row>
    <row r="1067" spans="1:4" ht="17.25" hidden="1" outlineLevel="2" x14ac:dyDescent="0.3">
      <c r="A1067" s="36" t="s">
        <v>5333</v>
      </c>
      <c r="B1067" s="33">
        <v>1</v>
      </c>
      <c r="C1067" s="33">
        <v>1</v>
      </c>
      <c r="D1067" s="37"/>
    </row>
    <row r="1068" spans="1:4" ht="17.25" hidden="1" outlineLevel="2" x14ac:dyDescent="0.3">
      <c r="A1068" s="36" t="s">
        <v>5312</v>
      </c>
      <c r="B1068" s="33">
        <v>1</v>
      </c>
      <c r="C1068" s="33">
        <v>1</v>
      </c>
      <c r="D1068" s="37"/>
    </row>
    <row r="1069" spans="1:4" ht="17.25" hidden="1" outlineLevel="2" x14ac:dyDescent="0.3">
      <c r="A1069" s="36" t="s">
        <v>5334</v>
      </c>
      <c r="B1069" s="33">
        <v>1</v>
      </c>
      <c r="C1069" s="33">
        <v>1</v>
      </c>
      <c r="D1069" s="37"/>
    </row>
    <row r="1070" spans="1:4" ht="17.25" hidden="1" outlineLevel="1" collapsed="1" x14ac:dyDescent="0.3">
      <c r="A1070" s="45" t="s">
        <v>5318</v>
      </c>
      <c r="B1070" s="33">
        <f>SUM(B1071:B1073)</f>
        <v>3</v>
      </c>
      <c r="C1070" s="33">
        <f>SUM(C1071:C1073)</f>
        <v>3</v>
      </c>
      <c r="D1070" s="37"/>
    </row>
    <row r="1071" spans="1:4" ht="17.25" hidden="1" outlineLevel="2" x14ac:dyDescent="0.3">
      <c r="A1071" s="36" t="s">
        <v>5335</v>
      </c>
      <c r="B1071" s="33">
        <v>1</v>
      </c>
      <c r="C1071" s="33">
        <v>1</v>
      </c>
      <c r="D1071" s="37"/>
    </row>
    <row r="1072" spans="1:4" ht="17.25" hidden="1" outlineLevel="2" x14ac:dyDescent="0.3">
      <c r="A1072" s="36" t="s">
        <v>5336</v>
      </c>
      <c r="B1072" s="33">
        <v>1</v>
      </c>
      <c r="C1072" s="33">
        <v>1</v>
      </c>
      <c r="D1072" s="37"/>
    </row>
    <row r="1073" spans="1:4" ht="17.25" hidden="1" outlineLevel="2" x14ac:dyDescent="0.3">
      <c r="A1073" s="36" t="s">
        <v>5337</v>
      </c>
      <c r="B1073" s="33">
        <v>1</v>
      </c>
      <c r="C1073" s="33">
        <v>1</v>
      </c>
      <c r="D1073" s="37"/>
    </row>
    <row r="1074" spans="1:4" ht="17.25" hidden="1" outlineLevel="1" collapsed="1" x14ac:dyDescent="0.3">
      <c r="A1074" s="45" t="s">
        <v>5328</v>
      </c>
      <c r="B1074" s="33">
        <f>SUM(B1075:B1083)</f>
        <v>9</v>
      </c>
      <c r="C1074" s="33">
        <f>SUM(C1075:C1083)</f>
        <v>9</v>
      </c>
      <c r="D1074" s="37"/>
    </row>
    <row r="1075" spans="1:4" ht="17.25" hidden="1" outlineLevel="2" x14ac:dyDescent="0.3">
      <c r="A1075" s="36" t="s">
        <v>5338</v>
      </c>
      <c r="B1075" s="33">
        <v>1</v>
      </c>
      <c r="C1075" s="33">
        <v>1</v>
      </c>
      <c r="D1075" s="37"/>
    </row>
    <row r="1076" spans="1:4" ht="17.25" hidden="1" outlineLevel="2" x14ac:dyDescent="0.3">
      <c r="A1076" s="36" t="s">
        <v>5339</v>
      </c>
      <c r="B1076" s="33">
        <v>1</v>
      </c>
      <c r="C1076" s="33">
        <v>1</v>
      </c>
      <c r="D1076" s="37"/>
    </row>
    <row r="1077" spans="1:4" ht="17.25" hidden="1" outlineLevel="2" x14ac:dyDescent="0.3">
      <c r="A1077" s="36" t="s">
        <v>5340</v>
      </c>
      <c r="B1077" s="33">
        <v>1</v>
      </c>
      <c r="C1077" s="33">
        <v>1</v>
      </c>
      <c r="D1077" s="37"/>
    </row>
    <row r="1078" spans="1:4" ht="17.25" hidden="1" outlineLevel="2" x14ac:dyDescent="0.3">
      <c r="A1078" s="36" t="s">
        <v>5341</v>
      </c>
      <c r="B1078" s="33">
        <v>1</v>
      </c>
      <c r="C1078" s="33">
        <v>1</v>
      </c>
      <c r="D1078" s="37"/>
    </row>
    <row r="1079" spans="1:4" ht="17.25" hidden="1" outlineLevel="2" x14ac:dyDescent="0.3">
      <c r="A1079" s="36" t="s">
        <v>5342</v>
      </c>
      <c r="B1079" s="33">
        <v>1</v>
      </c>
      <c r="C1079" s="33">
        <v>1</v>
      </c>
      <c r="D1079" s="37"/>
    </row>
    <row r="1080" spans="1:4" ht="17.25" hidden="1" outlineLevel="2" x14ac:dyDescent="0.3">
      <c r="A1080" s="36" t="s">
        <v>5343</v>
      </c>
      <c r="B1080" s="33">
        <v>1</v>
      </c>
      <c r="C1080" s="33">
        <v>1</v>
      </c>
      <c r="D1080" s="37"/>
    </row>
    <row r="1081" spans="1:4" ht="17.25" hidden="1" outlineLevel="2" x14ac:dyDescent="0.3">
      <c r="A1081" s="36" t="s">
        <v>5344</v>
      </c>
      <c r="B1081" s="33">
        <v>1</v>
      </c>
      <c r="C1081" s="33">
        <v>1</v>
      </c>
      <c r="D1081" s="37"/>
    </row>
    <row r="1082" spans="1:4" ht="17.25" hidden="1" outlineLevel="2" x14ac:dyDescent="0.3">
      <c r="A1082" s="36" t="s">
        <v>5345</v>
      </c>
      <c r="B1082" s="33">
        <v>1</v>
      </c>
      <c r="C1082" s="33">
        <v>1</v>
      </c>
      <c r="D1082" s="37"/>
    </row>
    <row r="1083" spans="1:4" ht="17.25" hidden="1" outlineLevel="2" x14ac:dyDescent="0.3">
      <c r="A1083" s="36" t="s">
        <v>5346</v>
      </c>
      <c r="B1083" s="33">
        <v>1</v>
      </c>
      <c r="C1083" s="33">
        <v>1</v>
      </c>
      <c r="D1083" s="37"/>
    </row>
    <row r="1084" spans="1:4" ht="17.25" collapsed="1" x14ac:dyDescent="0.3">
      <c r="A1084" s="44" t="s">
        <v>5347</v>
      </c>
      <c r="B1084" s="26">
        <f>B1085+B1091</f>
        <v>6</v>
      </c>
      <c r="C1084" s="26">
        <f>C1085+C1091</f>
        <v>6</v>
      </c>
      <c r="D1084" s="37"/>
    </row>
    <row r="1085" spans="1:4" ht="17.25" hidden="1" outlineLevel="1" collapsed="1" x14ac:dyDescent="0.3">
      <c r="A1085" s="45" t="s">
        <v>147</v>
      </c>
      <c r="B1085" s="33">
        <f>SUM(B1086:B1090)</f>
        <v>5</v>
      </c>
      <c r="C1085" s="33">
        <f>SUM(C1086:C1090)</f>
        <v>5</v>
      </c>
      <c r="D1085" s="37"/>
    </row>
    <row r="1086" spans="1:4" ht="17.25" hidden="1" outlineLevel="2" x14ac:dyDescent="0.3">
      <c r="A1086" s="36" t="s">
        <v>5348</v>
      </c>
      <c r="B1086" s="33">
        <v>1</v>
      </c>
      <c r="C1086" s="33">
        <v>1</v>
      </c>
      <c r="D1086" s="37"/>
    </row>
    <row r="1087" spans="1:4" ht="17.25" hidden="1" outlineLevel="2" x14ac:dyDescent="0.3">
      <c r="A1087" s="36" t="s">
        <v>5349</v>
      </c>
      <c r="B1087" s="33">
        <v>1</v>
      </c>
      <c r="C1087" s="33">
        <v>1</v>
      </c>
      <c r="D1087" s="37"/>
    </row>
    <row r="1088" spans="1:4" ht="17.25" hidden="1" outlineLevel="2" x14ac:dyDescent="0.3">
      <c r="A1088" s="36" t="s">
        <v>5350</v>
      </c>
      <c r="B1088" s="33">
        <v>1</v>
      </c>
      <c r="C1088" s="33">
        <v>1</v>
      </c>
      <c r="D1088" s="37"/>
    </row>
    <row r="1089" spans="1:4" ht="17.25" hidden="1" outlineLevel="2" x14ac:dyDescent="0.3">
      <c r="A1089" s="36" t="s">
        <v>5351</v>
      </c>
      <c r="B1089" s="33">
        <v>1</v>
      </c>
      <c r="C1089" s="33">
        <v>1</v>
      </c>
      <c r="D1089" s="37"/>
    </row>
    <row r="1090" spans="1:4" ht="17.25" hidden="1" outlineLevel="2" x14ac:dyDescent="0.3">
      <c r="A1090" s="36" t="s">
        <v>5352</v>
      </c>
      <c r="B1090" s="33">
        <v>1</v>
      </c>
      <c r="C1090" s="33">
        <v>1</v>
      </c>
      <c r="D1090" s="37"/>
    </row>
    <row r="1091" spans="1:4" ht="17.25" hidden="1" outlineLevel="1" collapsed="1" x14ac:dyDescent="0.3">
      <c r="A1091" s="45" t="s">
        <v>1065</v>
      </c>
      <c r="B1091" s="33">
        <f>SUM(B1092:B1092)</f>
        <v>1</v>
      </c>
      <c r="C1091" s="33">
        <f>SUM(C1092:C1092)</f>
        <v>1</v>
      </c>
      <c r="D1091" s="37"/>
    </row>
    <row r="1092" spans="1:4" ht="17.25" hidden="1" outlineLevel="2" x14ac:dyDescent="0.3">
      <c r="A1092" s="36" t="s">
        <v>5353</v>
      </c>
      <c r="B1092" s="33">
        <v>1</v>
      </c>
      <c r="C1092" s="33">
        <v>1</v>
      </c>
      <c r="D1092" s="37"/>
    </row>
    <row r="1093" spans="1:4" ht="17.25" collapsed="1" x14ac:dyDescent="0.3">
      <c r="A1093" s="44" t="s">
        <v>5354</v>
      </c>
      <c r="B1093" s="26">
        <f>B1094</f>
        <v>7</v>
      </c>
      <c r="C1093" s="26">
        <f>C1094</f>
        <v>7</v>
      </c>
      <c r="D1093" s="37"/>
    </row>
    <row r="1094" spans="1:4" ht="17.25" hidden="1" outlineLevel="1" collapsed="1" x14ac:dyDescent="0.3">
      <c r="A1094" s="45" t="s">
        <v>147</v>
      </c>
      <c r="B1094" s="33">
        <f>SUM(B1095:B1101)</f>
        <v>7</v>
      </c>
      <c r="C1094" s="33">
        <f>SUM(C1095:C1101)</f>
        <v>7</v>
      </c>
      <c r="D1094" s="37"/>
    </row>
    <row r="1095" spans="1:4" ht="17.25" hidden="1" outlineLevel="2" x14ac:dyDescent="0.3">
      <c r="A1095" s="36" t="s">
        <v>5355</v>
      </c>
      <c r="B1095" s="33">
        <v>1</v>
      </c>
      <c r="C1095" s="33">
        <v>1</v>
      </c>
      <c r="D1095" s="37"/>
    </row>
    <row r="1096" spans="1:4" ht="17.25" hidden="1" outlineLevel="2" x14ac:dyDescent="0.3">
      <c r="A1096" s="36" t="s">
        <v>5356</v>
      </c>
      <c r="B1096" s="33">
        <v>1</v>
      </c>
      <c r="C1096" s="33">
        <v>1</v>
      </c>
      <c r="D1096" s="37"/>
    </row>
    <row r="1097" spans="1:4" ht="17.25" hidden="1" outlineLevel="2" x14ac:dyDescent="0.3">
      <c r="A1097" s="36" t="s">
        <v>5357</v>
      </c>
      <c r="B1097" s="33">
        <v>1</v>
      </c>
      <c r="C1097" s="33">
        <v>1</v>
      </c>
      <c r="D1097" s="37"/>
    </row>
    <row r="1098" spans="1:4" ht="17.25" hidden="1" outlineLevel="2" x14ac:dyDescent="0.3">
      <c r="A1098" s="36" t="s">
        <v>5358</v>
      </c>
      <c r="B1098" s="33">
        <v>1</v>
      </c>
      <c r="C1098" s="33">
        <v>1</v>
      </c>
      <c r="D1098" s="37"/>
    </row>
    <row r="1099" spans="1:4" ht="17.25" hidden="1" outlineLevel="2" x14ac:dyDescent="0.3">
      <c r="A1099" s="36" t="s">
        <v>5359</v>
      </c>
      <c r="B1099" s="33">
        <v>1</v>
      </c>
      <c r="C1099" s="33">
        <v>1</v>
      </c>
      <c r="D1099" s="37"/>
    </row>
    <row r="1100" spans="1:4" ht="17.25" hidden="1" outlineLevel="2" x14ac:dyDescent="0.3">
      <c r="A1100" s="36" t="s">
        <v>5360</v>
      </c>
      <c r="B1100" s="33">
        <v>1</v>
      </c>
      <c r="C1100" s="33">
        <v>1</v>
      </c>
      <c r="D1100" s="37"/>
    </row>
    <row r="1101" spans="1:4" ht="17.25" hidden="1" outlineLevel="2" x14ac:dyDescent="0.3">
      <c r="A1101" s="36" t="s">
        <v>5361</v>
      </c>
      <c r="B1101" s="33">
        <v>1</v>
      </c>
      <c r="C1101" s="33">
        <v>1</v>
      </c>
      <c r="D1101" s="37"/>
    </row>
    <row r="1102" spans="1:4" ht="17.25" x14ac:dyDescent="0.3">
      <c r="A1102" s="44" t="s">
        <v>100</v>
      </c>
      <c r="B1102" s="26">
        <f>B1103+B1124+B1129+B1132+B1135+B1137+B1140+B1143+B1146</f>
        <v>38</v>
      </c>
      <c r="C1102" s="26">
        <f>C1103+C1124+C1129+C1132+C1135+C1137+C1140+C1143+C1146</f>
        <v>38</v>
      </c>
      <c r="D1102" s="37"/>
    </row>
    <row r="1103" spans="1:4" ht="17.25" outlineLevel="1" collapsed="1" x14ac:dyDescent="0.3">
      <c r="A1103" s="45" t="s">
        <v>101</v>
      </c>
      <c r="B1103" s="33">
        <f>SUM(B1104:B1123)</f>
        <v>20</v>
      </c>
      <c r="C1103" s="33">
        <f>SUM(C1104:C1123)</f>
        <v>20</v>
      </c>
      <c r="D1103" s="37"/>
    </row>
    <row r="1104" spans="1:4" ht="17.25" hidden="1" outlineLevel="2" x14ac:dyDescent="0.3">
      <c r="A1104" s="36" t="s">
        <v>5362</v>
      </c>
      <c r="B1104" s="33">
        <v>1</v>
      </c>
      <c r="C1104" s="33">
        <v>1</v>
      </c>
      <c r="D1104" s="37"/>
    </row>
    <row r="1105" spans="1:4" ht="17.25" hidden="1" outlineLevel="2" x14ac:dyDescent="0.3">
      <c r="A1105" s="36" t="s">
        <v>5363</v>
      </c>
      <c r="B1105" s="33">
        <v>1</v>
      </c>
      <c r="C1105" s="33">
        <v>1</v>
      </c>
      <c r="D1105" s="37"/>
    </row>
    <row r="1106" spans="1:4" ht="17.25" hidden="1" outlineLevel="2" x14ac:dyDescent="0.3">
      <c r="A1106" s="36" t="s">
        <v>5364</v>
      </c>
      <c r="B1106" s="33">
        <v>1</v>
      </c>
      <c r="C1106" s="33">
        <v>1</v>
      </c>
      <c r="D1106" s="37"/>
    </row>
    <row r="1107" spans="1:4" ht="17.25" hidden="1" outlineLevel="2" x14ac:dyDescent="0.3">
      <c r="A1107" s="36" t="s">
        <v>5365</v>
      </c>
      <c r="B1107" s="33">
        <v>1</v>
      </c>
      <c r="C1107" s="33">
        <v>1</v>
      </c>
      <c r="D1107" s="37"/>
    </row>
    <row r="1108" spans="1:4" ht="17.25" hidden="1" outlineLevel="2" x14ac:dyDescent="0.3">
      <c r="A1108" s="36" t="s">
        <v>1150</v>
      </c>
      <c r="B1108" s="33">
        <v>1</v>
      </c>
      <c r="C1108" s="33">
        <v>1</v>
      </c>
      <c r="D1108" s="37"/>
    </row>
    <row r="1109" spans="1:4" ht="17.25" hidden="1" outlineLevel="2" x14ac:dyDescent="0.3">
      <c r="A1109" s="36" t="s">
        <v>1151</v>
      </c>
      <c r="B1109" s="33">
        <v>1</v>
      </c>
      <c r="C1109" s="33">
        <v>1</v>
      </c>
      <c r="D1109" s="37"/>
    </row>
    <row r="1110" spans="1:4" ht="17.25" hidden="1" outlineLevel="2" x14ac:dyDescent="0.3">
      <c r="A1110" s="36" t="s">
        <v>1152</v>
      </c>
      <c r="B1110" s="33">
        <v>1</v>
      </c>
      <c r="C1110" s="33">
        <v>1</v>
      </c>
      <c r="D1110" s="37"/>
    </row>
    <row r="1111" spans="1:4" ht="17.25" hidden="1" outlineLevel="2" x14ac:dyDescent="0.3">
      <c r="A1111" s="36" t="s">
        <v>361</v>
      </c>
      <c r="B1111" s="33">
        <v>1</v>
      </c>
      <c r="C1111" s="33">
        <v>1</v>
      </c>
      <c r="D1111" s="37"/>
    </row>
    <row r="1112" spans="1:4" ht="17.25" hidden="1" outlineLevel="2" x14ac:dyDescent="0.3">
      <c r="A1112" s="36" t="s">
        <v>5366</v>
      </c>
      <c r="B1112" s="33">
        <v>1</v>
      </c>
      <c r="C1112" s="33">
        <v>1</v>
      </c>
      <c r="D1112" s="37"/>
    </row>
    <row r="1113" spans="1:4" ht="17.25" hidden="1" outlineLevel="2" x14ac:dyDescent="0.3">
      <c r="A1113" s="36" t="s">
        <v>5367</v>
      </c>
      <c r="B1113" s="33">
        <v>1</v>
      </c>
      <c r="C1113" s="33">
        <v>1</v>
      </c>
      <c r="D1113" s="37"/>
    </row>
    <row r="1114" spans="1:4" ht="17.25" hidden="1" outlineLevel="2" x14ac:dyDescent="0.3">
      <c r="A1114" s="36" t="s">
        <v>5368</v>
      </c>
      <c r="B1114" s="33">
        <v>1</v>
      </c>
      <c r="C1114" s="33">
        <v>1</v>
      </c>
      <c r="D1114" s="37"/>
    </row>
    <row r="1115" spans="1:4" ht="17.25" hidden="1" outlineLevel="2" x14ac:dyDescent="0.3">
      <c r="A1115" s="36" t="s">
        <v>5369</v>
      </c>
      <c r="B1115" s="33">
        <v>1</v>
      </c>
      <c r="C1115" s="33">
        <v>1</v>
      </c>
      <c r="D1115" s="37"/>
    </row>
    <row r="1116" spans="1:4" ht="17.25" hidden="1" outlineLevel="2" x14ac:dyDescent="0.3">
      <c r="A1116" s="36" t="s">
        <v>5370</v>
      </c>
      <c r="B1116" s="33">
        <v>1</v>
      </c>
      <c r="C1116" s="33">
        <v>1</v>
      </c>
      <c r="D1116" s="37"/>
    </row>
    <row r="1117" spans="1:4" ht="17.25" hidden="1" outlineLevel="2" x14ac:dyDescent="0.3">
      <c r="A1117" s="36" t="s">
        <v>5371</v>
      </c>
      <c r="B1117" s="33">
        <v>1</v>
      </c>
      <c r="C1117" s="33">
        <v>1</v>
      </c>
      <c r="D1117" s="37"/>
    </row>
    <row r="1118" spans="1:4" ht="17.25" hidden="1" outlineLevel="2" x14ac:dyDescent="0.3">
      <c r="A1118" s="36" t="s">
        <v>5372</v>
      </c>
      <c r="B1118" s="33">
        <v>1</v>
      </c>
      <c r="C1118" s="33">
        <v>1</v>
      </c>
      <c r="D1118" s="37"/>
    </row>
    <row r="1119" spans="1:4" ht="17.25" hidden="1" outlineLevel="2" x14ac:dyDescent="0.3">
      <c r="A1119" s="36" t="s">
        <v>5373</v>
      </c>
      <c r="B1119" s="33">
        <v>1</v>
      </c>
      <c r="C1119" s="33">
        <v>1</v>
      </c>
      <c r="D1119" s="37"/>
    </row>
    <row r="1120" spans="1:4" ht="17.25" hidden="1" outlineLevel="2" x14ac:dyDescent="0.3">
      <c r="A1120" s="36" t="s">
        <v>5374</v>
      </c>
      <c r="B1120" s="33">
        <v>1</v>
      </c>
      <c r="C1120" s="33">
        <v>1</v>
      </c>
      <c r="D1120" s="37"/>
    </row>
    <row r="1121" spans="1:4" ht="17.25" hidden="1" outlineLevel="2" x14ac:dyDescent="0.3">
      <c r="A1121" s="36" t="s">
        <v>5375</v>
      </c>
      <c r="B1121" s="33">
        <v>1</v>
      </c>
      <c r="C1121" s="33">
        <v>1</v>
      </c>
      <c r="D1121" s="37"/>
    </row>
    <row r="1122" spans="1:4" ht="17.25" hidden="1" outlineLevel="2" x14ac:dyDescent="0.3">
      <c r="A1122" s="36" t="s">
        <v>5376</v>
      </c>
      <c r="B1122" s="33">
        <v>1</v>
      </c>
      <c r="C1122" s="33">
        <v>1</v>
      </c>
      <c r="D1122" s="37"/>
    </row>
    <row r="1123" spans="1:4" ht="17.25" hidden="1" outlineLevel="2" x14ac:dyDescent="0.3">
      <c r="A1123" s="36" t="s">
        <v>5377</v>
      </c>
      <c r="B1123" s="33">
        <v>1</v>
      </c>
      <c r="C1123" s="33">
        <v>1</v>
      </c>
      <c r="D1123" s="37"/>
    </row>
    <row r="1124" spans="1:4" ht="17.25" outlineLevel="1" collapsed="1" x14ac:dyDescent="0.3">
      <c r="A1124" s="45" t="s">
        <v>5378</v>
      </c>
      <c r="B1124" s="33">
        <f>SUM(B1125:B1128)</f>
        <v>4</v>
      </c>
      <c r="C1124" s="33">
        <f>SUM(C1125:C1128)</f>
        <v>4</v>
      </c>
      <c r="D1124" s="37"/>
    </row>
    <row r="1125" spans="1:4" ht="17.25" hidden="1" outlineLevel="2" x14ac:dyDescent="0.3">
      <c r="A1125" s="36" t="s">
        <v>5379</v>
      </c>
      <c r="B1125" s="33">
        <v>1</v>
      </c>
      <c r="C1125" s="33">
        <v>1</v>
      </c>
      <c r="D1125" s="37"/>
    </row>
    <row r="1126" spans="1:4" ht="17.25" hidden="1" outlineLevel="2" x14ac:dyDescent="0.3">
      <c r="A1126" s="36" t="s">
        <v>5380</v>
      </c>
      <c r="B1126" s="33">
        <v>1</v>
      </c>
      <c r="C1126" s="33">
        <v>1</v>
      </c>
      <c r="D1126" s="37"/>
    </row>
    <row r="1127" spans="1:4" ht="17.25" hidden="1" outlineLevel="2" x14ac:dyDescent="0.3">
      <c r="A1127" s="36" t="s">
        <v>5214</v>
      </c>
      <c r="B1127" s="33">
        <v>1</v>
      </c>
      <c r="C1127" s="33">
        <v>1</v>
      </c>
      <c r="D1127" s="37"/>
    </row>
    <row r="1128" spans="1:4" ht="17.25" hidden="1" outlineLevel="2" x14ac:dyDescent="0.3">
      <c r="A1128" s="36" t="s">
        <v>5381</v>
      </c>
      <c r="B1128" s="33">
        <v>1</v>
      </c>
      <c r="C1128" s="33">
        <v>1</v>
      </c>
      <c r="D1128" s="37"/>
    </row>
    <row r="1129" spans="1:4" ht="17.25" outlineLevel="1" collapsed="1" x14ac:dyDescent="0.3">
      <c r="A1129" s="45" t="s">
        <v>5382</v>
      </c>
      <c r="B1129" s="33">
        <f>SUM(B1130:B1131)</f>
        <v>2</v>
      </c>
      <c r="C1129" s="33">
        <f>SUM(C1130:C1131)</f>
        <v>2</v>
      </c>
      <c r="D1129" s="37"/>
    </row>
    <row r="1130" spans="1:4" ht="17.25" hidden="1" outlineLevel="2" x14ac:dyDescent="0.3">
      <c r="A1130" s="36" t="s">
        <v>5383</v>
      </c>
      <c r="B1130" s="33">
        <v>1</v>
      </c>
      <c r="C1130" s="33">
        <v>1</v>
      </c>
      <c r="D1130" s="37"/>
    </row>
    <row r="1131" spans="1:4" ht="17.25" hidden="1" outlineLevel="2" x14ac:dyDescent="0.3">
      <c r="A1131" s="36" t="s">
        <v>5380</v>
      </c>
      <c r="B1131" s="33">
        <v>1</v>
      </c>
      <c r="C1131" s="33">
        <v>1</v>
      </c>
      <c r="D1131" s="37"/>
    </row>
    <row r="1132" spans="1:4" ht="17.25" outlineLevel="1" collapsed="1" x14ac:dyDescent="0.3">
      <c r="A1132" s="45" t="s">
        <v>5384</v>
      </c>
      <c r="B1132" s="33">
        <f>SUM(B1133:B1134)</f>
        <v>2</v>
      </c>
      <c r="C1132" s="33">
        <f>SUM(C1133:C1134)</f>
        <v>2</v>
      </c>
      <c r="D1132" s="37"/>
    </row>
    <row r="1133" spans="1:4" ht="17.25" hidden="1" outlineLevel="2" x14ac:dyDescent="0.3">
      <c r="A1133" s="36" t="s">
        <v>5385</v>
      </c>
      <c r="B1133" s="33">
        <v>1</v>
      </c>
      <c r="C1133" s="33">
        <v>1</v>
      </c>
      <c r="D1133" s="37"/>
    </row>
    <row r="1134" spans="1:4" ht="17.25" hidden="1" outlineLevel="2" x14ac:dyDescent="0.3">
      <c r="A1134" s="36" t="s">
        <v>5386</v>
      </c>
      <c r="B1134" s="33">
        <v>1</v>
      </c>
      <c r="C1134" s="33">
        <v>1</v>
      </c>
      <c r="D1134" s="37"/>
    </row>
    <row r="1135" spans="1:4" ht="17.25" outlineLevel="1" collapsed="1" x14ac:dyDescent="0.3">
      <c r="A1135" s="45" t="s">
        <v>4600</v>
      </c>
      <c r="B1135" s="33">
        <f>SUM(B1136:B1136)</f>
        <v>1</v>
      </c>
      <c r="C1135" s="33">
        <f>SUM(C1136:C1136)</f>
        <v>1</v>
      </c>
      <c r="D1135" s="37"/>
    </row>
    <row r="1136" spans="1:4" ht="17.25" hidden="1" outlineLevel="2" x14ac:dyDescent="0.3">
      <c r="A1136" s="36" t="s">
        <v>5387</v>
      </c>
      <c r="B1136" s="33">
        <v>1</v>
      </c>
      <c r="C1136" s="33">
        <v>1</v>
      </c>
      <c r="D1136" s="37"/>
    </row>
    <row r="1137" spans="1:4" ht="17.25" outlineLevel="1" collapsed="1" x14ac:dyDescent="0.3">
      <c r="A1137" s="45" t="s">
        <v>5388</v>
      </c>
      <c r="B1137" s="33">
        <f>SUM(B1138:B1139)</f>
        <v>2</v>
      </c>
      <c r="C1137" s="33">
        <f>SUM(C1138:C1139)</f>
        <v>2</v>
      </c>
      <c r="D1137" s="37"/>
    </row>
    <row r="1138" spans="1:4" ht="17.25" hidden="1" outlineLevel="2" x14ac:dyDescent="0.3">
      <c r="A1138" s="36" t="s">
        <v>5389</v>
      </c>
      <c r="B1138" s="33">
        <v>1</v>
      </c>
      <c r="C1138" s="33">
        <v>1</v>
      </c>
      <c r="D1138" s="37"/>
    </row>
    <row r="1139" spans="1:4" ht="17.25" hidden="1" outlineLevel="2" x14ac:dyDescent="0.3">
      <c r="A1139" s="36" t="s">
        <v>5390</v>
      </c>
      <c r="B1139" s="33">
        <v>1</v>
      </c>
      <c r="C1139" s="33">
        <v>1</v>
      </c>
      <c r="D1139" s="37"/>
    </row>
    <row r="1140" spans="1:4" ht="17.25" outlineLevel="1" collapsed="1" x14ac:dyDescent="0.3">
      <c r="A1140" s="45" t="s">
        <v>5391</v>
      </c>
      <c r="B1140" s="33">
        <f>SUM(B1141:B1142)</f>
        <v>2</v>
      </c>
      <c r="C1140" s="33">
        <f>SUM(C1141:C1142)</f>
        <v>2</v>
      </c>
      <c r="D1140" s="37"/>
    </row>
    <row r="1141" spans="1:4" ht="17.25" hidden="1" outlineLevel="2" x14ac:dyDescent="0.3">
      <c r="A1141" s="36" t="s">
        <v>5392</v>
      </c>
      <c r="B1141" s="33">
        <v>1</v>
      </c>
      <c r="C1141" s="33">
        <v>1</v>
      </c>
      <c r="D1141" s="37"/>
    </row>
    <row r="1142" spans="1:4" ht="17.25" hidden="1" outlineLevel="2" x14ac:dyDescent="0.3">
      <c r="A1142" s="36" t="s">
        <v>5393</v>
      </c>
      <c r="B1142" s="33">
        <v>1</v>
      </c>
      <c r="C1142" s="33">
        <v>1</v>
      </c>
      <c r="D1142" s="37"/>
    </row>
    <row r="1143" spans="1:4" ht="17.25" outlineLevel="1" collapsed="1" x14ac:dyDescent="0.3">
      <c r="A1143" s="45" t="s">
        <v>5394</v>
      </c>
      <c r="B1143" s="33">
        <f>SUM(B1144:B1145)</f>
        <v>2</v>
      </c>
      <c r="C1143" s="33">
        <f>SUM(C1144:C1145)</f>
        <v>2</v>
      </c>
      <c r="D1143" s="37"/>
    </row>
    <row r="1144" spans="1:4" ht="17.25" hidden="1" outlineLevel="2" x14ac:dyDescent="0.3">
      <c r="A1144" s="36" t="s">
        <v>5395</v>
      </c>
      <c r="B1144" s="33">
        <v>1</v>
      </c>
      <c r="C1144" s="33">
        <v>1</v>
      </c>
      <c r="D1144" s="37"/>
    </row>
    <row r="1145" spans="1:4" ht="17.25" hidden="1" outlineLevel="2" x14ac:dyDescent="0.3">
      <c r="A1145" s="36" t="s">
        <v>5396</v>
      </c>
      <c r="B1145" s="33">
        <v>1</v>
      </c>
      <c r="C1145" s="33">
        <v>1</v>
      </c>
      <c r="D1145" s="37"/>
    </row>
    <row r="1146" spans="1:4" ht="17.25" outlineLevel="1" collapsed="1" x14ac:dyDescent="0.3">
      <c r="A1146" s="45" t="s">
        <v>5397</v>
      </c>
      <c r="B1146" s="33">
        <f>SUM(B1147:B1149)</f>
        <v>3</v>
      </c>
      <c r="C1146" s="33">
        <f>SUM(C1147:C1149)</f>
        <v>3</v>
      </c>
      <c r="D1146" s="37"/>
    </row>
    <row r="1147" spans="1:4" ht="17.25" hidden="1" outlineLevel="2" x14ac:dyDescent="0.3">
      <c r="A1147" s="36" t="s">
        <v>5398</v>
      </c>
      <c r="B1147" s="33">
        <v>1</v>
      </c>
      <c r="C1147" s="33">
        <v>1</v>
      </c>
      <c r="D1147" s="37"/>
    </row>
    <row r="1148" spans="1:4" ht="17.25" hidden="1" outlineLevel="2" x14ac:dyDescent="0.3">
      <c r="A1148" s="36" t="s">
        <v>5399</v>
      </c>
      <c r="B1148" s="33">
        <v>1</v>
      </c>
      <c r="C1148" s="33">
        <v>1</v>
      </c>
      <c r="D1148" s="37"/>
    </row>
    <row r="1149" spans="1:4" ht="17.25" hidden="1" outlineLevel="2" x14ac:dyDescent="0.3">
      <c r="A1149" s="36" t="s">
        <v>5400</v>
      </c>
      <c r="B1149" s="33">
        <v>1</v>
      </c>
      <c r="C1149" s="33">
        <v>1</v>
      </c>
      <c r="D1149" s="37"/>
    </row>
    <row r="1150" spans="1:4" ht="17.25" collapsed="1" x14ac:dyDescent="0.3">
      <c r="A1150" s="44" t="s">
        <v>1241</v>
      </c>
      <c r="B1150" s="26">
        <f>B1151+B1156+B1159</f>
        <v>7</v>
      </c>
      <c r="C1150" s="26">
        <f>C1151+C1156+C1159</f>
        <v>7</v>
      </c>
      <c r="D1150" s="37"/>
    </row>
    <row r="1151" spans="1:4" ht="17.25" hidden="1" outlineLevel="1" collapsed="1" x14ac:dyDescent="0.3">
      <c r="A1151" s="45" t="s">
        <v>5331</v>
      </c>
      <c r="B1151" s="33">
        <f>SUM(B1152:B1155)</f>
        <v>4</v>
      </c>
      <c r="C1151" s="33">
        <f>SUM(C1152:C1155)</f>
        <v>4</v>
      </c>
      <c r="D1151" s="37"/>
    </row>
    <row r="1152" spans="1:4" ht="17.25" hidden="1" outlineLevel="2" x14ac:dyDescent="0.3">
      <c r="A1152" s="36" t="s">
        <v>5401</v>
      </c>
      <c r="B1152" s="33">
        <v>1</v>
      </c>
      <c r="C1152" s="33">
        <v>1</v>
      </c>
      <c r="D1152" s="37"/>
    </row>
    <row r="1153" spans="1:4" ht="17.25" hidden="1" outlineLevel="2" x14ac:dyDescent="0.3">
      <c r="A1153" s="36" t="s">
        <v>5402</v>
      </c>
      <c r="B1153" s="33">
        <v>1</v>
      </c>
      <c r="C1153" s="33">
        <v>1</v>
      </c>
      <c r="D1153" s="37"/>
    </row>
    <row r="1154" spans="1:4" ht="17.25" hidden="1" outlineLevel="2" x14ac:dyDescent="0.3">
      <c r="A1154" s="36" t="s">
        <v>5403</v>
      </c>
      <c r="B1154" s="33">
        <v>1</v>
      </c>
      <c r="C1154" s="33">
        <v>1</v>
      </c>
      <c r="D1154" s="37"/>
    </row>
    <row r="1155" spans="1:4" ht="17.25" hidden="1" outlineLevel="2" x14ac:dyDescent="0.3">
      <c r="A1155" s="36" t="s">
        <v>5404</v>
      </c>
      <c r="B1155" s="33">
        <v>1</v>
      </c>
      <c r="C1155" s="33">
        <v>1</v>
      </c>
      <c r="D1155" s="37"/>
    </row>
    <row r="1156" spans="1:4" ht="17.25" hidden="1" outlineLevel="1" collapsed="1" x14ac:dyDescent="0.3">
      <c r="A1156" s="45" t="s">
        <v>5405</v>
      </c>
      <c r="B1156" s="33">
        <f>SUM(B1157:B1158)</f>
        <v>2</v>
      </c>
      <c r="C1156" s="33">
        <f>SUM(C1157:C1158)</f>
        <v>2</v>
      </c>
      <c r="D1156" s="37"/>
    </row>
    <row r="1157" spans="1:4" ht="17.25" hidden="1" outlineLevel="2" x14ac:dyDescent="0.3">
      <c r="A1157" s="36" t="s">
        <v>5406</v>
      </c>
      <c r="B1157" s="33">
        <v>1</v>
      </c>
      <c r="C1157" s="33">
        <v>1</v>
      </c>
      <c r="D1157" s="37"/>
    </row>
    <row r="1158" spans="1:4" ht="17.25" hidden="1" outlineLevel="2" x14ac:dyDescent="0.3">
      <c r="A1158" s="36" t="s">
        <v>5407</v>
      </c>
      <c r="B1158" s="33">
        <v>1</v>
      </c>
      <c r="C1158" s="33">
        <v>1</v>
      </c>
      <c r="D1158" s="37"/>
    </row>
    <row r="1159" spans="1:4" ht="17.25" hidden="1" outlineLevel="1" collapsed="1" x14ac:dyDescent="0.3">
      <c r="A1159" s="45" t="s">
        <v>1242</v>
      </c>
      <c r="B1159" s="33">
        <f>SUM(B1160:B1160)</f>
        <v>1</v>
      </c>
      <c r="C1159" s="33">
        <f>SUM(C1160:C1160)</f>
        <v>1</v>
      </c>
      <c r="D1159" s="37"/>
    </row>
    <row r="1160" spans="1:4" ht="17.25" hidden="1" outlineLevel="2" x14ac:dyDescent="0.3">
      <c r="A1160" s="36" t="s">
        <v>1243</v>
      </c>
      <c r="B1160" s="33">
        <v>1</v>
      </c>
      <c r="C1160" s="33">
        <v>1</v>
      </c>
      <c r="D1160" s="37"/>
    </row>
    <row r="1161" spans="1:4" ht="17.25" collapsed="1" x14ac:dyDescent="0.3">
      <c r="A1161" s="44" t="s">
        <v>5408</v>
      </c>
      <c r="B1161" s="26">
        <f>B1162+B1166</f>
        <v>5</v>
      </c>
      <c r="C1161" s="26">
        <f>C1162+C1166</f>
        <v>5</v>
      </c>
      <c r="D1161" s="37"/>
    </row>
    <row r="1162" spans="1:4" ht="17.25" hidden="1" outlineLevel="1" collapsed="1" x14ac:dyDescent="0.3">
      <c r="A1162" s="45" t="s">
        <v>147</v>
      </c>
      <c r="B1162" s="33">
        <f>SUM(B1163:B1165)</f>
        <v>3</v>
      </c>
      <c r="C1162" s="33">
        <f>SUM(C1163:C1165)</f>
        <v>3</v>
      </c>
      <c r="D1162" s="37"/>
    </row>
    <row r="1163" spans="1:4" ht="17.25" hidden="1" outlineLevel="2" x14ac:dyDescent="0.3">
      <c r="A1163" s="36" t="s">
        <v>5409</v>
      </c>
      <c r="B1163" s="33">
        <v>1</v>
      </c>
      <c r="C1163" s="33">
        <v>1</v>
      </c>
      <c r="D1163" s="37"/>
    </row>
    <row r="1164" spans="1:4" ht="17.25" hidden="1" outlineLevel="2" x14ac:dyDescent="0.3">
      <c r="A1164" s="36" t="s">
        <v>5292</v>
      </c>
      <c r="B1164" s="33">
        <v>1</v>
      </c>
      <c r="C1164" s="33">
        <v>1</v>
      </c>
      <c r="D1164" s="37"/>
    </row>
    <row r="1165" spans="1:4" ht="17.25" hidden="1" outlineLevel="2" x14ac:dyDescent="0.3">
      <c r="A1165" s="36" t="s">
        <v>5410</v>
      </c>
      <c r="B1165" s="33">
        <v>1</v>
      </c>
      <c r="C1165" s="33">
        <v>1</v>
      </c>
      <c r="D1165" s="37"/>
    </row>
    <row r="1166" spans="1:4" ht="17.25" hidden="1" outlineLevel="1" collapsed="1" x14ac:dyDescent="0.3">
      <c r="A1166" s="45" t="s">
        <v>5328</v>
      </c>
      <c r="B1166" s="33">
        <f>SUM(B1167:B1168)</f>
        <v>2</v>
      </c>
      <c r="C1166" s="33">
        <f>SUM(C1167:C1168)</f>
        <v>2</v>
      </c>
      <c r="D1166" s="37"/>
    </row>
    <row r="1167" spans="1:4" ht="17.25" hidden="1" outlineLevel="2" x14ac:dyDescent="0.3">
      <c r="A1167" s="36" t="s">
        <v>5411</v>
      </c>
      <c r="B1167" s="33">
        <v>1</v>
      </c>
      <c r="C1167" s="33">
        <v>1</v>
      </c>
      <c r="D1167" s="37"/>
    </row>
    <row r="1168" spans="1:4" ht="17.25" hidden="1" outlineLevel="2" x14ac:dyDescent="0.3">
      <c r="A1168" s="36" t="s">
        <v>5412</v>
      </c>
      <c r="B1168" s="33">
        <v>1</v>
      </c>
      <c r="C1168" s="33">
        <v>1</v>
      </c>
      <c r="D1168" s="37"/>
    </row>
    <row r="1169" spans="1:4" ht="17.25" collapsed="1" x14ac:dyDescent="0.3">
      <c r="A1169" s="44" t="s">
        <v>5413</v>
      </c>
      <c r="B1169" s="26">
        <f>B1170+B1175</f>
        <v>5</v>
      </c>
      <c r="C1169" s="26">
        <f>C1170+C1175</f>
        <v>5</v>
      </c>
      <c r="D1169" s="37"/>
    </row>
    <row r="1170" spans="1:4" ht="17.25" hidden="1" outlineLevel="1" collapsed="1" x14ac:dyDescent="0.3">
      <c r="A1170" s="45" t="s">
        <v>5331</v>
      </c>
      <c r="B1170" s="33">
        <f>SUM(B1171:B1174)</f>
        <v>4</v>
      </c>
      <c r="C1170" s="33">
        <f>SUM(C1171:C1174)</f>
        <v>4</v>
      </c>
      <c r="D1170" s="37"/>
    </row>
    <row r="1171" spans="1:4" ht="17.25" hidden="1" outlineLevel="2" x14ac:dyDescent="0.3">
      <c r="A1171" s="36" t="s">
        <v>5414</v>
      </c>
      <c r="B1171" s="33">
        <v>1</v>
      </c>
      <c r="C1171" s="33">
        <v>1</v>
      </c>
      <c r="D1171" s="37"/>
    </row>
    <row r="1172" spans="1:4" ht="17.25" hidden="1" outlineLevel="2" x14ac:dyDescent="0.3">
      <c r="A1172" s="36" t="s">
        <v>5415</v>
      </c>
      <c r="B1172" s="33">
        <v>1</v>
      </c>
      <c r="C1172" s="33">
        <v>1</v>
      </c>
      <c r="D1172" s="37"/>
    </row>
    <row r="1173" spans="1:4" ht="17.25" hidden="1" outlineLevel="2" x14ac:dyDescent="0.3">
      <c r="A1173" s="36" t="s">
        <v>5416</v>
      </c>
      <c r="B1173" s="33">
        <v>1</v>
      </c>
      <c r="C1173" s="33">
        <v>1</v>
      </c>
      <c r="D1173" s="37"/>
    </row>
    <row r="1174" spans="1:4" ht="17.25" hidden="1" outlineLevel="2" x14ac:dyDescent="0.3">
      <c r="A1174" s="36" t="s">
        <v>5417</v>
      </c>
      <c r="B1174" s="33">
        <v>1</v>
      </c>
      <c r="C1174" s="33">
        <v>1</v>
      </c>
      <c r="D1174" s="37"/>
    </row>
    <row r="1175" spans="1:4" ht="17.25" hidden="1" outlineLevel="1" collapsed="1" x14ac:dyDescent="0.3">
      <c r="A1175" s="45" t="s">
        <v>4600</v>
      </c>
      <c r="B1175" s="33">
        <f>SUM(B1176:B1176)</f>
        <v>1</v>
      </c>
      <c r="C1175" s="33">
        <f>SUM(C1176:C1176)</f>
        <v>1</v>
      </c>
      <c r="D1175" s="37"/>
    </row>
    <row r="1176" spans="1:4" ht="17.25" hidden="1" outlineLevel="2" x14ac:dyDescent="0.3">
      <c r="A1176" s="36" t="s">
        <v>5418</v>
      </c>
      <c r="B1176" s="33">
        <v>1</v>
      </c>
      <c r="C1176" s="33">
        <v>1</v>
      </c>
      <c r="D1176" s="37"/>
    </row>
    <row r="1177" spans="1:4" ht="17.25" collapsed="1" x14ac:dyDescent="0.3">
      <c r="A1177" s="44" t="s">
        <v>5419</v>
      </c>
      <c r="B1177" s="26">
        <f>B1178</f>
        <v>4</v>
      </c>
      <c r="C1177" s="26">
        <f>C1178</f>
        <v>4</v>
      </c>
      <c r="D1177" s="37"/>
    </row>
    <row r="1178" spans="1:4" ht="17.25" hidden="1" outlineLevel="1" collapsed="1" x14ac:dyDescent="0.3">
      <c r="A1178" s="45" t="s">
        <v>147</v>
      </c>
      <c r="B1178" s="33">
        <f>SUM(B1179:B1182)</f>
        <v>4</v>
      </c>
      <c r="C1178" s="33">
        <f>SUM(C1179:C1182)</f>
        <v>4</v>
      </c>
      <c r="D1178" s="37"/>
    </row>
    <row r="1179" spans="1:4" ht="17.25" hidden="1" outlineLevel="2" x14ac:dyDescent="0.3">
      <c r="A1179" s="36" t="s">
        <v>5311</v>
      </c>
      <c r="B1179" s="33">
        <v>1</v>
      </c>
      <c r="C1179" s="33">
        <v>1</v>
      </c>
      <c r="D1179" s="37"/>
    </row>
    <row r="1180" spans="1:4" ht="17.25" hidden="1" outlineLevel="2" x14ac:dyDescent="0.3">
      <c r="A1180" s="36" t="s">
        <v>5420</v>
      </c>
      <c r="B1180" s="33">
        <v>1</v>
      </c>
      <c r="C1180" s="33">
        <v>1</v>
      </c>
      <c r="D1180" s="37"/>
    </row>
    <row r="1181" spans="1:4" ht="17.25" hidden="1" outlineLevel="2" x14ac:dyDescent="0.3">
      <c r="A1181" s="36" t="s">
        <v>5416</v>
      </c>
      <c r="B1181" s="33">
        <v>1</v>
      </c>
      <c r="C1181" s="33">
        <v>1</v>
      </c>
      <c r="D1181" s="37"/>
    </row>
    <row r="1182" spans="1:4" ht="17.25" hidden="1" outlineLevel="2" x14ac:dyDescent="0.3">
      <c r="A1182" s="36" t="s">
        <v>5421</v>
      </c>
      <c r="B1182" s="33">
        <v>1</v>
      </c>
      <c r="C1182" s="33">
        <v>1</v>
      </c>
      <c r="D1182" s="37"/>
    </row>
    <row r="1183" spans="1:4" ht="17.25" collapsed="1" x14ac:dyDescent="0.3">
      <c r="A1183" s="44" t="s">
        <v>5422</v>
      </c>
      <c r="B1183" s="26">
        <f>B1184+B1186</f>
        <v>4</v>
      </c>
      <c r="C1183" s="26">
        <f>C1184+C1186</f>
        <v>4</v>
      </c>
      <c r="D1183" s="37"/>
    </row>
    <row r="1184" spans="1:4" ht="17.25" hidden="1" outlineLevel="1" collapsed="1" x14ac:dyDescent="0.3">
      <c r="A1184" s="45" t="s">
        <v>5318</v>
      </c>
      <c r="B1184" s="33">
        <f>SUM(B1185:B1185)</f>
        <v>1</v>
      </c>
      <c r="C1184" s="33">
        <f>SUM(C1185:C1185)</f>
        <v>1</v>
      </c>
      <c r="D1184" s="37"/>
    </row>
    <row r="1185" spans="1:4" ht="17.25" hidden="1" outlineLevel="2" x14ac:dyDescent="0.3">
      <c r="A1185" s="36" t="s">
        <v>5423</v>
      </c>
      <c r="B1185" s="33">
        <v>1</v>
      </c>
      <c r="C1185" s="33">
        <v>1</v>
      </c>
      <c r="D1185" s="37"/>
    </row>
    <row r="1186" spans="1:4" ht="17.25" hidden="1" outlineLevel="1" collapsed="1" x14ac:dyDescent="0.3">
      <c r="A1186" s="45" t="s">
        <v>147</v>
      </c>
      <c r="B1186" s="33">
        <f>SUM(B1187:B1189)</f>
        <v>3</v>
      </c>
      <c r="C1186" s="33">
        <f>SUM(C1187:C1189)</f>
        <v>3</v>
      </c>
      <c r="D1186" s="37"/>
    </row>
    <row r="1187" spans="1:4" ht="17.25" hidden="1" outlineLevel="2" x14ac:dyDescent="0.3">
      <c r="A1187" s="36" t="s">
        <v>5420</v>
      </c>
      <c r="B1187" s="33">
        <v>1</v>
      </c>
      <c r="C1187" s="33">
        <v>1</v>
      </c>
      <c r="D1187" s="37"/>
    </row>
    <row r="1188" spans="1:4" ht="17.25" hidden="1" outlineLevel="2" x14ac:dyDescent="0.3">
      <c r="A1188" s="36" t="s">
        <v>5424</v>
      </c>
      <c r="B1188" s="33">
        <v>1</v>
      </c>
      <c r="C1188" s="33">
        <v>1</v>
      </c>
      <c r="D1188" s="37"/>
    </row>
    <row r="1189" spans="1:4" ht="17.25" hidden="1" outlineLevel="2" x14ac:dyDescent="0.3">
      <c r="A1189" s="36" t="s">
        <v>5299</v>
      </c>
      <c r="B1189" s="33">
        <v>1</v>
      </c>
      <c r="C1189" s="33">
        <v>1</v>
      </c>
      <c r="D1189" s="37"/>
    </row>
    <row r="1190" spans="1:4" ht="17.25" collapsed="1" x14ac:dyDescent="0.3">
      <c r="A1190" s="44" t="s">
        <v>1236</v>
      </c>
      <c r="B1190" s="26">
        <f>B1191+B1194+B1201+B1204</f>
        <v>11</v>
      </c>
      <c r="C1190" s="26">
        <f>C1191+C1194+C1201+C1204</f>
        <v>11</v>
      </c>
      <c r="D1190" s="37"/>
    </row>
    <row r="1191" spans="1:4" ht="17.25" hidden="1" outlineLevel="1" collapsed="1" x14ac:dyDescent="0.3">
      <c r="A1191" s="45" t="s">
        <v>5425</v>
      </c>
      <c r="B1191" s="33">
        <f>SUM(B1192:B1193)</f>
        <v>2</v>
      </c>
      <c r="C1191" s="33">
        <f>SUM(C1192:C1193)</f>
        <v>2</v>
      </c>
      <c r="D1191" s="37"/>
    </row>
    <row r="1192" spans="1:4" ht="17.25" hidden="1" outlineLevel="2" x14ac:dyDescent="0.3">
      <c r="A1192" s="36" t="s">
        <v>5426</v>
      </c>
      <c r="B1192" s="33">
        <v>1</v>
      </c>
      <c r="C1192" s="33">
        <v>1</v>
      </c>
      <c r="D1192" s="37"/>
    </row>
    <row r="1193" spans="1:4" ht="17.25" hidden="1" outlineLevel="2" x14ac:dyDescent="0.3">
      <c r="A1193" s="36" t="s">
        <v>5427</v>
      </c>
      <c r="B1193" s="33">
        <v>1</v>
      </c>
      <c r="C1193" s="33">
        <v>1</v>
      </c>
      <c r="D1193" s="37"/>
    </row>
    <row r="1194" spans="1:4" ht="17.25" hidden="1" outlineLevel="1" collapsed="1" x14ac:dyDescent="0.3">
      <c r="A1194" s="45" t="s">
        <v>1237</v>
      </c>
      <c r="B1194" s="33">
        <f>SUM(B1195:B1200)</f>
        <v>6</v>
      </c>
      <c r="C1194" s="33">
        <f>SUM(C1195:C1200)</f>
        <v>6</v>
      </c>
      <c r="D1194" s="37"/>
    </row>
    <row r="1195" spans="1:4" ht="17.25" hidden="1" outlineLevel="2" x14ac:dyDescent="0.3">
      <c r="A1195" s="36" t="s">
        <v>5428</v>
      </c>
      <c r="B1195" s="33">
        <v>1</v>
      </c>
      <c r="C1195" s="33">
        <v>1</v>
      </c>
      <c r="D1195" s="37"/>
    </row>
    <row r="1196" spans="1:4" ht="17.25" hidden="1" outlineLevel="2" x14ac:dyDescent="0.3">
      <c r="A1196" s="36" t="s">
        <v>5429</v>
      </c>
      <c r="B1196" s="33">
        <v>1</v>
      </c>
      <c r="C1196" s="33">
        <v>1</v>
      </c>
      <c r="D1196" s="37"/>
    </row>
    <row r="1197" spans="1:4" ht="17.25" hidden="1" outlineLevel="2" x14ac:dyDescent="0.3">
      <c r="A1197" s="36" t="s">
        <v>1238</v>
      </c>
      <c r="B1197" s="33">
        <v>1</v>
      </c>
      <c r="C1197" s="33">
        <v>1</v>
      </c>
      <c r="D1197" s="37"/>
    </row>
    <row r="1198" spans="1:4" ht="17.25" hidden="1" outlineLevel="2" x14ac:dyDescent="0.3">
      <c r="A1198" s="36" t="s">
        <v>5430</v>
      </c>
      <c r="B1198" s="33">
        <v>1</v>
      </c>
      <c r="C1198" s="33">
        <v>1</v>
      </c>
      <c r="D1198" s="37"/>
    </row>
    <row r="1199" spans="1:4" ht="17.25" hidden="1" outlineLevel="2" x14ac:dyDescent="0.3">
      <c r="A1199" s="36" t="s">
        <v>5431</v>
      </c>
      <c r="B1199" s="33">
        <v>1</v>
      </c>
      <c r="C1199" s="33">
        <v>1</v>
      </c>
      <c r="D1199" s="37"/>
    </row>
    <row r="1200" spans="1:4" ht="17.25" hidden="1" outlineLevel="2" x14ac:dyDescent="0.3">
      <c r="A1200" s="36" t="s">
        <v>5432</v>
      </c>
      <c r="B1200" s="33">
        <v>1</v>
      </c>
      <c r="C1200" s="33">
        <v>1</v>
      </c>
      <c r="D1200" s="37"/>
    </row>
    <row r="1201" spans="1:4" ht="17.25" hidden="1" outlineLevel="1" collapsed="1" x14ac:dyDescent="0.3">
      <c r="A1201" s="45" t="s">
        <v>136</v>
      </c>
      <c r="B1201" s="33">
        <f>SUM(B1202:B1203)</f>
        <v>2</v>
      </c>
      <c r="C1201" s="33">
        <f>SUM(C1202:C1203)</f>
        <v>2</v>
      </c>
      <c r="D1201" s="37"/>
    </row>
    <row r="1202" spans="1:4" ht="17.25" hidden="1" outlineLevel="2" x14ac:dyDescent="0.3">
      <c r="A1202" s="36" t="s">
        <v>5433</v>
      </c>
      <c r="B1202" s="33">
        <v>1</v>
      </c>
      <c r="C1202" s="33">
        <v>1</v>
      </c>
      <c r="D1202" s="37"/>
    </row>
    <row r="1203" spans="1:4" ht="17.25" hidden="1" outlineLevel="2" x14ac:dyDescent="0.3">
      <c r="A1203" s="36" t="s">
        <v>5434</v>
      </c>
      <c r="B1203" s="33">
        <v>1</v>
      </c>
      <c r="C1203" s="33">
        <v>1</v>
      </c>
      <c r="D1203" s="37"/>
    </row>
    <row r="1204" spans="1:4" ht="17.25" hidden="1" outlineLevel="1" collapsed="1" x14ac:dyDescent="0.3">
      <c r="A1204" s="45" t="s">
        <v>5435</v>
      </c>
      <c r="B1204" s="33">
        <f>SUM(B1205:B1205)</f>
        <v>1</v>
      </c>
      <c r="C1204" s="33">
        <f>SUM(C1205:C1205)</f>
        <v>1</v>
      </c>
      <c r="D1204" s="37"/>
    </row>
    <row r="1205" spans="1:4" ht="17.25" hidden="1" outlineLevel="2" x14ac:dyDescent="0.3">
      <c r="A1205" s="36" t="s">
        <v>5436</v>
      </c>
      <c r="B1205" s="33">
        <v>1</v>
      </c>
      <c r="C1205" s="33">
        <v>1</v>
      </c>
      <c r="D1205" s="37"/>
    </row>
    <row r="1206" spans="1:4" ht="17.25" collapsed="1" x14ac:dyDescent="0.3">
      <c r="A1206" s="44" t="s">
        <v>5437</v>
      </c>
      <c r="B1206" s="26">
        <f>B1207+B1217+B1225</f>
        <v>18</v>
      </c>
      <c r="C1206" s="26">
        <f>C1207+C1217+C1225</f>
        <v>18</v>
      </c>
      <c r="D1206" s="37"/>
    </row>
    <row r="1207" spans="1:4" ht="17.25" hidden="1" outlineLevel="1" x14ac:dyDescent="0.3">
      <c r="A1207" s="45" t="s">
        <v>5438</v>
      </c>
      <c r="B1207" s="33">
        <f>SUM(B1208:B1216)</f>
        <v>9</v>
      </c>
      <c r="C1207" s="33">
        <f>SUM(C1208:C1216)</f>
        <v>9</v>
      </c>
      <c r="D1207" s="37"/>
    </row>
    <row r="1208" spans="1:4" ht="17.25" hidden="1" outlineLevel="2" x14ac:dyDescent="0.3">
      <c r="A1208" s="36" t="s">
        <v>5439</v>
      </c>
      <c r="B1208" s="33">
        <v>1</v>
      </c>
      <c r="C1208" s="33">
        <v>1</v>
      </c>
      <c r="D1208" s="37"/>
    </row>
    <row r="1209" spans="1:4" ht="17.25" hidden="1" outlineLevel="2" x14ac:dyDescent="0.3">
      <c r="A1209" s="36" t="s">
        <v>5440</v>
      </c>
      <c r="B1209" s="33">
        <v>1</v>
      </c>
      <c r="C1209" s="33">
        <v>1</v>
      </c>
      <c r="D1209" s="37"/>
    </row>
    <row r="1210" spans="1:4" ht="17.25" hidden="1" outlineLevel="2" x14ac:dyDescent="0.3">
      <c r="A1210" s="36" t="s">
        <v>5441</v>
      </c>
      <c r="B1210" s="33">
        <v>1</v>
      </c>
      <c r="C1210" s="33">
        <v>1</v>
      </c>
      <c r="D1210" s="37"/>
    </row>
    <row r="1211" spans="1:4" ht="17.25" hidden="1" outlineLevel="2" x14ac:dyDescent="0.3">
      <c r="A1211" s="36" t="s">
        <v>5442</v>
      </c>
      <c r="B1211" s="33">
        <v>1</v>
      </c>
      <c r="C1211" s="33">
        <v>1</v>
      </c>
      <c r="D1211" s="37"/>
    </row>
    <row r="1212" spans="1:4" ht="17.25" hidden="1" outlineLevel="2" x14ac:dyDescent="0.3">
      <c r="A1212" s="36" t="s">
        <v>5443</v>
      </c>
      <c r="B1212" s="33">
        <v>1</v>
      </c>
      <c r="C1212" s="33">
        <v>1</v>
      </c>
      <c r="D1212" s="37"/>
    </row>
    <row r="1213" spans="1:4" ht="17.25" hidden="1" outlineLevel="2" x14ac:dyDescent="0.3">
      <c r="A1213" s="36" t="s">
        <v>5444</v>
      </c>
      <c r="B1213" s="33">
        <v>1</v>
      </c>
      <c r="C1213" s="33">
        <v>1</v>
      </c>
      <c r="D1213" s="37"/>
    </row>
    <row r="1214" spans="1:4" ht="17.25" hidden="1" outlineLevel="2" x14ac:dyDescent="0.3">
      <c r="A1214" s="36" t="s">
        <v>5445</v>
      </c>
      <c r="B1214" s="33">
        <v>1</v>
      </c>
      <c r="C1214" s="33">
        <v>1</v>
      </c>
      <c r="D1214" s="37"/>
    </row>
    <row r="1215" spans="1:4" ht="17.25" hidden="1" outlineLevel="2" x14ac:dyDescent="0.3">
      <c r="A1215" s="36" t="s">
        <v>5446</v>
      </c>
      <c r="B1215" s="33">
        <v>1</v>
      </c>
      <c r="C1215" s="33">
        <v>1</v>
      </c>
      <c r="D1215" s="37"/>
    </row>
    <row r="1216" spans="1:4" ht="17.25" hidden="1" outlineLevel="2" x14ac:dyDescent="0.3">
      <c r="A1216" s="36" t="s">
        <v>5447</v>
      </c>
      <c r="B1216" s="33">
        <v>1</v>
      </c>
      <c r="C1216" s="33">
        <v>1</v>
      </c>
      <c r="D1216" s="37"/>
    </row>
    <row r="1217" spans="1:4" ht="17.25" hidden="1" outlineLevel="1" x14ac:dyDescent="0.3">
      <c r="A1217" s="45" t="s">
        <v>5448</v>
      </c>
      <c r="B1217" s="33">
        <f>SUM(B1218:B1224)</f>
        <v>7</v>
      </c>
      <c r="C1217" s="33">
        <f>SUM(C1218:C1224)</f>
        <v>7</v>
      </c>
      <c r="D1217" s="37"/>
    </row>
    <row r="1218" spans="1:4" ht="17.25" hidden="1" outlineLevel="2" x14ac:dyDescent="0.3">
      <c r="A1218" s="36" t="s">
        <v>5449</v>
      </c>
      <c r="B1218" s="33">
        <v>1</v>
      </c>
      <c r="C1218" s="33">
        <v>1</v>
      </c>
      <c r="D1218" s="37"/>
    </row>
    <row r="1219" spans="1:4" ht="17.25" hidden="1" outlineLevel="2" x14ac:dyDescent="0.3">
      <c r="A1219" s="36" t="s">
        <v>5450</v>
      </c>
      <c r="B1219" s="33">
        <v>1</v>
      </c>
      <c r="C1219" s="33">
        <v>1</v>
      </c>
      <c r="D1219" s="37"/>
    </row>
    <row r="1220" spans="1:4" ht="17.25" hidden="1" outlineLevel="2" x14ac:dyDescent="0.3">
      <c r="A1220" s="36" t="s">
        <v>5451</v>
      </c>
      <c r="B1220" s="33">
        <v>1</v>
      </c>
      <c r="C1220" s="33">
        <v>1</v>
      </c>
      <c r="D1220" s="37"/>
    </row>
    <row r="1221" spans="1:4" ht="17.25" hidden="1" outlineLevel="2" x14ac:dyDescent="0.3">
      <c r="A1221" s="36" t="s">
        <v>5452</v>
      </c>
      <c r="B1221" s="33">
        <v>1</v>
      </c>
      <c r="C1221" s="33">
        <v>1</v>
      </c>
      <c r="D1221" s="37"/>
    </row>
    <row r="1222" spans="1:4" ht="17.25" hidden="1" outlineLevel="2" x14ac:dyDescent="0.3">
      <c r="A1222" s="36" t="s">
        <v>5453</v>
      </c>
      <c r="B1222" s="33">
        <v>1</v>
      </c>
      <c r="C1222" s="33">
        <v>1</v>
      </c>
      <c r="D1222" s="37"/>
    </row>
    <row r="1223" spans="1:4" ht="17.25" hidden="1" outlineLevel="2" x14ac:dyDescent="0.3">
      <c r="A1223" s="36" t="s">
        <v>5454</v>
      </c>
      <c r="B1223" s="33">
        <v>1</v>
      </c>
      <c r="C1223" s="33">
        <v>1</v>
      </c>
      <c r="D1223" s="37"/>
    </row>
    <row r="1224" spans="1:4" ht="17.25" hidden="1" outlineLevel="2" x14ac:dyDescent="0.3">
      <c r="A1224" s="36" t="s">
        <v>5455</v>
      </c>
      <c r="B1224" s="33">
        <v>1</v>
      </c>
      <c r="C1224" s="33">
        <v>1</v>
      </c>
      <c r="D1224" s="37"/>
    </row>
    <row r="1225" spans="1:4" ht="17.25" hidden="1" outlineLevel="1" x14ac:dyDescent="0.3">
      <c r="A1225" s="45" t="s">
        <v>5456</v>
      </c>
      <c r="B1225" s="33">
        <f>SUM(B1226:B1227)</f>
        <v>2</v>
      </c>
      <c r="C1225" s="33">
        <f>SUM(C1226:C1227)</f>
        <v>2</v>
      </c>
      <c r="D1225" s="37"/>
    </row>
    <row r="1226" spans="1:4" ht="17.25" hidden="1" outlineLevel="2" x14ac:dyDescent="0.3">
      <c r="A1226" s="36" t="s">
        <v>5457</v>
      </c>
      <c r="B1226" s="33">
        <v>1</v>
      </c>
      <c r="C1226" s="33">
        <v>1</v>
      </c>
      <c r="D1226" s="37"/>
    </row>
    <row r="1227" spans="1:4" ht="17.25" hidden="1" outlineLevel="2" x14ac:dyDescent="0.3">
      <c r="A1227" s="36" t="s">
        <v>5458</v>
      </c>
      <c r="B1227" s="33">
        <v>1</v>
      </c>
      <c r="C1227" s="33">
        <v>1</v>
      </c>
      <c r="D1227" s="37"/>
    </row>
    <row r="1228" spans="1:4" ht="17.25" collapsed="1" x14ac:dyDescent="0.3">
      <c r="A1228" s="44" t="s">
        <v>1064</v>
      </c>
      <c r="B1228" s="26">
        <f>B1229+B1232+B1235</f>
        <v>5</v>
      </c>
      <c r="C1228" s="26">
        <f>C1229+C1232+C1235</f>
        <v>5</v>
      </c>
      <c r="D1228" s="37"/>
    </row>
    <row r="1229" spans="1:4" ht="17.25" hidden="1" outlineLevel="1" collapsed="1" x14ac:dyDescent="0.3">
      <c r="A1229" s="45" t="s">
        <v>5328</v>
      </c>
      <c r="B1229" s="33">
        <f>SUM(B1230:B1231)</f>
        <v>2</v>
      </c>
      <c r="C1229" s="33">
        <f>SUM(C1230:C1231)</f>
        <v>2</v>
      </c>
      <c r="D1229" s="37"/>
    </row>
    <row r="1230" spans="1:4" ht="17.25" hidden="1" outlineLevel="2" x14ac:dyDescent="0.3">
      <c r="A1230" s="36" t="s">
        <v>5459</v>
      </c>
      <c r="B1230" s="33">
        <v>1</v>
      </c>
      <c r="C1230" s="33">
        <v>1</v>
      </c>
      <c r="D1230" s="37"/>
    </row>
    <row r="1231" spans="1:4" ht="17.25" hidden="1" outlineLevel="2" x14ac:dyDescent="0.3">
      <c r="A1231" s="36" t="s">
        <v>5460</v>
      </c>
      <c r="B1231" s="33">
        <v>1</v>
      </c>
      <c r="C1231" s="33">
        <v>1</v>
      </c>
      <c r="D1231" s="37"/>
    </row>
    <row r="1232" spans="1:4" ht="17.25" hidden="1" outlineLevel="1" collapsed="1" x14ac:dyDescent="0.3">
      <c r="A1232" s="45" t="s">
        <v>147</v>
      </c>
      <c r="B1232" s="33">
        <f>SUM(B1233:B1234)</f>
        <v>2</v>
      </c>
      <c r="C1232" s="33">
        <f>SUM(C1233:C1234)</f>
        <v>2</v>
      </c>
      <c r="D1232" s="37"/>
    </row>
    <row r="1233" spans="1:4" ht="17.25" hidden="1" outlineLevel="2" x14ac:dyDescent="0.3">
      <c r="A1233" s="36" t="s">
        <v>5212</v>
      </c>
      <c r="B1233" s="33">
        <v>1</v>
      </c>
      <c r="C1233" s="33">
        <v>1</v>
      </c>
      <c r="D1233" s="37"/>
    </row>
    <row r="1234" spans="1:4" ht="17.25" hidden="1" outlineLevel="2" x14ac:dyDescent="0.3">
      <c r="A1234" s="36" t="s">
        <v>5461</v>
      </c>
      <c r="B1234" s="33">
        <v>1</v>
      </c>
      <c r="C1234" s="33">
        <v>1</v>
      </c>
      <c r="D1234" s="37"/>
    </row>
    <row r="1235" spans="1:4" ht="17.25" hidden="1" outlineLevel="1" collapsed="1" x14ac:dyDescent="0.3">
      <c r="A1235" s="45" t="s">
        <v>1065</v>
      </c>
      <c r="B1235" s="33">
        <f>SUM(B1236:B1236)</f>
        <v>1</v>
      </c>
      <c r="C1235" s="33">
        <f>SUM(C1236:C1236)</f>
        <v>1</v>
      </c>
      <c r="D1235" s="37"/>
    </row>
    <row r="1236" spans="1:4" ht="17.25" hidden="1" outlineLevel="2" x14ac:dyDescent="0.3">
      <c r="A1236" s="36" t="s">
        <v>1066</v>
      </c>
      <c r="B1236" s="33">
        <v>1</v>
      </c>
      <c r="C1236" s="33">
        <v>1</v>
      </c>
      <c r="D1236" s="37"/>
    </row>
    <row r="1237" spans="1:4" ht="17.25" collapsed="1" x14ac:dyDescent="0.3">
      <c r="A1237" s="44" t="s">
        <v>5462</v>
      </c>
      <c r="B1237" s="26">
        <f>B1238+B1243</f>
        <v>5</v>
      </c>
      <c r="C1237" s="26">
        <f>C1238+C1243</f>
        <v>5</v>
      </c>
      <c r="D1237" s="37"/>
    </row>
    <row r="1238" spans="1:4" ht="17.25" hidden="1" outlineLevel="1" collapsed="1" x14ac:dyDescent="0.3">
      <c r="A1238" s="45" t="s">
        <v>4606</v>
      </c>
      <c r="B1238" s="33">
        <f>SUM(B1239:B1242)</f>
        <v>4</v>
      </c>
      <c r="C1238" s="33">
        <f>SUM(C1239:C1242)</f>
        <v>4</v>
      </c>
      <c r="D1238" s="37"/>
    </row>
    <row r="1239" spans="1:4" ht="17.25" hidden="1" outlineLevel="2" x14ac:dyDescent="0.3">
      <c r="A1239" s="36" t="s">
        <v>5463</v>
      </c>
      <c r="B1239" s="33">
        <v>1</v>
      </c>
      <c r="C1239" s="33">
        <v>1</v>
      </c>
      <c r="D1239" s="37"/>
    </row>
    <row r="1240" spans="1:4" ht="17.25" hidden="1" outlineLevel="2" x14ac:dyDescent="0.3">
      <c r="A1240" s="36" t="s">
        <v>5464</v>
      </c>
      <c r="B1240" s="33">
        <v>1</v>
      </c>
      <c r="C1240" s="33">
        <v>1</v>
      </c>
      <c r="D1240" s="37"/>
    </row>
    <row r="1241" spans="1:4" ht="17.25" hidden="1" outlineLevel="2" x14ac:dyDescent="0.3">
      <c r="A1241" s="36" t="s">
        <v>5465</v>
      </c>
      <c r="B1241" s="33">
        <v>1</v>
      </c>
      <c r="C1241" s="33">
        <v>1</v>
      </c>
      <c r="D1241" s="37"/>
    </row>
    <row r="1242" spans="1:4" ht="17.25" hidden="1" outlineLevel="2" x14ac:dyDescent="0.3">
      <c r="A1242" s="36" t="s">
        <v>5466</v>
      </c>
      <c r="B1242" s="33">
        <v>1</v>
      </c>
      <c r="C1242" s="33">
        <v>1</v>
      </c>
      <c r="D1242" s="37"/>
    </row>
    <row r="1243" spans="1:4" ht="17.25" hidden="1" outlineLevel="1" collapsed="1" x14ac:dyDescent="0.3">
      <c r="A1243" s="45" t="s">
        <v>5467</v>
      </c>
      <c r="B1243" s="33">
        <f>SUM(B1244:B1244)</f>
        <v>1</v>
      </c>
      <c r="C1243" s="33">
        <f>SUM(C1244:C1244)</f>
        <v>1</v>
      </c>
      <c r="D1243" s="37"/>
    </row>
    <row r="1244" spans="1:4" ht="17.25" hidden="1" outlineLevel="2" x14ac:dyDescent="0.3">
      <c r="A1244" s="36" t="s">
        <v>5468</v>
      </c>
      <c r="B1244" s="33">
        <v>1</v>
      </c>
      <c r="C1244" s="33">
        <v>1</v>
      </c>
      <c r="D1244" s="37"/>
    </row>
    <row r="1245" spans="1:4" ht="17.25" collapsed="1" x14ac:dyDescent="0.3">
      <c r="A1245" s="44" t="s">
        <v>1233</v>
      </c>
      <c r="B1245" s="26">
        <f>B1246+B1250+B1252</f>
        <v>5</v>
      </c>
      <c r="C1245" s="26">
        <f>C1246+C1250+C1252</f>
        <v>5</v>
      </c>
      <c r="D1245" s="37"/>
    </row>
    <row r="1246" spans="1:4" ht="17.25" hidden="1" outlineLevel="1" collapsed="1" x14ac:dyDescent="0.3">
      <c r="A1246" s="45" t="s">
        <v>136</v>
      </c>
      <c r="B1246" s="33">
        <f>SUM(B1247:B1249)</f>
        <v>3</v>
      </c>
      <c r="C1246" s="33">
        <f>SUM(C1247:C1249)</f>
        <v>3</v>
      </c>
      <c r="D1246" s="37"/>
    </row>
    <row r="1247" spans="1:4" ht="17.25" hidden="1" outlineLevel="2" x14ac:dyDescent="0.3">
      <c r="A1247" s="36" t="s">
        <v>5469</v>
      </c>
      <c r="B1247" s="33">
        <v>1</v>
      </c>
      <c r="C1247" s="33">
        <v>1</v>
      </c>
      <c r="D1247" s="37"/>
    </row>
    <row r="1248" spans="1:4" ht="17.25" hidden="1" outlineLevel="2" x14ac:dyDescent="0.3">
      <c r="A1248" s="36" t="s">
        <v>5470</v>
      </c>
      <c r="B1248" s="33">
        <v>1</v>
      </c>
      <c r="C1248" s="33">
        <v>1</v>
      </c>
      <c r="D1248" s="37"/>
    </row>
    <row r="1249" spans="1:4" ht="17.25" hidden="1" outlineLevel="2" x14ac:dyDescent="0.3">
      <c r="A1249" s="36" t="s">
        <v>5471</v>
      </c>
      <c r="B1249" s="33">
        <v>1</v>
      </c>
      <c r="C1249" s="33">
        <v>1</v>
      </c>
      <c r="D1249" s="37"/>
    </row>
    <row r="1250" spans="1:4" ht="17.25" hidden="1" outlineLevel="1" collapsed="1" x14ac:dyDescent="0.3">
      <c r="A1250" s="45" t="s">
        <v>1234</v>
      </c>
      <c r="B1250" s="33">
        <f>SUM(B1251:B1251)</f>
        <v>1</v>
      </c>
      <c r="C1250" s="33">
        <f>SUM(C1251:C1251)</f>
        <v>1</v>
      </c>
      <c r="D1250" s="37"/>
    </row>
    <row r="1251" spans="1:4" ht="17.25" hidden="1" outlineLevel="2" x14ac:dyDescent="0.3">
      <c r="A1251" s="36" t="s">
        <v>1235</v>
      </c>
      <c r="B1251" s="33">
        <v>1</v>
      </c>
      <c r="C1251" s="33">
        <v>1</v>
      </c>
      <c r="D1251" s="37"/>
    </row>
    <row r="1252" spans="1:4" ht="17.25" hidden="1" outlineLevel="1" collapsed="1" x14ac:dyDescent="0.3">
      <c r="A1252" s="45" t="s">
        <v>1054</v>
      </c>
      <c r="B1252" s="33">
        <f>SUM(B1253:B1253)</f>
        <v>1</v>
      </c>
      <c r="C1252" s="33">
        <f>SUM(C1253:C1253)</f>
        <v>1</v>
      </c>
      <c r="D1252" s="37"/>
    </row>
    <row r="1253" spans="1:4" ht="17.25" hidden="1" outlineLevel="2" x14ac:dyDescent="0.3">
      <c r="A1253" s="36" t="s">
        <v>5472</v>
      </c>
      <c r="B1253" s="33">
        <v>1</v>
      </c>
      <c r="C1253" s="33">
        <v>1</v>
      </c>
      <c r="D1253" s="37"/>
    </row>
    <row r="1254" spans="1:4" ht="17.25" collapsed="1" x14ac:dyDescent="0.3">
      <c r="A1254" s="44" t="s">
        <v>5473</v>
      </c>
      <c r="B1254" s="26">
        <f>B1255+B1258+B1262+B1264</f>
        <v>10</v>
      </c>
      <c r="C1254" s="26">
        <f>C1255+C1258+C1262+C1264</f>
        <v>10</v>
      </c>
      <c r="D1254" s="37"/>
    </row>
    <row r="1255" spans="1:4" ht="17.25" hidden="1" outlineLevel="1" collapsed="1" x14ac:dyDescent="0.3">
      <c r="A1255" s="45" t="s">
        <v>1231</v>
      </c>
      <c r="B1255" s="33">
        <f>SUM(B1256:B1257)</f>
        <v>2</v>
      </c>
      <c r="C1255" s="33">
        <f>SUM(C1256:C1257)</f>
        <v>2</v>
      </c>
      <c r="D1255" s="37"/>
    </row>
    <row r="1256" spans="1:4" ht="17.25" hidden="1" outlineLevel="2" x14ac:dyDescent="0.3">
      <c r="A1256" s="36" t="s">
        <v>5474</v>
      </c>
      <c r="B1256" s="33">
        <v>1</v>
      </c>
      <c r="C1256" s="33">
        <v>1</v>
      </c>
      <c r="D1256" s="37"/>
    </row>
    <row r="1257" spans="1:4" ht="17.25" hidden="1" outlineLevel="2" x14ac:dyDescent="0.3">
      <c r="A1257" s="36" t="s">
        <v>5475</v>
      </c>
      <c r="B1257" s="33">
        <v>1</v>
      </c>
      <c r="C1257" s="33">
        <v>1</v>
      </c>
      <c r="D1257" s="37"/>
    </row>
    <row r="1258" spans="1:4" ht="17.25" hidden="1" outlineLevel="1" collapsed="1" x14ac:dyDescent="0.3">
      <c r="A1258" s="45" t="s">
        <v>136</v>
      </c>
      <c r="B1258" s="33">
        <f>SUM(B1259:B1261)</f>
        <v>3</v>
      </c>
      <c r="C1258" s="33">
        <f>SUM(C1259:C1261)</f>
        <v>3</v>
      </c>
      <c r="D1258" s="37"/>
    </row>
    <row r="1259" spans="1:4" ht="17.25" hidden="1" outlineLevel="2" x14ac:dyDescent="0.3">
      <c r="A1259" s="36" t="s">
        <v>5476</v>
      </c>
      <c r="B1259" s="33">
        <v>1</v>
      </c>
      <c r="C1259" s="33">
        <v>1</v>
      </c>
      <c r="D1259" s="37"/>
    </row>
    <row r="1260" spans="1:4" ht="17.25" hidden="1" outlineLevel="2" x14ac:dyDescent="0.3">
      <c r="A1260" s="36" t="s">
        <v>5477</v>
      </c>
      <c r="B1260" s="33">
        <v>1</v>
      </c>
      <c r="C1260" s="33">
        <v>1</v>
      </c>
      <c r="D1260" s="37"/>
    </row>
    <row r="1261" spans="1:4" ht="17.25" hidden="1" outlineLevel="2" x14ac:dyDescent="0.3">
      <c r="A1261" s="36" t="s">
        <v>5478</v>
      </c>
      <c r="B1261" s="33">
        <v>1</v>
      </c>
      <c r="C1261" s="33">
        <v>1</v>
      </c>
      <c r="D1261" s="37"/>
    </row>
    <row r="1262" spans="1:4" ht="17.25" hidden="1" outlineLevel="1" collapsed="1" x14ac:dyDescent="0.3">
      <c r="A1262" s="45" t="s">
        <v>141</v>
      </c>
      <c r="B1262" s="33">
        <f>SUM(B1263:B1263)</f>
        <v>1</v>
      </c>
      <c r="C1262" s="33">
        <f>SUM(C1263:C1263)</f>
        <v>1</v>
      </c>
      <c r="D1262" s="37"/>
    </row>
    <row r="1263" spans="1:4" ht="17.25" hidden="1" outlineLevel="2" x14ac:dyDescent="0.3">
      <c r="A1263" s="36" t="s">
        <v>5479</v>
      </c>
      <c r="B1263" s="33">
        <v>1</v>
      </c>
      <c r="C1263" s="33">
        <v>1</v>
      </c>
      <c r="D1263" s="37"/>
    </row>
    <row r="1264" spans="1:4" ht="17.25" hidden="1" outlineLevel="1" collapsed="1" x14ac:dyDescent="0.3">
      <c r="A1264" s="45" t="s">
        <v>5249</v>
      </c>
      <c r="B1264" s="33">
        <f>SUM(B1265:B1268)</f>
        <v>4</v>
      </c>
      <c r="C1264" s="33">
        <f>SUM(C1265:C1268)</f>
        <v>4</v>
      </c>
      <c r="D1264" s="37"/>
    </row>
    <row r="1265" spans="1:4" ht="17.25" hidden="1" outlineLevel="2" x14ac:dyDescent="0.3">
      <c r="A1265" s="36" t="s">
        <v>5480</v>
      </c>
      <c r="B1265" s="33">
        <v>1</v>
      </c>
      <c r="C1265" s="33">
        <v>1</v>
      </c>
      <c r="D1265" s="37"/>
    </row>
    <row r="1266" spans="1:4" ht="17.25" hidden="1" outlineLevel="2" x14ac:dyDescent="0.3">
      <c r="A1266" s="36" t="s">
        <v>5481</v>
      </c>
      <c r="B1266" s="33">
        <v>1</v>
      </c>
      <c r="C1266" s="33">
        <v>1</v>
      </c>
      <c r="D1266" s="37"/>
    </row>
    <row r="1267" spans="1:4" ht="17.25" hidden="1" outlineLevel="2" x14ac:dyDescent="0.3">
      <c r="A1267" s="36" t="s">
        <v>5482</v>
      </c>
      <c r="B1267" s="33">
        <v>1</v>
      </c>
      <c r="C1267" s="33">
        <v>1</v>
      </c>
      <c r="D1267" s="37"/>
    </row>
    <row r="1268" spans="1:4" ht="17.25" hidden="1" outlineLevel="2" x14ac:dyDescent="0.3">
      <c r="A1268" s="36" t="s">
        <v>5483</v>
      </c>
      <c r="B1268" s="33">
        <v>1</v>
      </c>
      <c r="C1268" s="33">
        <v>1</v>
      </c>
      <c r="D1268" s="37"/>
    </row>
    <row r="1269" spans="1:4" ht="17.25" collapsed="1" x14ac:dyDescent="0.3">
      <c r="A1269" s="44" t="s">
        <v>5484</v>
      </c>
      <c r="B1269" s="26">
        <f>B1270+B1273</f>
        <v>3</v>
      </c>
      <c r="C1269" s="26">
        <f>C1270+C1273</f>
        <v>3</v>
      </c>
      <c r="D1269" s="37"/>
    </row>
    <row r="1270" spans="1:4" ht="17.25" hidden="1" outlineLevel="1" collapsed="1" x14ac:dyDescent="0.3">
      <c r="A1270" s="45" t="s">
        <v>134</v>
      </c>
      <c r="B1270" s="33">
        <f>SUM(B1271:B1272)</f>
        <v>2</v>
      </c>
      <c r="C1270" s="33">
        <f>SUM(C1271:C1272)</f>
        <v>2</v>
      </c>
      <c r="D1270" s="37"/>
    </row>
    <row r="1271" spans="1:4" ht="17.25" hidden="1" outlineLevel="2" x14ac:dyDescent="0.3">
      <c r="A1271" s="36" t="s">
        <v>5485</v>
      </c>
      <c r="B1271" s="33">
        <v>1</v>
      </c>
      <c r="C1271" s="33">
        <v>1</v>
      </c>
      <c r="D1271" s="37"/>
    </row>
    <row r="1272" spans="1:4" ht="17.25" hidden="1" outlineLevel="2" x14ac:dyDescent="0.3">
      <c r="A1272" s="36" t="s">
        <v>5486</v>
      </c>
      <c r="B1272" s="33">
        <v>1</v>
      </c>
      <c r="C1272" s="33">
        <v>1</v>
      </c>
      <c r="D1272" s="37"/>
    </row>
    <row r="1273" spans="1:4" ht="17.25" hidden="1" outlineLevel="1" collapsed="1" x14ac:dyDescent="0.3">
      <c r="A1273" s="45" t="s">
        <v>1234</v>
      </c>
      <c r="B1273" s="33">
        <f>SUM(B1274:B1274)</f>
        <v>1</v>
      </c>
      <c r="C1273" s="33">
        <f>SUM(C1274:C1274)</f>
        <v>1</v>
      </c>
      <c r="D1273" s="37"/>
    </row>
    <row r="1274" spans="1:4" ht="17.25" hidden="1" outlineLevel="2" x14ac:dyDescent="0.3">
      <c r="A1274" s="36" t="s">
        <v>5487</v>
      </c>
      <c r="B1274" s="33">
        <v>1</v>
      </c>
      <c r="C1274" s="33">
        <v>1</v>
      </c>
      <c r="D1274" s="37"/>
    </row>
    <row r="1275" spans="1:4" ht="17.25" collapsed="1" x14ac:dyDescent="0.3">
      <c r="A1275" s="44" t="s">
        <v>5488</v>
      </c>
      <c r="B1275" s="26">
        <f>B1276+B1279+B1282</f>
        <v>5</v>
      </c>
      <c r="C1275" s="26">
        <f>C1276+C1279+C1282</f>
        <v>5</v>
      </c>
      <c r="D1275" s="37"/>
    </row>
    <row r="1276" spans="1:4" ht="17.25" hidden="1" outlineLevel="1" collapsed="1" x14ac:dyDescent="0.3">
      <c r="A1276" s="45" t="s">
        <v>134</v>
      </c>
      <c r="B1276" s="33">
        <f>SUM(B1277:B1278)</f>
        <v>2</v>
      </c>
      <c r="C1276" s="33">
        <f>SUM(C1277:C1278)</f>
        <v>2</v>
      </c>
      <c r="D1276" s="37"/>
    </row>
    <row r="1277" spans="1:4" ht="17.25" hidden="1" outlineLevel="2" x14ac:dyDescent="0.3">
      <c r="A1277" s="36" t="s">
        <v>5489</v>
      </c>
      <c r="B1277" s="33">
        <v>1</v>
      </c>
      <c r="C1277" s="33">
        <v>1</v>
      </c>
      <c r="D1277" s="37"/>
    </row>
    <row r="1278" spans="1:4" ht="17.25" hidden="1" outlineLevel="2" x14ac:dyDescent="0.3">
      <c r="A1278" s="36" t="s">
        <v>5490</v>
      </c>
      <c r="B1278" s="33">
        <v>1</v>
      </c>
      <c r="C1278" s="33">
        <v>1</v>
      </c>
      <c r="D1278" s="37"/>
    </row>
    <row r="1279" spans="1:4" ht="17.25" hidden="1" outlineLevel="1" collapsed="1" x14ac:dyDescent="0.3">
      <c r="A1279" s="45" t="s">
        <v>5491</v>
      </c>
      <c r="B1279" s="33">
        <f>SUM(B1280:B1281)</f>
        <v>2</v>
      </c>
      <c r="C1279" s="33">
        <f>SUM(C1280:C1281)</f>
        <v>2</v>
      </c>
      <c r="D1279" s="37"/>
    </row>
    <row r="1280" spans="1:4" ht="17.25" hidden="1" outlineLevel="2" x14ac:dyDescent="0.3">
      <c r="A1280" s="36" t="s">
        <v>5492</v>
      </c>
      <c r="B1280" s="33">
        <v>1</v>
      </c>
      <c r="C1280" s="33">
        <v>1</v>
      </c>
      <c r="D1280" s="37"/>
    </row>
    <row r="1281" spans="1:4" ht="17.25" hidden="1" outlineLevel="2" x14ac:dyDescent="0.3">
      <c r="A1281" s="36" t="s">
        <v>5493</v>
      </c>
      <c r="B1281" s="33">
        <v>1</v>
      </c>
      <c r="C1281" s="33">
        <v>1</v>
      </c>
      <c r="D1281" s="37"/>
    </row>
    <row r="1282" spans="1:4" ht="17.25" hidden="1" outlineLevel="1" collapsed="1" x14ac:dyDescent="0.3">
      <c r="A1282" s="45" t="s">
        <v>5494</v>
      </c>
      <c r="B1282" s="33">
        <f>SUM(B1283:B1283)</f>
        <v>1</v>
      </c>
      <c r="C1282" s="33">
        <f>SUM(C1283:C1283)</f>
        <v>1</v>
      </c>
      <c r="D1282" s="37"/>
    </row>
    <row r="1283" spans="1:4" ht="17.25" hidden="1" outlineLevel="2" x14ac:dyDescent="0.3">
      <c r="A1283" s="36" t="s">
        <v>5495</v>
      </c>
      <c r="B1283" s="33">
        <v>1</v>
      </c>
      <c r="C1283" s="33">
        <v>1</v>
      </c>
      <c r="D1283" s="37"/>
    </row>
    <row r="1284" spans="1:4" ht="17.25" collapsed="1" x14ac:dyDescent="0.3">
      <c r="A1284" s="44" t="s">
        <v>5496</v>
      </c>
      <c r="B1284" s="26">
        <f>B1285+B1289+B1292</f>
        <v>7</v>
      </c>
      <c r="C1284" s="26">
        <f>C1285+C1289+C1292</f>
        <v>7</v>
      </c>
      <c r="D1284" s="37"/>
    </row>
    <row r="1285" spans="1:4" ht="17.25" hidden="1" outlineLevel="1" collapsed="1" x14ac:dyDescent="0.3">
      <c r="A1285" s="45" t="s">
        <v>134</v>
      </c>
      <c r="B1285" s="33">
        <f>SUM(B1286:B1288)</f>
        <v>3</v>
      </c>
      <c r="C1285" s="33">
        <f>SUM(C1286:C1288)</f>
        <v>3</v>
      </c>
      <c r="D1285" s="37"/>
    </row>
    <row r="1286" spans="1:4" ht="17.25" hidden="1" outlineLevel="2" x14ac:dyDescent="0.3">
      <c r="A1286" s="36" t="s">
        <v>5497</v>
      </c>
      <c r="B1286" s="33">
        <v>1</v>
      </c>
      <c r="C1286" s="33">
        <v>1</v>
      </c>
      <c r="D1286" s="37"/>
    </row>
    <row r="1287" spans="1:4" ht="17.25" hidden="1" outlineLevel="2" x14ac:dyDescent="0.3">
      <c r="A1287" s="36" t="s">
        <v>5498</v>
      </c>
      <c r="B1287" s="33">
        <v>1</v>
      </c>
      <c r="C1287" s="33">
        <v>1</v>
      </c>
      <c r="D1287" s="37"/>
    </row>
    <row r="1288" spans="1:4" ht="17.25" hidden="1" outlineLevel="2" x14ac:dyDescent="0.3">
      <c r="A1288" s="36" t="s">
        <v>5499</v>
      </c>
      <c r="B1288" s="33">
        <v>1</v>
      </c>
      <c r="C1288" s="33">
        <v>1</v>
      </c>
      <c r="D1288" s="37"/>
    </row>
    <row r="1289" spans="1:4" ht="17.25" hidden="1" outlineLevel="1" collapsed="1" x14ac:dyDescent="0.3">
      <c r="A1289" s="45" t="s">
        <v>5491</v>
      </c>
      <c r="B1289" s="33">
        <f>SUM(B1290:B1291)</f>
        <v>2</v>
      </c>
      <c r="C1289" s="33">
        <f>SUM(C1290:C1291)</f>
        <v>2</v>
      </c>
      <c r="D1289" s="37"/>
    </row>
    <row r="1290" spans="1:4" ht="17.25" hidden="1" outlineLevel="2" x14ac:dyDescent="0.3">
      <c r="A1290" s="36" t="s">
        <v>5500</v>
      </c>
      <c r="B1290" s="33">
        <v>1</v>
      </c>
      <c r="C1290" s="33">
        <v>1</v>
      </c>
      <c r="D1290" s="37"/>
    </row>
    <row r="1291" spans="1:4" ht="17.25" hidden="1" outlineLevel="2" x14ac:dyDescent="0.3">
      <c r="A1291" s="36" t="s">
        <v>5501</v>
      </c>
      <c r="B1291" s="33">
        <v>1</v>
      </c>
      <c r="C1291" s="33">
        <v>1</v>
      </c>
      <c r="D1291" s="37"/>
    </row>
    <row r="1292" spans="1:4" ht="17.25" hidden="1" outlineLevel="1" collapsed="1" x14ac:dyDescent="0.3">
      <c r="A1292" s="45" t="s">
        <v>1231</v>
      </c>
      <c r="B1292" s="33">
        <f>SUM(B1293:B1294)</f>
        <v>2</v>
      </c>
      <c r="C1292" s="33">
        <f>SUM(C1293:C1294)</f>
        <v>2</v>
      </c>
      <c r="D1292" s="37"/>
    </row>
    <row r="1293" spans="1:4" ht="17.25" hidden="1" outlineLevel="2" x14ac:dyDescent="0.3">
      <c r="A1293" s="36" t="s">
        <v>5502</v>
      </c>
      <c r="B1293" s="33">
        <v>1</v>
      </c>
      <c r="C1293" s="33">
        <v>1</v>
      </c>
      <c r="D1293" s="37"/>
    </row>
    <row r="1294" spans="1:4" ht="17.25" hidden="1" outlineLevel="2" x14ac:dyDescent="0.3">
      <c r="A1294" s="36" t="s">
        <v>5503</v>
      </c>
      <c r="B1294" s="33">
        <v>1</v>
      </c>
      <c r="C1294" s="33">
        <v>1</v>
      </c>
      <c r="D1294" s="37"/>
    </row>
    <row r="1295" spans="1:4" ht="17.25" collapsed="1" x14ac:dyDescent="0.3">
      <c r="A1295" s="44" t="s">
        <v>149</v>
      </c>
      <c r="B1295" s="26">
        <f>B1296+B1303+B1306+B1309+B1312+B1315+B1318+B1321+B1324+B1331+B1334+B1341+B1348+B1353+B1358+B1363+B1366+B1369+B1374+B1377+B1388+B1395+B1402+B1406+B1410+B1415+B1418+B1423+B1426</f>
        <v>104</v>
      </c>
      <c r="C1295" s="26">
        <f>C1296+C1303+C1306+C1309+C1312+C1315+C1318+C1321+C1324+C1331+C1334+C1341+C1348+C1353+C1358+C1363+C1366+C1369+C1374+C1377+C1388+C1395+C1402+C1406+C1410+C1415+C1418+C1423+C1426</f>
        <v>104</v>
      </c>
      <c r="D1295" s="37"/>
    </row>
    <row r="1296" spans="1:4" ht="17.25" hidden="1" outlineLevel="1" collapsed="1" x14ac:dyDescent="0.3">
      <c r="A1296" s="45" t="s">
        <v>4523</v>
      </c>
      <c r="B1296" s="33">
        <f>SUM(B1297:B1302)</f>
        <v>6</v>
      </c>
      <c r="C1296" s="33">
        <f>SUM(C1297:C1302)</f>
        <v>6</v>
      </c>
      <c r="D1296" s="37"/>
    </row>
    <row r="1297" spans="1:4" ht="17.25" hidden="1" outlineLevel="2" x14ac:dyDescent="0.3">
      <c r="A1297" s="36" t="s">
        <v>5504</v>
      </c>
      <c r="B1297" s="33">
        <v>1</v>
      </c>
      <c r="C1297" s="33">
        <v>1</v>
      </c>
      <c r="D1297" s="37"/>
    </row>
    <row r="1298" spans="1:4" ht="17.25" hidden="1" outlineLevel="2" x14ac:dyDescent="0.3">
      <c r="A1298" s="36" t="s">
        <v>5505</v>
      </c>
      <c r="B1298" s="33">
        <v>1</v>
      </c>
      <c r="C1298" s="33">
        <v>1</v>
      </c>
      <c r="D1298" s="37"/>
    </row>
    <row r="1299" spans="1:4" ht="17.25" hidden="1" outlineLevel="2" x14ac:dyDescent="0.3">
      <c r="A1299" s="36" t="s">
        <v>4524</v>
      </c>
      <c r="B1299" s="33">
        <v>1</v>
      </c>
      <c r="C1299" s="33">
        <v>1</v>
      </c>
      <c r="D1299" s="37"/>
    </row>
    <row r="1300" spans="1:4" ht="17.25" hidden="1" outlineLevel="2" x14ac:dyDescent="0.3">
      <c r="A1300" s="36" t="s">
        <v>4525</v>
      </c>
      <c r="B1300" s="33">
        <v>1</v>
      </c>
      <c r="C1300" s="33">
        <v>1</v>
      </c>
      <c r="D1300" s="37"/>
    </row>
    <row r="1301" spans="1:4" ht="17.25" hidden="1" outlineLevel="2" x14ac:dyDescent="0.3">
      <c r="A1301" s="36" t="s">
        <v>5506</v>
      </c>
      <c r="B1301" s="33">
        <v>1</v>
      </c>
      <c r="C1301" s="33">
        <v>1</v>
      </c>
      <c r="D1301" s="37"/>
    </row>
    <row r="1302" spans="1:4" ht="17.25" hidden="1" outlineLevel="2" x14ac:dyDescent="0.3">
      <c r="A1302" s="36" t="s">
        <v>5507</v>
      </c>
      <c r="B1302" s="33">
        <v>1</v>
      </c>
      <c r="C1302" s="33">
        <v>1</v>
      </c>
      <c r="D1302" s="37"/>
    </row>
    <row r="1303" spans="1:4" ht="17.25" hidden="1" outlineLevel="1" collapsed="1" x14ac:dyDescent="0.3">
      <c r="A1303" s="45" t="s">
        <v>4526</v>
      </c>
      <c r="B1303" s="33">
        <f>SUM(B1304:B1305)</f>
        <v>2</v>
      </c>
      <c r="C1303" s="33">
        <f>SUM(C1304:C1305)</f>
        <v>2</v>
      </c>
      <c r="D1303" s="37"/>
    </row>
    <row r="1304" spans="1:4" ht="17.25" hidden="1" outlineLevel="2" x14ac:dyDescent="0.3">
      <c r="A1304" s="36" t="s">
        <v>4527</v>
      </c>
      <c r="B1304" s="33">
        <v>1</v>
      </c>
      <c r="C1304" s="33">
        <v>1</v>
      </c>
      <c r="D1304" s="37"/>
    </row>
    <row r="1305" spans="1:4" ht="17.25" hidden="1" outlineLevel="2" x14ac:dyDescent="0.3">
      <c r="A1305" s="36" t="s">
        <v>4528</v>
      </c>
      <c r="B1305" s="33">
        <v>1</v>
      </c>
      <c r="C1305" s="33">
        <v>1</v>
      </c>
      <c r="D1305" s="37"/>
    </row>
    <row r="1306" spans="1:4" ht="17.25" hidden="1" outlineLevel="1" collapsed="1" x14ac:dyDescent="0.3">
      <c r="A1306" s="45" t="s">
        <v>4529</v>
      </c>
      <c r="B1306" s="33">
        <f>SUM(B1307:B1308)</f>
        <v>2</v>
      </c>
      <c r="C1306" s="33">
        <f>SUM(C1307:C1308)</f>
        <v>2</v>
      </c>
      <c r="D1306" s="37"/>
    </row>
    <row r="1307" spans="1:4" ht="17.25" hidden="1" outlineLevel="2" x14ac:dyDescent="0.3">
      <c r="A1307" s="36" t="s">
        <v>4530</v>
      </c>
      <c r="B1307" s="33">
        <v>1</v>
      </c>
      <c r="C1307" s="33">
        <v>1</v>
      </c>
      <c r="D1307" s="37"/>
    </row>
    <row r="1308" spans="1:4" ht="17.25" hidden="1" outlineLevel="2" x14ac:dyDescent="0.3">
      <c r="A1308" s="36" t="s">
        <v>4531</v>
      </c>
      <c r="B1308" s="33">
        <v>1</v>
      </c>
      <c r="C1308" s="33">
        <v>1</v>
      </c>
      <c r="D1308" s="37"/>
    </row>
    <row r="1309" spans="1:4" ht="17.25" hidden="1" outlineLevel="1" collapsed="1" x14ac:dyDescent="0.3">
      <c r="A1309" s="45" t="s">
        <v>4532</v>
      </c>
      <c r="B1309" s="33">
        <f>SUM(B1310:B1311)</f>
        <v>2</v>
      </c>
      <c r="C1309" s="33">
        <f>SUM(C1310:C1311)</f>
        <v>2</v>
      </c>
      <c r="D1309" s="37"/>
    </row>
    <row r="1310" spans="1:4" ht="17.25" hidden="1" outlineLevel="2" x14ac:dyDescent="0.3">
      <c r="A1310" s="36" t="s">
        <v>4533</v>
      </c>
      <c r="B1310" s="33">
        <v>1</v>
      </c>
      <c r="C1310" s="33">
        <v>1</v>
      </c>
      <c r="D1310" s="37"/>
    </row>
    <row r="1311" spans="1:4" ht="17.25" hidden="1" outlineLevel="2" x14ac:dyDescent="0.3">
      <c r="A1311" s="36" t="s">
        <v>4528</v>
      </c>
      <c r="B1311" s="33">
        <v>1</v>
      </c>
      <c r="C1311" s="33">
        <v>1</v>
      </c>
      <c r="D1311" s="37"/>
    </row>
    <row r="1312" spans="1:4" ht="17.25" hidden="1" outlineLevel="1" collapsed="1" x14ac:dyDescent="0.3">
      <c r="A1312" s="45" t="s">
        <v>4534</v>
      </c>
      <c r="B1312" s="33">
        <f>SUM(B1313:B1314)</f>
        <v>2</v>
      </c>
      <c r="C1312" s="33">
        <f>SUM(C1313:C1314)</f>
        <v>2</v>
      </c>
      <c r="D1312" s="37"/>
    </row>
    <row r="1313" spans="1:4" ht="17.25" hidden="1" outlineLevel="2" x14ac:dyDescent="0.3">
      <c r="A1313" s="36" t="s">
        <v>4535</v>
      </c>
      <c r="B1313" s="33">
        <v>1</v>
      </c>
      <c r="C1313" s="33">
        <v>1</v>
      </c>
      <c r="D1313" s="37"/>
    </row>
    <row r="1314" spans="1:4" ht="17.25" hidden="1" outlineLevel="2" x14ac:dyDescent="0.3">
      <c r="A1314" s="36" t="s">
        <v>4536</v>
      </c>
      <c r="B1314" s="33">
        <v>1</v>
      </c>
      <c r="C1314" s="33">
        <v>1</v>
      </c>
      <c r="D1314" s="37"/>
    </row>
    <row r="1315" spans="1:4" ht="17.25" hidden="1" outlineLevel="1" collapsed="1" x14ac:dyDescent="0.3">
      <c r="A1315" s="45" t="s">
        <v>4537</v>
      </c>
      <c r="B1315" s="33">
        <f>SUM(B1316:B1317)</f>
        <v>2</v>
      </c>
      <c r="C1315" s="33">
        <f>SUM(C1316:C1317)</f>
        <v>2</v>
      </c>
      <c r="D1315" s="37"/>
    </row>
    <row r="1316" spans="1:4" ht="17.25" hidden="1" outlineLevel="2" x14ac:dyDescent="0.3">
      <c r="A1316" s="36" t="s">
        <v>4538</v>
      </c>
      <c r="B1316" s="33">
        <v>1</v>
      </c>
      <c r="C1316" s="33">
        <v>1</v>
      </c>
      <c r="D1316" s="37"/>
    </row>
    <row r="1317" spans="1:4" ht="17.25" hidden="1" outlineLevel="2" x14ac:dyDescent="0.3">
      <c r="A1317" s="36" t="s">
        <v>4539</v>
      </c>
      <c r="B1317" s="33">
        <v>1</v>
      </c>
      <c r="C1317" s="33">
        <v>1</v>
      </c>
      <c r="D1317" s="37"/>
    </row>
    <row r="1318" spans="1:4" ht="17.25" hidden="1" outlineLevel="1" collapsed="1" x14ac:dyDescent="0.3">
      <c r="A1318" s="45" t="s">
        <v>4540</v>
      </c>
      <c r="B1318" s="33">
        <f>SUM(B1319:B1320)</f>
        <v>2</v>
      </c>
      <c r="C1318" s="33">
        <f>SUM(C1319:C1320)</f>
        <v>2</v>
      </c>
      <c r="D1318" s="37"/>
    </row>
    <row r="1319" spans="1:4" ht="17.25" hidden="1" outlineLevel="2" x14ac:dyDescent="0.3">
      <c r="A1319" s="36" t="s">
        <v>4538</v>
      </c>
      <c r="B1319" s="33">
        <v>1</v>
      </c>
      <c r="C1319" s="33">
        <v>1</v>
      </c>
      <c r="D1319" s="37"/>
    </row>
    <row r="1320" spans="1:4" ht="17.25" hidden="1" outlineLevel="2" x14ac:dyDescent="0.3">
      <c r="A1320" s="36" t="s">
        <v>4541</v>
      </c>
      <c r="B1320" s="33">
        <v>1</v>
      </c>
      <c r="C1320" s="33">
        <v>1</v>
      </c>
      <c r="D1320" s="37"/>
    </row>
    <row r="1321" spans="1:4" ht="17.25" hidden="1" outlineLevel="1" collapsed="1" x14ac:dyDescent="0.3">
      <c r="A1321" s="45" t="s">
        <v>4542</v>
      </c>
      <c r="B1321" s="33">
        <f>SUM(B1322:B1323)</f>
        <v>2</v>
      </c>
      <c r="C1321" s="33">
        <f>SUM(C1322:C1323)</f>
        <v>2</v>
      </c>
      <c r="D1321" s="37"/>
    </row>
    <row r="1322" spans="1:4" ht="17.25" hidden="1" outlineLevel="2" x14ac:dyDescent="0.3">
      <c r="A1322" s="36" t="s">
        <v>4543</v>
      </c>
      <c r="B1322" s="33">
        <v>1</v>
      </c>
      <c r="C1322" s="33">
        <v>1</v>
      </c>
      <c r="D1322" s="37"/>
    </row>
    <row r="1323" spans="1:4" ht="17.25" hidden="1" outlineLevel="2" x14ac:dyDescent="0.3">
      <c r="A1323" s="36" t="s">
        <v>4544</v>
      </c>
      <c r="B1323" s="33">
        <v>1</v>
      </c>
      <c r="C1323" s="33">
        <v>1</v>
      </c>
      <c r="D1323" s="37"/>
    </row>
    <row r="1324" spans="1:4" ht="17.25" hidden="1" outlineLevel="1" collapsed="1" x14ac:dyDescent="0.3">
      <c r="A1324" s="45" t="s">
        <v>1188</v>
      </c>
      <c r="B1324" s="33">
        <f>SUM(B1325:B1330)</f>
        <v>6</v>
      </c>
      <c r="C1324" s="33">
        <f>SUM(C1325:C1330)</f>
        <v>6</v>
      </c>
      <c r="D1324" s="37"/>
    </row>
    <row r="1325" spans="1:4" ht="17.25" hidden="1" outlineLevel="2" x14ac:dyDescent="0.3">
      <c r="A1325" s="36" t="s">
        <v>4545</v>
      </c>
      <c r="B1325" s="33">
        <v>1</v>
      </c>
      <c r="C1325" s="33">
        <v>1</v>
      </c>
      <c r="D1325" s="37"/>
    </row>
    <row r="1326" spans="1:4" ht="17.25" hidden="1" outlineLevel="2" x14ac:dyDescent="0.3">
      <c r="A1326" s="36" t="s">
        <v>4546</v>
      </c>
      <c r="B1326" s="33">
        <v>1</v>
      </c>
      <c r="C1326" s="33">
        <v>1</v>
      </c>
      <c r="D1326" s="37"/>
    </row>
    <row r="1327" spans="1:4" ht="17.25" hidden="1" outlineLevel="2" x14ac:dyDescent="0.3">
      <c r="A1327" s="36" t="s">
        <v>1189</v>
      </c>
      <c r="B1327" s="33">
        <v>1</v>
      </c>
      <c r="C1327" s="33">
        <v>1</v>
      </c>
      <c r="D1327" s="37"/>
    </row>
    <row r="1328" spans="1:4" ht="17.25" hidden="1" outlineLevel="2" x14ac:dyDescent="0.3">
      <c r="A1328" s="36" t="s">
        <v>1190</v>
      </c>
      <c r="B1328" s="33">
        <v>1</v>
      </c>
      <c r="C1328" s="33">
        <v>1</v>
      </c>
      <c r="D1328" s="37"/>
    </row>
    <row r="1329" spans="1:4" ht="17.25" hidden="1" outlineLevel="2" x14ac:dyDescent="0.3">
      <c r="A1329" s="36" t="s">
        <v>5508</v>
      </c>
      <c r="B1329" s="33">
        <v>1</v>
      </c>
      <c r="C1329" s="33">
        <v>1</v>
      </c>
      <c r="D1329" s="37"/>
    </row>
    <row r="1330" spans="1:4" ht="17.25" hidden="1" outlineLevel="2" x14ac:dyDescent="0.3">
      <c r="A1330" s="36" t="s">
        <v>5509</v>
      </c>
      <c r="B1330" s="33">
        <v>1</v>
      </c>
      <c r="C1330" s="33">
        <v>1</v>
      </c>
      <c r="D1330" s="37"/>
    </row>
    <row r="1331" spans="1:4" ht="17.25" hidden="1" outlineLevel="1" collapsed="1" x14ac:dyDescent="0.3">
      <c r="A1331" s="45" t="s">
        <v>4547</v>
      </c>
      <c r="B1331" s="33">
        <f>SUM(B1332:B1333)</f>
        <v>2</v>
      </c>
      <c r="C1331" s="33">
        <f>SUM(C1332:C1333)</f>
        <v>2</v>
      </c>
      <c r="D1331" s="37"/>
    </row>
    <row r="1332" spans="1:4" ht="17.25" hidden="1" outlineLevel="2" x14ac:dyDescent="0.3">
      <c r="A1332" s="36" t="s">
        <v>4548</v>
      </c>
      <c r="B1332" s="33">
        <v>1</v>
      </c>
      <c r="C1332" s="33">
        <v>1</v>
      </c>
      <c r="D1332" s="37"/>
    </row>
    <row r="1333" spans="1:4" ht="17.25" hidden="1" outlineLevel="2" x14ac:dyDescent="0.3">
      <c r="A1333" s="36" t="s">
        <v>4549</v>
      </c>
      <c r="B1333" s="33">
        <v>1</v>
      </c>
      <c r="C1333" s="33">
        <v>1</v>
      </c>
      <c r="D1333" s="37"/>
    </row>
    <row r="1334" spans="1:4" ht="17.25" hidden="1" outlineLevel="1" collapsed="1" x14ac:dyDescent="0.3">
      <c r="A1334" s="45" t="s">
        <v>1191</v>
      </c>
      <c r="B1334" s="33">
        <f>SUM(B1335:B1340)</f>
        <v>6</v>
      </c>
      <c r="C1334" s="33">
        <f>SUM(C1335:C1340)</f>
        <v>6</v>
      </c>
      <c r="D1334" s="37"/>
    </row>
    <row r="1335" spans="1:4" ht="17.25" hidden="1" outlineLevel="2" x14ac:dyDescent="0.3">
      <c r="A1335" s="36" t="s">
        <v>1192</v>
      </c>
      <c r="B1335" s="33">
        <v>1</v>
      </c>
      <c r="C1335" s="33">
        <v>1</v>
      </c>
      <c r="D1335" s="37"/>
    </row>
    <row r="1336" spans="1:4" ht="17.25" hidden="1" outlineLevel="2" x14ac:dyDescent="0.3">
      <c r="A1336" s="36" t="s">
        <v>1193</v>
      </c>
      <c r="B1336" s="33">
        <v>1</v>
      </c>
      <c r="C1336" s="33">
        <v>1</v>
      </c>
      <c r="D1336" s="37"/>
    </row>
    <row r="1337" spans="1:4" ht="17.25" hidden="1" outlineLevel="2" x14ac:dyDescent="0.3">
      <c r="A1337" s="36" t="s">
        <v>5510</v>
      </c>
      <c r="B1337" s="33">
        <v>1</v>
      </c>
      <c r="C1337" s="33">
        <v>1</v>
      </c>
      <c r="D1337" s="37"/>
    </row>
    <row r="1338" spans="1:4" ht="17.25" hidden="1" outlineLevel="2" x14ac:dyDescent="0.3">
      <c r="A1338" s="36" t="s">
        <v>5511</v>
      </c>
      <c r="B1338" s="33">
        <v>1</v>
      </c>
      <c r="C1338" s="33">
        <v>1</v>
      </c>
      <c r="D1338" s="37"/>
    </row>
    <row r="1339" spans="1:4" ht="17.25" hidden="1" outlineLevel="2" x14ac:dyDescent="0.3">
      <c r="A1339" s="36" t="s">
        <v>5512</v>
      </c>
      <c r="B1339" s="33">
        <v>1</v>
      </c>
      <c r="C1339" s="33">
        <v>1</v>
      </c>
      <c r="D1339" s="37"/>
    </row>
    <row r="1340" spans="1:4" ht="17.25" hidden="1" outlineLevel="2" x14ac:dyDescent="0.3">
      <c r="A1340" s="36" t="s">
        <v>5513</v>
      </c>
      <c r="B1340" s="33">
        <v>1</v>
      </c>
      <c r="C1340" s="33">
        <v>1</v>
      </c>
      <c r="D1340" s="37"/>
    </row>
    <row r="1341" spans="1:4" ht="17.25" hidden="1" outlineLevel="1" collapsed="1" x14ac:dyDescent="0.3">
      <c r="A1341" s="45" t="s">
        <v>150</v>
      </c>
      <c r="B1341" s="33">
        <f>SUM(B1342:B1347)</f>
        <v>6</v>
      </c>
      <c r="C1341" s="33">
        <f>SUM(C1342:C1347)</f>
        <v>6</v>
      </c>
      <c r="D1341" s="37"/>
    </row>
    <row r="1342" spans="1:4" ht="17.25" hidden="1" outlineLevel="2" x14ac:dyDescent="0.3">
      <c r="A1342" s="36" t="s">
        <v>383</v>
      </c>
      <c r="B1342" s="33">
        <v>1</v>
      </c>
      <c r="C1342" s="33">
        <v>1</v>
      </c>
      <c r="D1342" s="37"/>
    </row>
    <row r="1343" spans="1:4" ht="17.25" hidden="1" outlineLevel="2" x14ac:dyDescent="0.3">
      <c r="A1343" s="36" t="s">
        <v>384</v>
      </c>
      <c r="B1343" s="33">
        <v>1</v>
      </c>
      <c r="C1343" s="33">
        <v>1</v>
      </c>
      <c r="D1343" s="37"/>
    </row>
    <row r="1344" spans="1:4" ht="17.25" hidden="1" outlineLevel="2" x14ac:dyDescent="0.3">
      <c r="A1344" s="36" t="s">
        <v>5514</v>
      </c>
      <c r="B1344" s="33">
        <v>1</v>
      </c>
      <c r="C1344" s="33">
        <v>1</v>
      </c>
      <c r="D1344" s="37"/>
    </row>
    <row r="1345" spans="1:4" ht="17.25" hidden="1" outlineLevel="2" x14ac:dyDescent="0.3">
      <c r="A1345" s="36" t="s">
        <v>5515</v>
      </c>
      <c r="B1345" s="33">
        <v>1</v>
      </c>
      <c r="C1345" s="33">
        <v>1</v>
      </c>
      <c r="D1345" s="37"/>
    </row>
    <row r="1346" spans="1:4" ht="17.25" hidden="1" outlineLevel="2" x14ac:dyDescent="0.3">
      <c r="A1346" s="36" t="s">
        <v>5516</v>
      </c>
      <c r="B1346" s="33">
        <v>1</v>
      </c>
      <c r="C1346" s="33">
        <v>1</v>
      </c>
      <c r="D1346" s="37"/>
    </row>
    <row r="1347" spans="1:4" ht="17.25" hidden="1" outlineLevel="2" x14ac:dyDescent="0.3">
      <c r="A1347" s="36" t="s">
        <v>5517</v>
      </c>
      <c r="B1347" s="33">
        <v>1</v>
      </c>
      <c r="C1347" s="33">
        <v>1</v>
      </c>
      <c r="D1347" s="37"/>
    </row>
    <row r="1348" spans="1:4" ht="17.25" hidden="1" outlineLevel="1" collapsed="1" x14ac:dyDescent="0.3">
      <c r="A1348" s="45" t="s">
        <v>5518</v>
      </c>
      <c r="B1348" s="33">
        <f>SUM(B1349:B1352)</f>
        <v>4</v>
      </c>
      <c r="C1348" s="33">
        <f>SUM(C1349:C1352)</f>
        <v>4</v>
      </c>
      <c r="D1348" s="37"/>
    </row>
    <row r="1349" spans="1:4" ht="17.25" hidden="1" outlineLevel="2" x14ac:dyDescent="0.3">
      <c r="A1349" s="36" t="s">
        <v>5519</v>
      </c>
      <c r="B1349" s="33">
        <v>1</v>
      </c>
      <c r="C1349" s="33">
        <v>1</v>
      </c>
      <c r="D1349" s="37"/>
    </row>
    <row r="1350" spans="1:4" ht="17.25" hidden="1" outlineLevel="2" x14ac:dyDescent="0.3">
      <c r="A1350" s="36" t="s">
        <v>5520</v>
      </c>
      <c r="B1350" s="33">
        <v>1</v>
      </c>
      <c r="C1350" s="33">
        <v>1</v>
      </c>
      <c r="D1350" s="37"/>
    </row>
    <row r="1351" spans="1:4" ht="17.25" hidden="1" outlineLevel="2" x14ac:dyDescent="0.3">
      <c r="A1351" s="36" t="s">
        <v>5521</v>
      </c>
      <c r="B1351" s="33">
        <v>1</v>
      </c>
      <c r="C1351" s="33">
        <v>1</v>
      </c>
      <c r="D1351" s="37"/>
    </row>
    <row r="1352" spans="1:4" ht="17.25" hidden="1" outlineLevel="2" x14ac:dyDescent="0.3">
      <c r="A1352" s="36" t="s">
        <v>5522</v>
      </c>
      <c r="B1352" s="33">
        <v>1</v>
      </c>
      <c r="C1352" s="33">
        <v>1</v>
      </c>
      <c r="D1352" s="37"/>
    </row>
    <row r="1353" spans="1:4" ht="17.25" hidden="1" outlineLevel="1" collapsed="1" x14ac:dyDescent="0.3">
      <c r="A1353" s="45" t="s">
        <v>5523</v>
      </c>
      <c r="B1353" s="33">
        <f>SUM(B1354:B1357)</f>
        <v>4</v>
      </c>
      <c r="C1353" s="33">
        <f>SUM(C1354:C1357)</f>
        <v>4</v>
      </c>
      <c r="D1353" s="37"/>
    </row>
    <row r="1354" spans="1:4" ht="17.25" hidden="1" outlineLevel="2" x14ac:dyDescent="0.3">
      <c r="A1354" s="36" t="s">
        <v>5524</v>
      </c>
      <c r="B1354" s="33">
        <v>1</v>
      </c>
      <c r="C1354" s="33">
        <v>1</v>
      </c>
      <c r="D1354" s="37"/>
    </row>
    <row r="1355" spans="1:4" ht="17.25" hidden="1" outlineLevel="2" x14ac:dyDescent="0.3">
      <c r="A1355" s="36" t="s">
        <v>5525</v>
      </c>
      <c r="B1355" s="33">
        <v>1</v>
      </c>
      <c r="C1355" s="33">
        <v>1</v>
      </c>
      <c r="D1355" s="37"/>
    </row>
    <row r="1356" spans="1:4" ht="17.25" hidden="1" outlineLevel="2" x14ac:dyDescent="0.3">
      <c r="A1356" s="36" t="s">
        <v>5526</v>
      </c>
      <c r="B1356" s="33">
        <v>1</v>
      </c>
      <c r="C1356" s="33">
        <v>1</v>
      </c>
      <c r="D1356" s="37"/>
    </row>
    <row r="1357" spans="1:4" ht="17.25" hidden="1" outlineLevel="2" x14ac:dyDescent="0.3">
      <c r="A1357" s="36" t="s">
        <v>5527</v>
      </c>
      <c r="B1357" s="33">
        <v>1</v>
      </c>
      <c r="C1357" s="33">
        <v>1</v>
      </c>
      <c r="D1357" s="37"/>
    </row>
    <row r="1358" spans="1:4" ht="17.25" hidden="1" outlineLevel="1" collapsed="1" x14ac:dyDescent="0.3">
      <c r="A1358" s="45" t="s">
        <v>5528</v>
      </c>
      <c r="B1358" s="33">
        <f>SUM(B1359:B1362)</f>
        <v>4</v>
      </c>
      <c r="C1358" s="33">
        <f>SUM(C1359:C1362)</f>
        <v>4</v>
      </c>
      <c r="D1358" s="37"/>
    </row>
    <row r="1359" spans="1:4" ht="17.25" hidden="1" outlineLevel="2" x14ac:dyDescent="0.3">
      <c r="A1359" s="36" t="s">
        <v>5529</v>
      </c>
      <c r="B1359" s="33">
        <v>1</v>
      </c>
      <c r="C1359" s="33">
        <v>1</v>
      </c>
      <c r="D1359" s="37"/>
    </row>
    <row r="1360" spans="1:4" ht="17.25" hidden="1" outlineLevel="2" x14ac:dyDescent="0.3">
      <c r="A1360" s="36" t="s">
        <v>5530</v>
      </c>
      <c r="B1360" s="33">
        <v>1</v>
      </c>
      <c r="C1360" s="33">
        <v>1</v>
      </c>
      <c r="D1360" s="37"/>
    </row>
    <row r="1361" spans="1:4" ht="17.25" hidden="1" outlineLevel="2" x14ac:dyDescent="0.3">
      <c r="A1361" s="36" t="s">
        <v>5531</v>
      </c>
      <c r="B1361" s="33">
        <v>1</v>
      </c>
      <c r="C1361" s="33">
        <v>1</v>
      </c>
      <c r="D1361" s="37"/>
    </row>
    <row r="1362" spans="1:4" ht="17.25" hidden="1" outlineLevel="2" x14ac:dyDescent="0.3">
      <c r="A1362" s="36" t="s">
        <v>5532</v>
      </c>
      <c r="B1362" s="33">
        <v>1</v>
      </c>
      <c r="C1362" s="33">
        <v>1</v>
      </c>
      <c r="D1362" s="37"/>
    </row>
    <row r="1363" spans="1:4" ht="17.25" hidden="1" outlineLevel="1" collapsed="1" x14ac:dyDescent="0.3">
      <c r="A1363" s="45" t="s">
        <v>5533</v>
      </c>
      <c r="B1363" s="33">
        <f>SUM(B1364:B1365)</f>
        <v>2</v>
      </c>
      <c r="C1363" s="33">
        <f>SUM(C1364:C1365)</f>
        <v>2</v>
      </c>
      <c r="D1363" s="37"/>
    </row>
    <row r="1364" spans="1:4" ht="17.25" hidden="1" outlineLevel="2" x14ac:dyDescent="0.3">
      <c r="A1364" s="36" t="s">
        <v>5534</v>
      </c>
      <c r="B1364" s="33">
        <v>1</v>
      </c>
      <c r="C1364" s="33">
        <v>1</v>
      </c>
      <c r="D1364" s="37"/>
    </row>
    <row r="1365" spans="1:4" ht="17.25" hidden="1" outlineLevel="2" x14ac:dyDescent="0.3">
      <c r="A1365" s="36" t="s">
        <v>5535</v>
      </c>
      <c r="B1365" s="33">
        <v>1</v>
      </c>
      <c r="C1365" s="33">
        <v>1</v>
      </c>
      <c r="D1365" s="37"/>
    </row>
    <row r="1366" spans="1:4" ht="17.25" hidden="1" outlineLevel="1" collapsed="1" x14ac:dyDescent="0.3">
      <c r="A1366" s="45" t="s">
        <v>5536</v>
      </c>
      <c r="B1366" s="33">
        <f>SUM(B1367:B1368)</f>
        <v>2</v>
      </c>
      <c r="C1366" s="33">
        <f>SUM(C1367:C1368)</f>
        <v>2</v>
      </c>
      <c r="D1366" s="37"/>
    </row>
    <row r="1367" spans="1:4" ht="17.25" hidden="1" outlineLevel="2" x14ac:dyDescent="0.3">
      <c r="A1367" s="36" t="s">
        <v>5537</v>
      </c>
      <c r="B1367" s="33">
        <v>1</v>
      </c>
      <c r="C1367" s="33">
        <v>1</v>
      </c>
      <c r="D1367" s="37"/>
    </row>
    <row r="1368" spans="1:4" ht="17.25" hidden="1" outlineLevel="2" x14ac:dyDescent="0.3">
      <c r="A1368" s="36" t="s">
        <v>5538</v>
      </c>
      <c r="B1368" s="33">
        <v>1</v>
      </c>
      <c r="C1368" s="33">
        <v>1</v>
      </c>
      <c r="D1368" s="37"/>
    </row>
    <row r="1369" spans="1:4" ht="17.25" hidden="1" outlineLevel="1" collapsed="1" x14ac:dyDescent="0.3">
      <c r="A1369" s="45" t="s">
        <v>5539</v>
      </c>
      <c r="B1369" s="33">
        <f>SUM(B1370:B1373)</f>
        <v>4</v>
      </c>
      <c r="C1369" s="33">
        <f>SUM(C1370:C1373)</f>
        <v>4</v>
      </c>
      <c r="D1369" s="37"/>
    </row>
    <row r="1370" spans="1:4" ht="17.25" hidden="1" outlineLevel="2" x14ac:dyDescent="0.3">
      <c r="A1370" s="36" t="s">
        <v>5540</v>
      </c>
      <c r="B1370" s="33">
        <v>1</v>
      </c>
      <c r="C1370" s="33">
        <v>1</v>
      </c>
      <c r="D1370" s="37"/>
    </row>
    <row r="1371" spans="1:4" ht="17.25" hidden="1" outlineLevel="2" x14ac:dyDescent="0.3">
      <c r="A1371" s="36" t="s">
        <v>5541</v>
      </c>
      <c r="B1371" s="33">
        <v>1</v>
      </c>
      <c r="C1371" s="33">
        <v>1</v>
      </c>
      <c r="D1371" s="37"/>
    </row>
    <row r="1372" spans="1:4" ht="17.25" hidden="1" outlineLevel="2" x14ac:dyDescent="0.3">
      <c r="A1372" s="36" t="s">
        <v>5542</v>
      </c>
      <c r="B1372" s="33">
        <v>1</v>
      </c>
      <c r="C1372" s="33">
        <v>1</v>
      </c>
      <c r="D1372" s="37"/>
    </row>
    <row r="1373" spans="1:4" ht="17.25" hidden="1" outlineLevel="2" x14ac:dyDescent="0.3">
      <c r="A1373" s="36" t="s">
        <v>5543</v>
      </c>
      <c r="B1373" s="33">
        <v>1</v>
      </c>
      <c r="C1373" s="33">
        <v>1</v>
      </c>
      <c r="D1373" s="37"/>
    </row>
    <row r="1374" spans="1:4" ht="17.25" hidden="1" outlineLevel="1" collapsed="1" x14ac:dyDescent="0.3">
      <c r="A1374" s="45" t="s">
        <v>5544</v>
      </c>
      <c r="B1374" s="33">
        <f>SUM(B1375:B1376)</f>
        <v>2</v>
      </c>
      <c r="C1374" s="33">
        <f>SUM(C1375:C1376)</f>
        <v>2</v>
      </c>
      <c r="D1374" s="37"/>
    </row>
    <row r="1375" spans="1:4" ht="17.25" hidden="1" outlineLevel="2" x14ac:dyDescent="0.3">
      <c r="A1375" s="36" t="s">
        <v>5545</v>
      </c>
      <c r="B1375" s="33">
        <v>1</v>
      </c>
      <c r="C1375" s="33">
        <v>1</v>
      </c>
      <c r="D1375" s="37"/>
    </row>
    <row r="1376" spans="1:4" ht="17.25" hidden="1" outlineLevel="2" x14ac:dyDescent="0.3">
      <c r="A1376" s="36" t="s">
        <v>5546</v>
      </c>
      <c r="B1376" s="33">
        <v>1</v>
      </c>
      <c r="C1376" s="33">
        <v>1</v>
      </c>
      <c r="D1376" s="37"/>
    </row>
    <row r="1377" spans="1:4" ht="17.25" hidden="1" outlineLevel="1" collapsed="1" x14ac:dyDescent="0.3">
      <c r="A1377" s="45" t="s">
        <v>5547</v>
      </c>
      <c r="B1377" s="33">
        <f>SUM(B1378:B1387)</f>
        <v>10</v>
      </c>
      <c r="C1377" s="33">
        <f>SUM(C1378:C1387)</f>
        <v>10</v>
      </c>
      <c r="D1377" s="37"/>
    </row>
    <row r="1378" spans="1:4" ht="17.25" hidden="1" outlineLevel="2" x14ac:dyDescent="0.3">
      <c r="A1378" s="36" t="s">
        <v>5548</v>
      </c>
      <c r="B1378" s="33">
        <v>1</v>
      </c>
      <c r="C1378" s="33">
        <v>1</v>
      </c>
      <c r="D1378" s="37"/>
    </row>
    <row r="1379" spans="1:4" ht="17.25" hidden="1" outlineLevel="2" x14ac:dyDescent="0.3">
      <c r="A1379" s="36" t="s">
        <v>5549</v>
      </c>
      <c r="B1379" s="33">
        <v>1</v>
      </c>
      <c r="C1379" s="33">
        <v>1</v>
      </c>
      <c r="D1379" s="37"/>
    </row>
    <row r="1380" spans="1:4" ht="17.25" hidden="1" outlineLevel="2" x14ac:dyDescent="0.3">
      <c r="A1380" s="36" t="s">
        <v>5550</v>
      </c>
      <c r="B1380" s="33">
        <v>1</v>
      </c>
      <c r="C1380" s="33">
        <v>1</v>
      </c>
      <c r="D1380" s="37"/>
    </row>
    <row r="1381" spans="1:4" ht="17.25" hidden="1" outlineLevel="2" x14ac:dyDescent="0.3">
      <c r="A1381" s="36" t="s">
        <v>5551</v>
      </c>
      <c r="B1381" s="33">
        <v>1</v>
      </c>
      <c r="C1381" s="33">
        <v>1</v>
      </c>
      <c r="D1381" s="37"/>
    </row>
    <row r="1382" spans="1:4" ht="17.25" hidden="1" outlineLevel="2" x14ac:dyDescent="0.3">
      <c r="A1382" s="36" t="s">
        <v>5552</v>
      </c>
      <c r="B1382" s="33">
        <v>1</v>
      </c>
      <c r="C1382" s="33">
        <v>1</v>
      </c>
      <c r="D1382" s="37"/>
    </row>
    <row r="1383" spans="1:4" ht="17.25" hidden="1" outlineLevel="2" x14ac:dyDescent="0.3">
      <c r="A1383" s="36" t="s">
        <v>5553</v>
      </c>
      <c r="B1383" s="33">
        <v>1</v>
      </c>
      <c r="C1383" s="33">
        <v>1</v>
      </c>
      <c r="D1383" s="37"/>
    </row>
    <row r="1384" spans="1:4" ht="17.25" hidden="1" outlineLevel="2" x14ac:dyDescent="0.3">
      <c r="A1384" s="36" t="s">
        <v>5554</v>
      </c>
      <c r="B1384" s="33">
        <v>1</v>
      </c>
      <c r="C1384" s="33">
        <v>1</v>
      </c>
      <c r="D1384" s="37"/>
    </row>
    <row r="1385" spans="1:4" ht="17.25" hidden="1" outlineLevel="2" x14ac:dyDescent="0.3">
      <c r="A1385" s="36" t="s">
        <v>5555</v>
      </c>
      <c r="B1385" s="33">
        <v>1</v>
      </c>
      <c r="C1385" s="33">
        <v>1</v>
      </c>
      <c r="D1385" s="37"/>
    </row>
    <row r="1386" spans="1:4" ht="17.25" hidden="1" outlineLevel="2" x14ac:dyDescent="0.3">
      <c r="A1386" s="36" t="s">
        <v>5556</v>
      </c>
      <c r="B1386" s="33">
        <v>1</v>
      </c>
      <c r="C1386" s="33">
        <v>1</v>
      </c>
      <c r="D1386" s="37"/>
    </row>
    <row r="1387" spans="1:4" ht="17.25" hidden="1" outlineLevel="2" x14ac:dyDescent="0.3">
      <c r="A1387" s="36" t="s">
        <v>5557</v>
      </c>
      <c r="B1387" s="33">
        <v>1</v>
      </c>
      <c r="C1387" s="33">
        <v>1</v>
      </c>
      <c r="D1387" s="37"/>
    </row>
    <row r="1388" spans="1:4" ht="17.25" hidden="1" outlineLevel="1" collapsed="1" x14ac:dyDescent="0.3">
      <c r="A1388" s="45" t="s">
        <v>5558</v>
      </c>
      <c r="B1388" s="33">
        <f>SUM(B1389:B1394)</f>
        <v>6</v>
      </c>
      <c r="C1388" s="33">
        <f>SUM(C1389:C1394)</f>
        <v>6</v>
      </c>
      <c r="D1388" s="37"/>
    </row>
    <row r="1389" spans="1:4" ht="17.25" hidden="1" outlineLevel="2" x14ac:dyDescent="0.3">
      <c r="A1389" s="36" t="s">
        <v>5559</v>
      </c>
      <c r="B1389" s="33">
        <v>1</v>
      </c>
      <c r="C1389" s="33">
        <v>1</v>
      </c>
      <c r="D1389" s="37"/>
    </row>
    <row r="1390" spans="1:4" ht="17.25" hidden="1" outlineLevel="2" x14ac:dyDescent="0.3">
      <c r="A1390" s="36" t="s">
        <v>5560</v>
      </c>
      <c r="B1390" s="33">
        <v>1</v>
      </c>
      <c r="C1390" s="33">
        <v>1</v>
      </c>
      <c r="D1390" s="37"/>
    </row>
    <row r="1391" spans="1:4" ht="17.25" hidden="1" outlineLevel="2" x14ac:dyDescent="0.3">
      <c r="A1391" s="36" t="s">
        <v>5561</v>
      </c>
      <c r="B1391" s="33">
        <v>1</v>
      </c>
      <c r="C1391" s="33">
        <v>1</v>
      </c>
      <c r="D1391" s="37"/>
    </row>
    <row r="1392" spans="1:4" ht="17.25" hidden="1" outlineLevel="2" x14ac:dyDescent="0.3">
      <c r="A1392" s="36" t="s">
        <v>5562</v>
      </c>
      <c r="B1392" s="33">
        <v>1</v>
      </c>
      <c r="C1392" s="33">
        <v>1</v>
      </c>
      <c r="D1392" s="37"/>
    </row>
    <row r="1393" spans="1:4" ht="17.25" hidden="1" outlineLevel="2" x14ac:dyDescent="0.3">
      <c r="A1393" s="36" t="s">
        <v>5563</v>
      </c>
      <c r="B1393" s="33">
        <v>1</v>
      </c>
      <c r="C1393" s="33">
        <v>1</v>
      </c>
      <c r="D1393" s="37"/>
    </row>
    <row r="1394" spans="1:4" ht="17.25" hidden="1" outlineLevel="2" x14ac:dyDescent="0.3">
      <c r="A1394" s="36" t="s">
        <v>5564</v>
      </c>
      <c r="B1394" s="33">
        <v>1</v>
      </c>
      <c r="C1394" s="33">
        <v>1</v>
      </c>
      <c r="D1394" s="37"/>
    </row>
    <row r="1395" spans="1:4" ht="17.25" hidden="1" outlineLevel="1" collapsed="1" x14ac:dyDescent="0.3">
      <c r="A1395" s="45" t="s">
        <v>5565</v>
      </c>
      <c r="B1395" s="33">
        <f>SUM(B1396:B1401)</f>
        <v>6</v>
      </c>
      <c r="C1395" s="33">
        <f>SUM(C1396:C1401)</f>
        <v>6</v>
      </c>
      <c r="D1395" s="37"/>
    </row>
    <row r="1396" spans="1:4" ht="17.25" hidden="1" outlineLevel="2" x14ac:dyDescent="0.3">
      <c r="A1396" s="36" t="s">
        <v>5566</v>
      </c>
      <c r="B1396" s="33">
        <v>1</v>
      </c>
      <c r="C1396" s="33">
        <v>1</v>
      </c>
      <c r="D1396" s="37"/>
    </row>
    <row r="1397" spans="1:4" ht="17.25" hidden="1" outlineLevel="2" x14ac:dyDescent="0.3">
      <c r="A1397" s="36" t="s">
        <v>5567</v>
      </c>
      <c r="B1397" s="33">
        <v>1</v>
      </c>
      <c r="C1397" s="33">
        <v>1</v>
      </c>
      <c r="D1397" s="37"/>
    </row>
    <row r="1398" spans="1:4" ht="17.25" hidden="1" outlineLevel="2" x14ac:dyDescent="0.3">
      <c r="A1398" s="36" t="s">
        <v>5568</v>
      </c>
      <c r="B1398" s="33">
        <v>1</v>
      </c>
      <c r="C1398" s="33">
        <v>1</v>
      </c>
      <c r="D1398" s="37"/>
    </row>
    <row r="1399" spans="1:4" ht="17.25" hidden="1" outlineLevel="2" x14ac:dyDescent="0.3">
      <c r="A1399" s="36" t="s">
        <v>5569</v>
      </c>
      <c r="B1399" s="33">
        <v>1</v>
      </c>
      <c r="C1399" s="33">
        <v>1</v>
      </c>
      <c r="D1399" s="37"/>
    </row>
    <row r="1400" spans="1:4" ht="17.25" hidden="1" outlineLevel="2" x14ac:dyDescent="0.3">
      <c r="A1400" s="36" t="s">
        <v>5570</v>
      </c>
      <c r="B1400" s="33">
        <v>1</v>
      </c>
      <c r="C1400" s="33">
        <v>1</v>
      </c>
      <c r="D1400" s="37"/>
    </row>
    <row r="1401" spans="1:4" ht="17.25" hidden="1" outlineLevel="2" x14ac:dyDescent="0.3">
      <c r="A1401" s="36" t="s">
        <v>5571</v>
      </c>
      <c r="B1401" s="33">
        <v>1</v>
      </c>
      <c r="C1401" s="33">
        <v>1</v>
      </c>
      <c r="D1401" s="37"/>
    </row>
    <row r="1402" spans="1:4" ht="17.25" hidden="1" outlineLevel="1" collapsed="1" x14ac:dyDescent="0.3">
      <c r="A1402" s="45" t="s">
        <v>5572</v>
      </c>
      <c r="B1402" s="33">
        <f>SUM(B1403:B1405)</f>
        <v>3</v>
      </c>
      <c r="C1402" s="33">
        <f>SUM(C1403:C1405)</f>
        <v>3</v>
      </c>
      <c r="D1402" s="37"/>
    </row>
    <row r="1403" spans="1:4" ht="17.25" hidden="1" outlineLevel="2" x14ac:dyDescent="0.3">
      <c r="A1403" s="36" t="s">
        <v>5573</v>
      </c>
      <c r="B1403" s="33">
        <v>1</v>
      </c>
      <c r="C1403" s="33">
        <v>1</v>
      </c>
      <c r="D1403" s="37"/>
    </row>
    <row r="1404" spans="1:4" ht="17.25" hidden="1" outlineLevel="2" x14ac:dyDescent="0.3">
      <c r="A1404" s="36" t="s">
        <v>5574</v>
      </c>
      <c r="B1404" s="33">
        <v>1</v>
      </c>
      <c r="C1404" s="33">
        <v>1</v>
      </c>
      <c r="D1404" s="37"/>
    </row>
    <row r="1405" spans="1:4" ht="17.25" hidden="1" outlineLevel="2" x14ac:dyDescent="0.3">
      <c r="A1405" s="36" t="s">
        <v>5575</v>
      </c>
      <c r="B1405" s="33">
        <v>1</v>
      </c>
      <c r="C1405" s="33">
        <v>1</v>
      </c>
      <c r="D1405" s="37"/>
    </row>
    <row r="1406" spans="1:4" ht="17.25" hidden="1" outlineLevel="1" collapsed="1" x14ac:dyDescent="0.3">
      <c r="A1406" s="45" t="s">
        <v>5576</v>
      </c>
      <c r="B1406" s="33">
        <f>SUM(B1407:B1409)</f>
        <v>3</v>
      </c>
      <c r="C1406" s="33">
        <f>SUM(C1407:C1409)</f>
        <v>3</v>
      </c>
      <c r="D1406" s="37"/>
    </row>
    <row r="1407" spans="1:4" ht="17.25" hidden="1" outlineLevel="2" x14ac:dyDescent="0.3">
      <c r="A1407" s="36" t="s">
        <v>5577</v>
      </c>
      <c r="B1407" s="33">
        <v>1</v>
      </c>
      <c r="C1407" s="33">
        <v>1</v>
      </c>
      <c r="D1407" s="37"/>
    </row>
    <row r="1408" spans="1:4" ht="17.25" hidden="1" outlineLevel="2" x14ac:dyDescent="0.3">
      <c r="A1408" s="36" t="s">
        <v>5578</v>
      </c>
      <c r="B1408" s="33">
        <v>1</v>
      </c>
      <c r="C1408" s="33">
        <v>1</v>
      </c>
      <c r="D1408" s="37"/>
    </row>
    <row r="1409" spans="1:4" ht="17.25" hidden="1" outlineLevel="2" x14ac:dyDescent="0.3">
      <c r="A1409" s="36" t="s">
        <v>5579</v>
      </c>
      <c r="B1409" s="33">
        <v>1</v>
      </c>
      <c r="C1409" s="33">
        <v>1</v>
      </c>
      <c r="D1409" s="37"/>
    </row>
    <row r="1410" spans="1:4" ht="17.25" hidden="1" outlineLevel="1" collapsed="1" x14ac:dyDescent="0.3">
      <c r="A1410" s="45" t="s">
        <v>5580</v>
      </c>
      <c r="B1410" s="33">
        <f>SUM(B1411:B1414)</f>
        <v>4</v>
      </c>
      <c r="C1410" s="33">
        <f>SUM(C1411:C1414)</f>
        <v>4</v>
      </c>
      <c r="D1410" s="37"/>
    </row>
    <row r="1411" spans="1:4" ht="17.25" hidden="1" outlineLevel="2" x14ac:dyDescent="0.3">
      <c r="A1411" s="36" t="s">
        <v>5581</v>
      </c>
      <c r="B1411" s="33">
        <v>1</v>
      </c>
      <c r="C1411" s="33">
        <v>1</v>
      </c>
      <c r="D1411" s="37"/>
    </row>
    <row r="1412" spans="1:4" ht="17.25" hidden="1" outlineLevel="2" x14ac:dyDescent="0.3">
      <c r="A1412" s="36" t="s">
        <v>5582</v>
      </c>
      <c r="B1412" s="33">
        <v>1</v>
      </c>
      <c r="C1412" s="33">
        <v>1</v>
      </c>
      <c r="D1412" s="37"/>
    </row>
    <row r="1413" spans="1:4" ht="17.25" hidden="1" outlineLevel="2" x14ac:dyDescent="0.3">
      <c r="A1413" s="36" t="s">
        <v>5583</v>
      </c>
      <c r="B1413" s="33">
        <v>1</v>
      </c>
      <c r="C1413" s="33">
        <v>1</v>
      </c>
      <c r="D1413" s="37"/>
    </row>
    <row r="1414" spans="1:4" ht="17.25" hidden="1" outlineLevel="2" x14ac:dyDescent="0.3">
      <c r="A1414" s="36" t="s">
        <v>5584</v>
      </c>
      <c r="B1414" s="33">
        <v>1</v>
      </c>
      <c r="C1414" s="33">
        <v>1</v>
      </c>
      <c r="D1414" s="37"/>
    </row>
    <row r="1415" spans="1:4" ht="17.25" hidden="1" outlineLevel="1" collapsed="1" x14ac:dyDescent="0.3">
      <c r="A1415" s="45" t="s">
        <v>5585</v>
      </c>
      <c r="B1415" s="33">
        <f>SUM(B1416:B1417)</f>
        <v>2</v>
      </c>
      <c r="C1415" s="33">
        <f>SUM(C1416:C1417)</f>
        <v>2</v>
      </c>
      <c r="D1415" s="37"/>
    </row>
    <row r="1416" spans="1:4" ht="17.25" hidden="1" outlineLevel="2" x14ac:dyDescent="0.3">
      <c r="A1416" s="36" t="s">
        <v>5586</v>
      </c>
      <c r="B1416" s="33">
        <v>1</v>
      </c>
      <c r="C1416" s="33">
        <v>1</v>
      </c>
      <c r="D1416" s="37"/>
    </row>
    <row r="1417" spans="1:4" ht="17.25" hidden="1" outlineLevel="2" x14ac:dyDescent="0.3">
      <c r="A1417" s="36" t="s">
        <v>5587</v>
      </c>
      <c r="B1417" s="33">
        <v>1</v>
      </c>
      <c r="C1417" s="33">
        <v>1</v>
      </c>
      <c r="D1417" s="37"/>
    </row>
    <row r="1418" spans="1:4" ht="17.25" hidden="1" outlineLevel="1" collapsed="1" x14ac:dyDescent="0.3">
      <c r="A1418" s="45" t="s">
        <v>5588</v>
      </c>
      <c r="B1418" s="33">
        <f>SUM(B1419:B1422)</f>
        <v>4</v>
      </c>
      <c r="C1418" s="33">
        <f>SUM(C1419:C1422)</f>
        <v>4</v>
      </c>
      <c r="D1418" s="37"/>
    </row>
    <row r="1419" spans="1:4" ht="17.25" hidden="1" outlineLevel="2" x14ac:dyDescent="0.3">
      <c r="A1419" s="36" t="s">
        <v>5589</v>
      </c>
      <c r="B1419" s="33">
        <v>1</v>
      </c>
      <c r="C1419" s="33">
        <v>1</v>
      </c>
      <c r="D1419" s="37"/>
    </row>
    <row r="1420" spans="1:4" ht="17.25" hidden="1" outlineLevel="2" x14ac:dyDescent="0.3">
      <c r="A1420" s="36" t="s">
        <v>5590</v>
      </c>
      <c r="B1420" s="33">
        <v>1</v>
      </c>
      <c r="C1420" s="33">
        <v>1</v>
      </c>
      <c r="D1420" s="37"/>
    </row>
    <row r="1421" spans="1:4" ht="17.25" hidden="1" outlineLevel="2" x14ac:dyDescent="0.3">
      <c r="A1421" s="36" t="s">
        <v>5591</v>
      </c>
      <c r="B1421" s="33">
        <v>1</v>
      </c>
      <c r="C1421" s="33">
        <v>1</v>
      </c>
      <c r="D1421" s="37"/>
    </row>
    <row r="1422" spans="1:4" ht="17.25" hidden="1" outlineLevel="2" x14ac:dyDescent="0.3">
      <c r="A1422" s="36" t="s">
        <v>5592</v>
      </c>
      <c r="B1422" s="33">
        <v>1</v>
      </c>
      <c r="C1422" s="33">
        <v>1</v>
      </c>
      <c r="D1422" s="37"/>
    </row>
    <row r="1423" spans="1:4" ht="17.25" hidden="1" outlineLevel="1" collapsed="1" x14ac:dyDescent="0.3">
      <c r="A1423" s="45" t="s">
        <v>5593</v>
      </c>
      <c r="B1423" s="33">
        <f>SUM(B1424:B1425)</f>
        <v>2</v>
      </c>
      <c r="C1423" s="33">
        <f>SUM(C1424:C1425)</f>
        <v>2</v>
      </c>
      <c r="D1423" s="37"/>
    </row>
    <row r="1424" spans="1:4" ht="17.25" hidden="1" outlineLevel="2" x14ac:dyDescent="0.3">
      <c r="A1424" s="36" t="s">
        <v>5594</v>
      </c>
      <c r="B1424" s="33">
        <v>1</v>
      </c>
      <c r="C1424" s="33">
        <v>1</v>
      </c>
      <c r="D1424" s="37"/>
    </row>
    <row r="1425" spans="1:4" ht="17.25" hidden="1" outlineLevel="2" x14ac:dyDescent="0.3">
      <c r="A1425" s="36" t="s">
        <v>5595</v>
      </c>
      <c r="B1425" s="33">
        <v>1</v>
      </c>
      <c r="C1425" s="33">
        <v>1</v>
      </c>
      <c r="D1425" s="37"/>
    </row>
    <row r="1426" spans="1:4" ht="17.25" hidden="1" outlineLevel="1" collapsed="1" x14ac:dyDescent="0.3">
      <c r="A1426" s="45" t="s">
        <v>5596</v>
      </c>
      <c r="B1426" s="33">
        <f>SUM(B1427:B1428)</f>
        <v>2</v>
      </c>
      <c r="C1426" s="33">
        <f>SUM(C1427:C1428)</f>
        <v>2</v>
      </c>
      <c r="D1426" s="37"/>
    </row>
    <row r="1427" spans="1:4" ht="17.25" hidden="1" outlineLevel="2" x14ac:dyDescent="0.3">
      <c r="A1427" s="36" t="s">
        <v>5597</v>
      </c>
      <c r="B1427" s="33">
        <v>1</v>
      </c>
      <c r="C1427" s="33">
        <v>1</v>
      </c>
      <c r="D1427" s="37"/>
    </row>
    <row r="1428" spans="1:4" ht="17.25" hidden="1" outlineLevel="2" x14ac:dyDescent="0.3">
      <c r="A1428" s="36" t="s">
        <v>5598</v>
      </c>
      <c r="B1428" s="33">
        <v>1</v>
      </c>
      <c r="C1428" s="33">
        <v>1</v>
      </c>
      <c r="D1428" s="37"/>
    </row>
    <row r="1429" spans="1:4" ht="17.25" collapsed="1" x14ac:dyDescent="0.3">
      <c r="A1429" s="44" t="s">
        <v>5599</v>
      </c>
      <c r="B1429" s="26">
        <f>B1430+B1434</f>
        <v>5</v>
      </c>
      <c r="C1429" s="26">
        <f>C1430+C1434</f>
        <v>5</v>
      </c>
      <c r="D1429" s="37"/>
    </row>
    <row r="1430" spans="1:4" ht="17.25" hidden="1" outlineLevel="1" collapsed="1" x14ac:dyDescent="0.3">
      <c r="A1430" s="45" t="s">
        <v>136</v>
      </c>
      <c r="B1430" s="33">
        <f>SUM(B1431:B1433)</f>
        <v>3</v>
      </c>
      <c r="C1430" s="33">
        <f>SUM(C1431:C1433)</f>
        <v>3</v>
      </c>
      <c r="D1430" s="37"/>
    </row>
    <row r="1431" spans="1:4" ht="17.25" hidden="1" outlineLevel="2" x14ac:dyDescent="0.3">
      <c r="A1431" s="36" t="s">
        <v>5246</v>
      </c>
      <c r="B1431" s="33">
        <v>1</v>
      </c>
      <c r="C1431" s="33">
        <v>1</v>
      </c>
      <c r="D1431" s="37"/>
    </row>
    <row r="1432" spans="1:4" ht="17.25" hidden="1" outlineLevel="2" x14ac:dyDescent="0.3">
      <c r="A1432" s="36" t="s">
        <v>5600</v>
      </c>
      <c r="B1432" s="33">
        <v>1</v>
      </c>
      <c r="C1432" s="33">
        <v>1</v>
      </c>
      <c r="D1432" s="37"/>
    </row>
    <row r="1433" spans="1:4" ht="17.25" hidden="1" outlineLevel="2" x14ac:dyDescent="0.3">
      <c r="A1433" s="36" t="s">
        <v>5601</v>
      </c>
      <c r="B1433" s="33">
        <v>1</v>
      </c>
      <c r="C1433" s="33">
        <v>1</v>
      </c>
      <c r="D1433" s="37"/>
    </row>
    <row r="1434" spans="1:4" ht="17.25" hidden="1" outlineLevel="1" collapsed="1" x14ac:dyDescent="0.3">
      <c r="A1434" s="45" t="s">
        <v>1231</v>
      </c>
      <c r="B1434" s="33">
        <f>SUM(B1435:B1436)</f>
        <v>2</v>
      </c>
      <c r="C1434" s="33">
        <f>SUM(C1435:C1436)</f>
        <v>2</v>
      </c>
      <c r="D1434" s="37"/>
    </row>
    <row r="1435" spans="1:4" ht="17.25" hidden="1" outlineLevel="2" x14ac:dyDescent="0.3">
      <c r="A1435" s="36" t="s">
        <v>5602</v>
      </c>
      <c r="B1435" s="33">
        <v>1</v>
      </c>
      <c r="C1435" s="33">
        <v>1</v>
      </c>
      <c r="D1435" s="37"/>
    </row>
    <row r="1436" spans="1:4" ht="17.25" hidden="1" outlineLevel="2" x14ac:dyDescent="0.3">
      <c r="A1436" s="36" t="s">
        <v>5603</v>
      </c>
      <c r="B1436" s="33">
        <v>1</v>
      </c>
      <c r="C1436" s="33">
        <v>1</v>
      </c>
      <c r="D1436" s="37"/>
    </row>
    <row r="1437" spans="1:4" ht="17.25" collapsed="1" x14ac:dyDescent="0.3">
      <c r="A1437" s="44" t="s">
        <v>140</v>
      </c>
      <c r="B1437" s="26">
        <f>B1438+B1488+B1490+B1492</f>
        <v>52</v>
      </c>
      <c r="C1437" s="26">
        <f>C1438+C1488+C1490+C1492</f>
        <v>52</v>
      </c>
      <c r="D1437" s="37"/>
    </row>
    <row r="1438" spans="1:4" ht="17.25" hidden="1" outlineLevel="1" collapsed="1" x14ac:dyDescent="0.3">
      <c r="A1438" s="45" t="s">
        <v>134</v>
      </c>
      <c r="B1438" s="33">
        <f>SUM(B1439:B1487)</f>
        <v>49</v>
      </c>
      <c r="C1438" s="33">
        <f>SUM(C1439:C1487)</f>
        <v>49</v>
      </c>
      <c r="D1438" s="37"/>
    </row>
    <row r="1439" spans="1:4" ht="17.25" hidden="1" outlineLevel="2" x14ac:dyDescent="0.3">
      <c r="A1439" s="36" t="s">
        <v>5604</v>
      </c>
      <c r="B1439" s="33">
        <v>1</v>
      </c>
      <c r="C1439" s="33">
        <v>1</v>
      </c>
      <c r="D1439" s="37"/>
    </row>
    <row r="1440" spans="1:4" ht="17.25" hidden="1" outlineLevel="2" x14ac:dyDescent="0.3">
      <c r="A1440" s="36" t="s">
        <v>5605</v>
      </c>
      <c r="B1440" s="33">
        <v>1</v>
      </c>
      <c r="C1440" s="33">
        <v>1</v>
      </c>
      <c r="D1440" s="37"/>
    </row>
    <row r="1441" spans="1:4" ht="17.25" hidden="1" outlineLevel="2" x14ac:dyDescent="0.3">
      <c r="A1441" s="36" t="s">
        <v>1194</v>
      </c>
      <c r="B1441" s="33">
        <v>1</v>
      </c>
      <c r="C1441" s="33">
        <v>1</v>
      </c>
      <c r="D1441" s="37"/>
    </row>
    <row r="1442" spans="1:4" ht="17.25" hidden="1" outlineLevel="2" x14ac:dyDescent="0.3">
      <c r="A1442" s="36" t="s">
        <v>1195</v>
      </c>
      <c r="B1442" s="33">
        <v>1</v>
      </c>
      <c r="C1442" s="33">
        <v>1</v>
      </c>
      <c r="D1442" s="37"/>
    </row>
    <row r="1443" spans="1:4" ht="17.25" hidden="1" outlineLevel="2" x14ac:dyDescent="0.3">
      <c r="A1443" s="36" t="s">
        <v>1196</v>
      </c>
      <c r="B1443" s="33">
        <v>1</v>
      </c>
      <c r="C1443" s="33">
        <v>1</v>
      </c>
      <c r="D1443" s="37"/>
    </row>
    <row r="1444" spans="1:4" ht="17.25" hidden="1" outlineLevel="2" x14ac:dyDescent="0.3">
      <c r="A1444" s="36" t="s">
        <v>1197</v>
      </c>
      <c r="B1444" s="33">
        <v>1</v>
      </c>
      <c r="C1444" s="33">
        <v>1</v>
      </c>
      <c r="D1444" s="37"/>
    </row>
    <row r="1445" spans="1:4" ht="17.25" hidden="1" outlineLevel="2" x14ac:dyDescent="0.3">
      <c r="A1445" s="36" t="s">
        <v>1198</v>
      </c>
      <c r="B1445" s="33">
        <v>1</v>
      </c>
      <c r="C1445" s="33">
        <v>1</v>
      </c>
      <c r="D1445" s="37"/>
    </row>
    <row r="1446" spans="1:4" ht="17.25" hidden="1" outlineLevel="2" x14ac:dyDescent="0.3">
      <c r="A1446" s="36" t="s">
        <v>1199</v>
      </c>
      <c r="B1446" s="33">
        <v>1</v>
      </c>
      <c r="C1446" s="33">
        <v>1</v>
      </c>
      <c r="D1446" s="37"/>
    </row>
    <row r="1447" spans="1:4" ht="17.25" hidden="1" outlineLevel="2" x14ac:dyDescent="0.3">
      <c r="A1447" s="36" t="s">
        <v>1200</v>
      </c>
      <c r="B1447" s="33">
        <v>1</v>
      </c>
      <c r="C1447" s="33">
        <v>1</v>
      </c>
      <c r="D1447" s="37"/>
    </row>
    <row r="1448" spans="1:4" ht="17.25" hidden="1" outlineLevel="2" x14ac:dyDescent="0.3">
      <c r="A1448" s="36" t="s">
        <v>1201</v>
      </c>
      <c r="B1448" s="33">
        <v>1</v>
      </c>
      <c r="C1448" s="33">
        <v>1</v>
      </c>
      <c r="D1448" s="37"/>
    </row>
    <row r="1449" spans="1:4" ht="17.25" hidden="1" outlineLevel="2" x14ac:dyDescent="0.3">
      <c r="A1449" s="36" t="s">
        <v>1202</v>
      </c>
      <c r="B1449" s="33">
        <v>1</v>
      </c>
      <c r="C1449" s="33">
        <v>1</v>
      </c>
      <c r="D1449" s="37"/>
    </row>
    <row r="1450" spans="1:4" ht="17.25" hidden="1" outlineLevel="2" x14ac:dyDescent="0.3">
      <c r="A1450" s="36" t="s">
        <v>1203</v>
      </c>
      <c r="B1450" s="33">
        <v>1</v>
      </c>
      <c r="C1450" s="33">
        <v>1</v>
      </c>
      <c r="D1450" s="37"/>
    </row>
    <row r="1451" spans="1:4" ht="17.25" hidden="1" outlineLevel="2" x14ac:dyDescent="0.3">
      <c r="A1451" s="36" t="s">
        <v>1204</v>
      </c>
      <c r="B1451" s="33">
        <v>1</v>
      </c>
      <c r="C1451" s="33">
        <v>1</v>
      </c>
      <c r="D1451" s="37"/>
    </row>
    <row r="1452" spans="1:4" ht="17.25" hidden="1" outlineLevel="2" x14ac:dyDescent="0.3">
      <c r="A1452" s="36" t="s">
        <v>1205</v>
      </c>
      <c r="B1452" s="33">
        <v>1</v>
      </c>
      <c r="C1452" s="33">
        <v>1</v>
      </c>
      <c r="D1452" s="37"/>
    </row>
    <row r="1453" spans="1:4" ht="17.25" hidden="1" outlineLevel="2" x14ac:dyDescent="0.3">
      <c r="A1453" s="36" t="s">
        <v>1206</v>
      </c>
      <c r="B1453" s="33">
        <v>1</v>
      </c>
      <c r="C1453" s="33">
        <v>1</v>
      </c>
      <c r="D1453" s="37"/>
    </row>
    <row r="1454" spans="1:4" ht="17.25" hidden="1" outlineLevel="2" x14ac:dyDescent="0.3">
      <c r="A1454" s="36" t="s">
        <v>1056</v>
      </c>
      <c r="B1454" s="33">
        <v>1</v>
      </c>
      <c r="C1454" s="33">
        <v>1</v>
      </c>
      <c r="D1454" s="37"/>
    </row>
    <row r="1455" spans="1:4" ht="17.25" hidden="1" outlineLevel="2" x14ac:dyDescent="0.3">
      <c r="A1455" s="36" t="s">
        <v>1057</v>
      </c>
      <c r="B1455" s="33">
        <v>1</v>
      </c>
      <c r="C1455" s="33">
        <v>1</v>
      </c>
      <c r="D1455" s="37"/>
    </row>
    <row r="1456" spans="1:4" ht="17.25" hidden="1" outlineLevel="2" x14ac:dyDescent="0.3">
      <c r="A1456" s="36" t="s">
        <v>1058</v>
      </c>
      <c r="B1456" s="33">
        <v>1</v>
      </c>
      <c r="C1456" s="33">
        <v>1</v>
      </c>
      <c r="D1456" s="37"/>
    </row>
    <row r="1457" spans="1:4" ht="17.25" hidden="1" outlineLevel="2" x14ac:dyDescent="0.3">
      <c r="A1457" s="36" t="s">
        <v>1059</v>
      </c>
      <c r="B1457" s="33">
        <v>1</v>
      </c>
      <c r="C1457" s="33">
        <v>1</v>
      </c>
      <c r="D1457" s="37"/>
    </row>
    <row r="1458" spans="1:4" ht="17.25" hidden="1" outlineLevel="2" x14ac:dyDescent="0.3">
      <c r="A1458" s="36" t="s">
        <v>385</v>
      </c>
      <c r="B1458" s="33">
        <v>1</v>
      </c>
      <c r="C1458" s="33">
        <v>1</v>
      </c>
      <c r="D1458" s="37"/>
    </row>
    <row r="1459" spans="1:4" ht="17.25" hidden="1" outlineLevel="2" x14ac:dyDescent="0.3">
      <c r="A1459" s="36" t="s">
        <v>386</v>
      </c>
      <c r="B1459" s="33">
        <v>1</v>
      </c>
      <c r="C1459" s="33">
        <v>1</v>
      </c>
      <c r="D1459" s="37"/>
    </row>
    <row r="1460" spans="1:4" ht="17.25" hidden="1" outlineLevel="2" x14ac:dyDescent="0.3">
      <c r="A1460" s="36" t="s">
        <v>387</v>
      </c>
      <c r="B1460" s="33">
        <v>1</v>
      </c>
      <c r="C1460" s="33">
        <v>1</v>
      </c>
      <c r="D1460" s="37"/>
    </row>
    <row r="1461" spans="1:4" ht="17.25" hidden="1" outlineLevel="2" x14ac:dyDescent="0.3">
      <c r="A1461" s="36" t="s">
        <v>388</v>
      </c>
      <c r="B1461" s="33">
        <v>1</v>
      </c>
      <c r="C1461" s="33">
        <v>1</v>
      </c>
      <c r="D1461" s="37"/>
    </row>
    <row r="1462" spans="1:4" ht="17.25" hidden="1" outlineLevel="2" x14ac:dyDescent="0.3">
      <c r="A1462" s="36" t="s">
        <v>389</v>
      </c>
      <c r="B1462" s="33">
        <v>1</v>
      </c>
      <c r="C1462" s="33">
        <v>1</v>
      </c>
      <c r="D1462" s="37"/>
    </row>
    <row r="1463" spans="1:4" ht="17.25" hidden="1" outlineLevel="2" x14ac:dyDescent="0.3">
      <c r="A1463" s="36" t="s">
        <v>390</v>
      </c>
      <c r="B1463" s="33">
        <v>1</v>
      </c>
      <c r="C1463" s="33">
        <v>1</v>
      </c>
      <c r="D1463" s="37"/>
    </row>
    <row r="1464" spans="1:4" ht="17.25" hidden="1" outlineLevel="2" x14ac:dyDescent="0.3">
      <c r="A1464" s="36" t="s">
        <v>391</v>
      </c>
      <c r="B1464" s="33">
        <v>1</v>
      </c>
      <c r="C1464" s="33">
        <v>1</v>
      </c>
      <c r="D1464" s="37"/>
    </row>
    <row r="1465" spans="1:4" ht="17.25" hidden="1" outlineLevel="2" x14ac:dyDescent="0.3">
      <c r="A1465" s="36" t="s">
        <v>392</v>
      </c>
      <c r="B1465" s="33">
        <v>1</v>
      </c>
      <c r="C1465" s="33">
        <v>1</v>
      </c>
      <c r="D1465" s="37"/>
    </row>
    <row r="1466" spans="1:4" ht="17.25" hidden="1" outlineLevel="2" x14ac:dyDescent="0.3">
      <c r="A1466" s="36" t="s">
        <v>393</v>
      </c>
      <c r="B1466" s="33">
        <v>1</v>
      </c>
      <c r="C1466" s="33">
        <v>1</v>
      </c>
      <c r="D1466" s="37"/>
    </row>
    <row r="1467" spans="1:4" ht="17.25" hidden="1" outlineLevel="2" x14ac:dyDescent="0.3">
      <c r="A1467" s="36" t="s">
        <v>394</v>
      </c>
      <c r="B1467" s="33">
        <v>1</v>
      </c>
      <c r="C1467" s="33">
        <v>1</v>
      </c>
      <c r="D1467" s="37"/>
    </row>
    <row r="1468" spans="1:4" ht="17.25" hidden="1" outlineLevel="2" x14ac:dyDescent="0.3">
      <c r="A1468" s="36" t="s">
        <v>395</v>
      </c>
      <c r="B1468" s="33">
        <v>1</v>
      </c>
      <c r="C1468" s="33">
        <v>1</v>
      </c>
      <c r="D1468" s="37"/>
    </row>
    <row r="1469" spans="1:4" ht="17.25" hidden="1" outlineLevel="2" x14ac:dyDescent="0.3">
      <c r="A1469" s="36" t="s">
        <v>396</v>
      </c>
      <c r="B1469" s="33">
        <v>1</v>
      </c>
      <c r="C1469" s="33">
        <v>1</v>
      </c>
      <c r="D1469" s="37"/>
    </row>
    <row r="1470" spans="1:4" ht="17.25" hidden="1" outlineLevel="2" x14ac:dyDescent="0.3">
      <c r="A1470" s="36" t="s">
        <v>397</v>
      </c>
      <c r="B1470" s="33">
        <v>1</v>
      </c>
      <c r="C1470" s="33">
        <v>1</v>
      </c>
      <c r="D1470" s="37"/>
    </row>
    <row r="1471" spans="1:4" ht="17.25" hidden="1" outlineLevel="2" x14ac:dyDescent="0.3">
      <c r="A1471" s="36" t="s">
        <v>398</v>
      </c>
      <c r="B1471" s="33">
        <v>1</v>
      </c>
      <c r="C1471" s="33">
        <v>1</v>
      </c>
      <c r="D1471" s="37"/>
    </row>
    <row r="1472" spans="1:4" ht="17.25" hidden="1" outlineLevel="2" x14ac:dyDescent="0.3">
      <c r="A1472" s="36" t="s">
        <v>399</v>
      </c>
      <c r="B1472" s="33">
        <v>1</v>
      </c>
      <c r="C1472" s="33">
        <v>1</v>
      </c>
      <c r="D1472" s="37"/>
    </row>
    <row r="1473" spans="1:4" ht="17.25" hidden="1" outlineLevel="2" x14ac:dyDescent="0.3">
      <c r="A1473" s="36" t="s">
        <v>400</v>
      </c>
      <c r="B1473" s="33">
        <v>1</v>
      </c>
      <c r="C1473" s="33">
        <v>1</v>
      </c>
      <c r="D1473" s="37"/>
    </row>
    <row r="1474" spans="1:4" ht="17.25" hidden="1" outlineLevel="2" x14ac:dyDescent="0.3">
      <c r="A1474" s="36" t="s">
        <v>5606</v>
      </c>
      <c r="B1474" s="33">
        <v>1</v>
      </c>
      <c r="C1474" s="33">
        <v>1</v>
      </c>
      <c r="D1474" s="37"/>
    </row>
    <row r="1475" spans="1:4" ht="17.25" hidden="1" outlineLevel="2" x14ac:dyDescent="0.3">
      <c r="A1475" s="36" t="s">
        <v>5607</v>
      </c>
      <c r="B1475" s="33">
        <v>1</v>
      </c>
      <c r="C1475" s="33">
        <v>1</v>
      </c>
      <c r="D1475" s="37"/>
    </row>
    <row r="1476" spans="1:4" ht="17.25" hidden="1" outlineLevel="2" x14ac:dyDescent="0.3">
      <c r="A1476" s="36" t="s">
        <v>5608</v>
      </c>
      <c r="B1476" s="33">
        <v>1</v>
      </c>
      <c r="C1476" s="33">
        <v>1</v>
      </c>
      <c r="D1476" s="37"/>
    </row>
    <row r="1477" spans="1:4" ht="17.25" hidden="1" outlineLevel="2" x14ac:dyDescent="0.3">
      <c r="A1477" s="36" t="s">
        <v>5609</v>
      </c>
      <c r="B1477" s="33">
        <v>1</v>
      </c>
      <c r="C1477" s="33">
        <v>1</v>
      </c>
      <c r="D1477" s="37"/>
    </row>
    <row r="1478" spans="1:4" ht="17.25" hidden="1" outlineLevel="2" x14ac:dyDescent="0.3">
      <c r="A1478" s="36" t="s">
        <v>5610</v>
      </c>
      <c r="B1478" s="33">
        <v>1</v>
      </c>
      <c r="C1478" s="33">
        <v>1</v>
      </c>
      <c r="D1478" s="37"/>
    </row>
    <row r="1479" spans="1:4" ht="17.25" hidden="1" outlineLevel="2" x14ac:dyDescent="0.3">
      <c r="A1479" s="36" t="s">
        <v>5611</v>
      </c>
      <c r="B1479" s="33">
        <v>1</v>
      </c>
      <c r="C1479" s="33">
        <v>1</v>
      </c>
      <c r="D1479" s="37"/>
    </row>
    <row r="1480" spans="1:4" ht="17.25" hidden="1" outlineLevel="2" x14ac:dyDescent="0.3">
      <c r="A1480" s="36" t="s">
        <v>5612</v>
      </c>
      <c r="B1480" s="33">
        <v>1</v>
      </c>
      <c r="C1480" s="33">
        <v>1</v>
      </c>
      <c r="D1480" s="37"/>
    </row>
    <row r="1481" spans="1:4" ht="17.25" hidden="1" outlineLevel="2" x14ac:dyDescent="0.3">
      <c r="A1481" s="36" t="s">
        <v>5613</v>
      </c>
      <c r="B1481" s="33">
        <v>1</v>
      </c>
      <c r="C1481" s="33">
        <v>1</v>
      </c>
      <c r="D1481" s="37"/>
    </row>
    <row r="1482" spans="1:4" ht="17.25" hidden="1" outlineLevel="2" x14ac:dyDescent="0.3">
      <c r="A1482" s="36" t="s">
        <v>5614</v>
      </c>
      <c r="B1482" s="33">
        <v>1</v>
      </c>
      <c r="C1482" s="33">
        <v>1</v>
      </c>
      <c r="D1482" s="37"/>
    </row>
    <row r="1483" spans="1:4" ht="17.25" hidden="1" outlineLevel="2" x14ac:dyDescent="0.3">
      <c r="A1483" s="36" t="s">
        <v>5615</v>
      </c>
      <c r="B1483" s="33">
        <v>1</v>
      </c>
      <c r="C1483" s="33">
        <v>1</v>
      </c>
      <c r="D1483" s="37"/>
    </row>
    <row r="1484" spans="1:4" ht="17.25" hidden="1" outlineLevel="2" x14ac:dyDescent="0.3">
      <c r="A1484" s="36" t="s">
        <v>5616</v>
      </c>
      <c r="B1484" s="33">
        <v>1</v>
      </c>
      <c r="C1484" s="33">
        <v>1</v>
      </c>
      <c r="D1484" s="37"/>
    </row>
    <row r="1485" spans="1:4" ht="17.25" hidden="1" outlineLevel="2" x14ac:dyDescent="0.3">
      <c r="A1485" s="36" t="s">
        <v>5617</v>
      </c>
      <c r="B1485" s="33">
        <v>1</v>
      </c>
      <c r="C1485" s="33">
        <v>1</v>
      </c>
      <c r="D1485" s="37"/>
    </row>
    <row r="1486" spans="1:4" ht="17.25" hidden="1" outlineLevel="2" x14ac:dyDescent="0.3">
      <c r="A1486" s="36" t="s">
        <v>5618</v>
      </c>
      <c r="B1486" s="33">
        <v>1</v>
      </c>
      <c r="C1486" s="33">
        <v>1</v>
      </c>
      <c r="D1486" s="37"/>
    </row>
    <row r="1487" spans="1:4" ht="17.25" hidden="1" outlineLevel="2" x14ac:dyDescent="0.3">
      <c r="A1487" s="36" t="s">
        <v>5619</v>
      </c>
      <c r="B1487" s="33">
        <v>1</v>
      </c>
      <c r="C1487" s="33">
        <v>1</v>
      </c>
      <c r="D1487" s="37"/>
    </row>
    <row r="1488" spans="1:4" ht="17.25" hidden="1" outlineLevel="1" collapsed="1" x14ac:dyDescent="0.3">
      <c r="A1488" s="45" t="s">
        <v>1054</v>
      </c>
      <c r="B1488" s="33">
        <f>SUM(B1489:B1489)</f>
        <v>1</v>
      </c>
      <c r="C1488" s="33">
        <f>SUM(C1489:C1489)</f>
        <v>1</v>
      </c>
      <c r="D1488" s="37"/>
    </row>
    <row r="1489" spans="1:4" ht="17.25" hidden="1" outlineLevel="2" x14ac:dyDescent="0.3">
      <c r="A1489" s="36" t="s">
        <v>5620</v>
      </c>
      <c r="B1489" s="33">
        <v>1</v>
      </c>
      <c r="C1489" s="33">
        <v>1</v>
      </c>
      <c r="D1489" s="37"/>
    </row>
    <row r="1490" spans="1:4" ht="17.25" hidden="1" outlineLevel="1" collapsed="1" x14ac:dyDescent="0.3">
      <c r="A1490" s="45" t="s">
        <v>141</v>
      </c>
      <c r="B1490" s="33">
        <f>SUM(B1491:B1491)</f>
        <v>1</v>
      </c>
      <c r="C1490" s="33">
        <f>SUM(C1491:C1491)</f>
        <v>1</v>
      </c>
      <c r="D1490" s="37"/>
    </row>
    <row r="1491" spans="1:4" ht="17.25" hidden="1" outlineLevel="2" x14ac:dyDescent="0.3">
      <c r="A1491" s="36" t="s">
        <v>5621</v>
      </c>
      <c r="B1491" s="33">
        <v>1</v>
      </c>
      <c r="C1491" s="33">
        <v>1</v>
      </c>
      <c r="D1491" s="37"/>
    </row>
    <row r="1492" spans="1:4" ht="17.25" hidden="1" outlineLevel="1" collapsed="1" x14ac:dyDescent="0.3">
      <c r="A1492" s="45" t="s">
        <v>5622</v>
      </c>
      <c r="B1492" s="33">
        <f>SUM(B1493:B1493)</f>
        <v>1</v>
      </c>
      <c r="C1492" s="33">
        <f>SUM(C1493:C1493)</f>
        <v>1</v>
      </c>
      <c r="D1492" s="37"/>
    </row>
    <row r="1493" spans="1:4" ht="17.25" hidden="1" outlineLevel="2" x14ac:dyDescent="0.3">
      <c r="A1493" s="36" t="s">
        <v>5623</v>
      </c>
      <c r="B1493" s="33">
        <v>1</v>
      </c>
      <c r="C1493" s="33">
        <v>1</v>
      </c>
      <c r="D1493" s="37"/>
    </row>
    <row r="1494" spans="1:4" ht="17.25" collapsed="1" x14ac:dyDescent="0.3">
      <c r="A1494" s="44" t="s">
        <v>5624</v>
      </c>
      <c r="B1494" s="26">
        <f>B1495+B1498</f>
        <v>3</v>
      </c>
      <c r="C1494" s="26">
        <f>C1495+C1498</f>
        <v>3</v>
      </c>
      <c r="D1494" s="37"/>
    </row>
    <row r="1495" spans="1:4" ht="17.25" hidden="1" outlineLevel="1" collapsed="1" x14ac:dyDescent="0.3">
      <c r="A1495" s="45" t="s">
        <v>136</v>
      </c>
      <c r="B1495" s="33">
        <f>SUM(B1496:B1497)</f>
        <v>2</v>
      </c>
      <c r="C1495" s="33">
        <f>SUM(C1496:C1497)</f>
        <v>2</v>
      </c>
      <c r="D1495" s="37"/>
    </row>
    <row r="1496" spans="1:4" ht="17.25" hidden="1" outlineLevel="2" x14ac:dyDescent="0.3">
      <c r="A1496" s="36" t="s">
        <v>5625</v>
      </c>
      <c r="B1496" s="33">
        <v>1</v>
      </c>
      <c r="C1496" s="33">
        <v>1</v>
      </c>
      <c r="D1496" s="37"/>
    </row>
    <row r="1497" spans="1:4" ht="17.25" hidden="1" outlineLevel="2" x14ac:dyDescent="0.3">
      <c r="A1497" s="36" t="s">
        <v>5626</v>
      </c>
      <c r="B1497" s="33">
        <v>1</v>
      </c>
      <c r="C1497" s="33">
        <v>1</v>
      </c>
      <c r="D1497" s="37"/>
    </row>
    <row r="1498" spans="1:4" ht="17.25" hidden="1" outlineLevel="1" collapsed="1" x14ac:dyDescent="0.3">
      <c r="A1498" s="45" t="s">
        <v>1231</v>
      </c>
      <c r="B1498" s="33">
        <f>SUM(B1499:B1499)</f>
        <v>1</v>
      </c>
      <c r="C1498" s="33">
        <f>SUM(C1499:C1499)</f>
        <v>1</v>
      </c>
      <c r="D1498" s="37"/>
    </row>
    <row r="1499" spans="1:4" ht="17.25" hidden="1" outlineLevel="2" x14ac:dyDescent="0.3">
      <c r="A1499" s="36" t="s">
        <v>5627</v>
      </c>
      <c r="B1499" s="33">
        <v>1</v>
      </c>
      <c r="C1499" s="33">
        <v>1</v>
      </c>
      <c r="D1499" s="37"/>
    </row>
    <row r="1500" spans="1:4" ht="17.25" collapsed="1" x14ac:dyDescent="0.3">
      <c r="A1500" s="44" t="s">
        <v>5628</v>
      </c>
      <c r="B1500" s="26">
        <f>B1501</f>
        <v>3</v>
      </c>
      <c r="C1500" s="26">
        <f>C1501</f>
        <v>3</v>
      </c>
      <c r="D1500" s="37"/>
    </row>
    <row r="1501" spans="1:4" ht="17.25" hidden="1" outlineLevel="1" collapsed="1" x14ac:dyDescent="0.3">
      <c r="A1501" s="45" t="s">
        <v>147</v>
      </c>
      <c r="B1501" s="33">
        <f>SUM(B1502:B1504)</f>
        <v>3</v>
      </c>
      <c r="C1501" s="33">
        <f>SUM(C1502:C1504)</f>
        <v>3</v>
      </c>
      <c r="D1501" s="37"/>
    </row>
    <row r="1502" spans="1:4" ht="17.25" hidden="1" outlineLevel="2" x14ac:dyDescent="0.3">
      <c r="A1502" s="36" t="s">
        <v>5292</v>
      </c>
      <c r="B1502" s="33">
        <v>1</v>
      </c>
      <c r="C1502" s="33">
        <v>1</v>
      </c>
      <c r="D1502" s="37"/>
    </row>
    <row r="1503" spans="1:4" ht="17.25" hidden="1" outlineLevel="2" x14ac:dyDescent="0.3">
      <c r="A1503" s="36" t="s">
        <v>5629</v>
      </c>
      <c r="B1503" s="33">
        <v>1</v>
      </c>
      <c r="C1503" s="33">
        <v>1</v>
      </c>
      <c r="D1503" s="37"/>
    </row>
    <row r="1504" spans="1:4" ht="17.25" hidden="1" outlineLevel="2" x14ac:dyDescent="0.3">
      <c r="A1504" s="36" t="s">
        <v>5299</v>
      </c>
      <c r="B1504" s="33">
        <v>1</v>
      </c>
      <c r="C1504" s="33">
        <v>1</v>
      </c>
      <c r="D1504" s="37"/>
    </row>
    <row r="1505" spans="1:4" ht="17.25" collapsed="1" x14ac:dyDescent="0.3">
      <c r="A1505" s="44" t="s">
        <v>1062</v>
      </c>
      <c r="B1505" s="26">
        <f>B1506+B1510</f>
        <v>4</v>
      </c>
      <c r="C1505" s="26">
        <f>C1506+C1510</f>
        <v>4</v>
      </c>
      <c r="D1505" s="37"/>
    </row>
    <row r="1506" spans="1:4" ht="17.25" hidden="1" outlineLevel="1" collapsed="1" x14ac:dyDescent="0.3">
      <c r="A1506" s="45" t="s">
        <v>136</v>
      </c>
      <c r="B1506" s="33">
        <f>SUM(B1507:B1509)</f>
        <v>3</v>
      </c>
      <c r="C1506" s="33">
        <f>SUM(C1507:C1509)</f>
        <v>3</v>
      </c>
      <c r="D1506" s="37"/>
    </row>
    <row r="1507" spans="1:4" ht="17.25" hidden="1" outlineLevel="2" x14ac:dyDescent="0.3">
      <c r="A1507" s="36" t="s">
        <v>5630</v>
      </c>
      <c r="B1507" s="33">
        <v>1</v>
      </c>
      <c r="C1507" s="33">
        <v>1</v>
      </c>
      <c r="D1507" s="37"/>
    </row>
    <row r="1508" spans="1:4" ht="17.25" hidden="1" outlineLevel="2" x14ac:dyDescent="0.3">
      <c r="A1508" s="36" t="s">
        <v>5631</v>
      </c>
      <c r="B1508" s="33">
        <v>1</v>
      </c>
      <c r="C1508" s="33">
        <v>1</v>
      </c>
      <c r="D1508" s="37"/>
    </row>
    <row r="1509" spans="1:4" ht="17.25" hidden="1" outlineLevel="2" x14ac:dyDescent="0.3">
      <c r="A1509" s="36" t="s">
        <v>5632</v>
      </c>
      <c r="B1509" s="33">
        <v>1</v>
      </c>
      <c r="C1509" s="33">
        <v>1</v>
      </c>
      <c r="D1509" s="37"/>
    </row>
    <row r="1510" spans="1:4" ht="17.25" hidden="1" outlineLevel="1" collapsed="1" x14ac:dyDescent="0.3">
      <c r="A1510" s="45" t="s">
        <v>141</v>
      </c>
      <c r="B1510" s="33">
        <f>SUM(B1511:B1511)</f>
        <v>1</v>
      </c>
      <c r="C1510" s="33">
        <f>SUM(C1511:C1511)</f>
        <v>1</v>
      </c>
      <c r="D1510" s="37"/>
    </row>
    <row r="1511" spans="1:4" ht="17.25" hidden="1" outlineLevel="2" x14ac:dyDescent="0.3">
      <c r="A1511" s="36" t="s">
        <v>1063</v>
      </c>
      <c r="B1511" s="33">
        <v>1</v>
      </c>
      <c r="C1511" s="33">
        <v>1</v>
      </c>
      <c r="D1511" s="37"/>
    </row>
    <row r="1512" spans="1:4" ht="17.25" collapsed="1" x14ac:dyDescent="0.3">
      <c r="A1512" s="44" t="s">
        <v>5633</v>
      </c>
      <c r="B1512" s="26">
        <f>B1513+B1516</f>
        <v>3</v>
      </c>
      <c r="C1512" s="26">
        <f>C1513+C1516</f>
        <v>3</v>
      </c>
      <c r="D1512" s="37"/>
    </row>
    <row r="1513" spans="1:4" ht="17.25" hidden="1" outlineLevel="1" collapsed="1" x14ac:dyDescent="0.3">
      <c r="A1513" s="45" t="s">
        <v>134</v>
      </c>
      <c r="B1513" s="33">
        <f>SUM(B1514:B1515)</f>
        <v>2</v>
      </c>
      <c r="C1513" s="33">
        <f>SUM(C1514:C1515)</f>
        <v>2</v>
      </c>
      <c r="D1513" s="37"/>
    </row>
    <row r="1514" spans="1:4" ht="17.25" hidden="1" outlineLevel="2" x14ac:dyDescent="0.3">
      <c r="A1514" s="36" t="s">
        <v>5634</v>
      </c>
      <c r="B1514" s="33">
        <v>1</v>
      </c>
      <c r="C1514" s="33">
        <v>1</v>
      </c>
      <c r="D1514" s="37"/>
    </row>
    <row r="1515" spans="1:4" ht="17.25" hidden="1" outlineLevel="2" x14ac:dyDescent="0.3">
      <c r="A1515" s="36" t="s">
        <v>5635</v>
      </c>
      <c r="B1515" s="33">
        <v>1</v>
      </c>
      <c r="C1515" s="33">
        <v>1</v>
      </c>
      <c r="D1515" s="37"/>
    </row>
    <row r="1516" spans="1:4" ht="17.25" hidden="1" outlineLevel="1" collapsed="1" x14ac:dyDescent="0.3">
      <c r="A1516" s="45" t="s">
        <v>4600</v>
      </c>
      <c r="B1516" s="33">
        <f>SUM(B1517:B1517)</f>
        <v>1</v>
      </c>
      <c r="C1516" s="33">
        <f>SUM(C1517:C1517)</f>
        <v>1</v>
      </c>
      <c r="D1516" s="37"/>
    </row>
    <row r="1517" spans="1:4" ht="17.25" hidden="1" outlineLevel="2" x14ac:dyDescent="0.3">
      <c r="A1517" s="36" t="s">
        <v>5636</v>
      </c>
      <c r="B1517" s="33">
        <v>1</v>
      </c>
      <c r="C1517" s="33">
        <v>1</v>
      </c>
      <c r="D1517" s="37"/>
    </row>
    <row r="1518" spans="1:4" ht="17.25" collapsed="1" x14ac:dyDescent="0.3">
      <c r="A1518" s="44" t="s">
        <v>5637</v>
      </c>
      <c r="B1518" s="26">
        <f>B1519</f>
        <v>4</v>
      </c>
      <c r="C1518" s="26">
        <f>C1519</f>
        <v>4</v>
      </c>
      <c r="D1518" s="37"/>
    </row>
    <row r="1519" spans="1:4" ht="17.25" hidden="1" outlineLevel="1" collapsed="1" x14ac:dyDescent="0.3">
      <c r="A1519" s="45" t="s">
        <v>136</v>
      </c>
      <c r="B1519" s="33">
        <f>SUM(B1520:B1523)</f>
        <v>4</v>
      </c>
      <c r="C1519" s="33">
        <f>SUM(C1520:C1523)</f>
        <v>4</v>
      </c>
      <c r="D1519" s="37"/>
    </row>
    <row r="1520" spans="1:4" ht="17.25" hidden="1" outlineLevel="2" x14ac:dyDescent="0.3">
      <c r="A1520" s="36" t="s">
        <v>5638</v>
      </c>
      <c r="B1520" s="33">
        <v>1</v>
      </c>
      <c r="C1520" s="33">
        <v>1</v>
      </c>
      <c r="D1520" s="37"/>
    </row>
    <row r="1521" spans="1:4" ht="17.25" hidden="1" outlineLevel="2" x14ac:dyDescent="0.3">
      <c r="A1521" s="36" t="s">
        <v>5639</v>
      </c>
      <c r="B1521" s="33">
        <v>1</v>
      </c>
      <c r="C1521" s="33">
        <v>1</v>
      </c>
      <c r="D1521" s="37"/>
    </row>
    <row r="1522" spans="1:4" ht="17.25" hidden="1" outlineLevel="2" x14ac:dyDescent="0.3">
      <c r="A1522" s="36" t="s">
        <v>5640</v>
      </c>
      <c r="B1522" s="33">
        <v>1</v>
      </c>
      <c r="C1522" s="33">
        <v>1</v>
      </c>
      <c r="D1522" s="37"/>
    </row>
    <row r="1523" spans="1:4" ht="17.25" hidden="1" outlineLevel="2" x14ac:dyDescent="0.3">
      <c r="A1523" s="36" t="s">
        <v>5641</v>
      </c>
      <c r="B1523" s="33">
        <v>1</v>
      </c>
      <c r="C1523" s="33">
        <v>1</v>
      </c>
      <c r="D1523" s="37"/>
    </row>
    <row r="1524" spans="1:4" ht="17.25" collapsed="1" x14ac:dyDescent="0.3">
      <c r="A1524" s="44" t="s">
        <v>5642</v>
      </c>
      <c r="B1524" s="26">
        <f>B1525+B1528</f>
        <v>3</v>
      </c>
      <c r="C1524" s="26">
        <f>C1525+C1528</f>
        <v>3</v>
      </c>
      <c r="D1524" s="37"/>
    </row>
    <row r="1525" spans="1:4" ht="17.25" hidden="1" outlineLevel="1" collapsed="1" x14ac:dyDescent="0.3">
      <c r="A1525" s="45" t="s">
        <v>147</v>
      </c>
      <c r="B1525" s="33">
        <f>SUM(B1526:B1527)</f>
        <v>2</v>
      </c>
      <c r="C1525" s="33">
        <f>SUM(C1526:C1527)</f>
        <v>2</v>
      </c>
      <c r="D1525" s="37"/>
    </row>
    <row r="1526" spans="1:4" ht="17.25" hidden="1" outlineLevel="2" x14ac:dyDescent="0.3">
      <c r="A1526" s="36" t="s">
        <v>5643</v>
      </c>
      <c r="B1526" s="33">
        <v>1</v>
      </c>
      <c r="C1526" s="33">
        <v>1</v>
      </c>
      <c r="D1526" s="37"/>
    </row>
    <row r="1527" spans="1:4" ht="17.25" hidden="1" outlineLevel="2" x14ac:dyDescent="0.3">
      <c r="A1527" s="36" t="s">
        <v>5644</v>
      </c>
      <c r="B1527" s="33">
        <v>1</v>
      </c>
      <c r="C1527" s="33">
        <v>1</v>
      </c>
      <c r="D1527" s="37"/>
    </row>
    <row r="1528" spans="1:4" ht="17.25" hidden="1" outlineLevel="1" collapsed="1" x14ac:dyDescent="0.3">
      <c r="A1528" s="45" t="s">
        <v>5328</v>
      </c>
      <c r="B1528" s="33">
        <f>SUM(B1529:B1529)</f>
        <v>1</v>
      </c>
      <c r="C1528" s="33">
        <f>SUM(C1529:C1529)</f>
        <v>1</v>
      </c>
      <c r="D1528" s="37"/>
    </row>
    <row r="1529" spans="1:4" ht="17.25" hidden="1" outlineLevel="2" x14ac:dyDescent="0.3">
      <c r="A1529" s="36" t="s">
        <v>5645</v>
      </c>
      <c r="B1529" s="33">
        <v>1</v>
      </c>
      <c r="C1529" s="33">
        <v>1</v>
      </c>
      <c r="D1529" s="37"/>
    </row>
    <row r="1530" spans="1:4" ht="17.25" collapsed="1" x14ac:dyDescent="0.3">
      <c r="A1530" s="44" t="s">
        <v>1244</v>
      </c>
      <c r="B1530" s="26">
        <f>B1531+B1535+B1539+B1541+B1543+B1547</f>
        <v>12</v>
      </c>
      <c r="C1530" s="26">
        <f>C1531+C1535+C1539+C1541+C1543+C1547</f>
        <v>12</v>
      </c>
      <c r="D1530" s="37"/>
    </row>
    <row r="1531" spans="1:4" ht="17.25" hidden="1" outlineLevel="1" collapsed="1" x14ac:dyDescent="0.3">
      <c r="A1531" s="45" t="s">
        <v>136</v>
      </c>
      <c r="B1531" s="33">
        <f>SUM(B1532:B1534)</f>
        <v>3</v>
      </c>
      <c r="C1531" s="33">
        <f>SUM(C1532:C1534)</f>
        <v>3</v>
      </c>
      <c r="D1531" s="37"/>
    </row>
    <row r="1532" spans="1:4" ht="17.25" hidden="1" outlineLevel="2" x14ac:dyDescent="0.3">
      <c r="A1532" s="36" t="s">
        <v>5646</v>
      </c>
      <c r="B1532" s="33">
        <v>1</v>
      </c>
      <c r="C1532" s="33">
        <v>1</v>
      </c>
      <c r="D1532" s="37"/>
    </row>
    <row r="1533" spans="1:4" ht="17.25" hidden="1" outlineLevel="2" x14ac:dyDescent="0.3">
      <c r="A1533" s="36" t="s">
        <v>5647</v>
      </c>
      <c r="B1533" s="33">
        <v>1</v>
      </c>
      <c r="C1533" s="33">
        <v>1</v>
      </c>
      <c r="D1533" s="37"/>
    </row>
    <row r="1534" spans="1:4" ht="17.25" hidden="1" outlineLevel="2" x14ac:dyDescent="0.3">
      <c r="A1534" s="36" t="s">
        <v>5648</v>
      </c>
      <c r="B1534" s="33">
        <v>1</v>
      </c>
      <c r="C1534" s="33">
        <v>1</v>
      </c>
      <c r="D1534" s="37"/>
    </row>
    <row r="1535" spans="1:4" ht="17.25" hidden="1" outlineLevel="1" collapsed="1" x14ac:dyDescent="0.3">
      <c r="A1535" s="45" t="s">
        <v>1054</v>
      </c>
      <c r="B1535" s="33">
        <f>SUM(B1536:B1538)</f>
        <v>3</v>
      </c>
      <c r="C1535" s="33">
        <f>SUM(C1536:C1538)</f>
        <v>3</v>
      </c>
      <c r="D1535" s="37"/>
    </row>
    <row r="1536" spans="1:4" ht="17.25" hidden="1" outlineLevel="2" x14ac:dyDescent="0.3">
      <c r="A1536" s="36" t="s">
        <v>5649</v>
      </c>
      <c r="B1536" s="33">
        <v>1</v>
      </c>
      <c r="C1536" s="33">
        <v>1</v>
      </c>
      <c r="D1536" s="37"/>
    </row>
    <row r="1537" spans="1:4" ht="17.25" hidden="1" outlineLevel="2" x14ac:dyDescent="0.3">
      <c r="A1537" s="36" t="s">
        <v>1245</v>
      </c>
      <c r="B1537" s="33">
        <v>1</v>
      </c>
      <c r="C1537" s="33">
        <v>1</v>
      </c>
      <c r="D1537" s="37"/>
    </row>
    <row r="1538" spans="1:4" ht="17.25" hidden="1" outlineLevel="2" x14ac:dyDescent="0.3">
      <c r="A1538" s="36" t="s">
        <v>5650</v>
      </c>
      <c r="B1538" s="33">
        <v>1</v>
      </c>
      <c r="C1538" s="33">
        <v>1</v>
      </c>
      <c r="D1538" s="37"/>
    </row>
    <row r="1539" spans="1:4" ht="17.25" hidden="1" outlineLevel="1" collapsed="1" x14ac:dyDescent="0.3">
      <c r="A1539" s="45" t="s">
        <v>141</v>
      </c>
      <c r="B1539" s="33">
        <f>SUM(B1540:B1540)</f>
        <v>1</v>
      </c>
      <c r="C1539" s="33">
        <f>SUM(C1540:C1540)</f>
        <v>1</v>
      </c>
      <c r="D1539" s="37"/>
    </row>
    <row r="1540" spans="1:4" ht="17.25" hidden="1" outlineLevel="2" x14ac:dyDescent="0.3">
      <c r="A1540" s="36" t="s">
        <v>5651</v>
      </c>
      <c r="B1540" s="33">
        <v>1</v>
      </c>
      <c r="C1540" s="33">
        <v>1</v>
      </c>
      <c r="D1540" s="37"/>
    </row>
    <row r="1541" spans="1:4" ht="17.25" hidden="1" outlineLevel="1" collapsed="1" x14ac:dyDescent="0.3">
      <c r="A1541" s="45" t="s">
        <v>5652</v>
      </c>
      <c r="B1541" s="33">
        <f>SUM(B1542:B1542)</f>
        <v>1</v>
      </c>
      <c r="C1541" s="33">
        <f>SUM(C1542:C1542)</f>
        <v>1</v>
      </c>
      <c r="D1541" s="37"/>
    </row>
    <row r="1542" spans="1:4" ht="17.25" hidden="1" outlineLevel="2" x14ac:dyDescent="0.3">
      <c r="A1542" s="36" t="s">
        <v>5653</v>
      </c>
      <c r="B1542" s="33">
        <v>1</v>
      </c>
      <c r="C1542" s="33">
        <v>1</v>
      </c>
      <c r="D1542" s="37"/>
    </row>
    <row r="1543" spans="1:4" ht="17.25" hidden="1" outlineLevel="1" collapsed="1" x14ac:dyDescent="0.3">
      <c r="A1543" s="45" t="s">
        <v>5249</v>
      </c>
      <c r="B1543" s="33">
        <f>SUM(B1544:B1546)</f>
        <v>3</v>
      </c>
      <c r="C1543" s="33">
        <f>SUM(C1544:C1546)</f>
        <v>3</v>
      </c>
      <c r="D1543" s="37"/>
    </row>
    <row r="1544" spans="1:4" ht="17.25" hidden="1" outlineLevel="2" x14ac:dyDescent="0.3">
      <c r="A1544" s="36" t="s">
        <v>5654</v>
      </c>
      <c r="B1544" s="33">
        <v>1</v>
      </c>
      <c r="C1544" s="33">
        <v>1</v>
      </c>
      <c r="D1544" s="37"/>
    </row>
    <row r="1545" spans="1:4" ht="17.25" hidden="1" outlineLevel="2" x14ac:dyDescent="0.3">
      <c r="A1545" s="36" t="s">
        <v>5655</v>
      </c>
      <c r="B1545" s="33">
        <v>1</v>
      </c>
      <c r="C1545" s="33">
        <v>1</v>
      </c>
      <c r="D1545" s="37"/>
    </row>
    <row r="1546" spans="1:4" ht="17.25" hidden="1" outlineLevel="2" x14ac:dyDescent="0.3">
      <c r="A1546" s="36" t="s">
        <v>5656</v>
      </c>
      <c r="B1546" s="33">
        <v>1</v>
      </c>
      <c r="C1546" s="33">
        <v>1</v>
      </c>
      <c r="D1546" s="37"/>
    </row>
    <row r="1547" spans="1:4" ht="17.25" hidden="1" outlineLevel="1" collapsed="1" x14ac:dyDescent="0.3">
      <c r="A1547" s="45" t="s">
        <v>5253</v>
      </c>
      <c r="B1547" s="33">
        <f>SUM(B1548:B1548)</f>
        <v>1</v>
      </c>
      <c r="C1547" s="33">
        <f>SUM(C1548:C1548)</f>
        <v>1</v>
      </c>
      <c r="D1547" s="37"/>
    </row>
    <row r="1548" spans="1:4" ht="17.25" hidden="1" outlineLevel="2" x14ac:dyDescent="0.3">
      <c r="A1548" s="36" t="s">
        <v>5657</v>
      </c>
      <c r="B1548" s="33">
        <v>1</v>
      </c>
      <c r="C1548" s="33">
        <v>1</v>
      </c>
      <c r="D1548" s="37"/>
    </row>
    <row r="1549" spans="1:4" ht="17.25" collapsed="1" x14ac:dyDescent="0.3">
      <c r="A1549" s="44" t="s">
        <v>5658</v>
      </c>
      <c r="B1549" s="26">
        <f>B1550</f>
        <v>2</v>
      </c>
      <c r="C1549" s="26">
        <f>C1550</f>
        <v>2</v>
      </c>
      <c r="D1549" s="37"/>
    </row>
    <row r="1550" spans="1:4" ht="17.25" hidden="1" outlineLevel="1" collapsed="1" x14ac:dyDescent="0.3">
      <c r="A1550" s="45" t="s">
        <v>136</v>
      </c>
      <c r="B1550" s="33">
        <f>SUM(B1551:B1552)</f>
        <v>2</v>
      </c>
      <c r="C1550" s="33">
        <f>SUM(C1551:C1552)</f>
        <v>2</v>
      </c>
      <c r="D1550" s="37"/>
    </row>
    <row r="1551" spans="1:4" ht="17.25" hidden="1" outlineLevel="2" x14ac:dyDescent="0.3">
      <c r="A1551" s="36" t="s">
        <v>5659</v>
      </c>
      <c r="B1551" s="33">
        <v>1</v>
      </c>
      <c r="C1551" s="33">
        <v>1</v>
      </c>
      <c r="D1551" s="37"/>
    </row>
    <row r="1552" spans="1:4" ht="17.25" hidden="1" outlineLevel="2" x14ac:dyDescent="0.3">
      <c r="A1552" s="36" t="s">
        <v>5660</v>
      </c>
      <c r="B1552" s="33">
        <v>1</v>
      </c>
      <c r="C1552" s="33">
        <v>1</v>
      </c>
      <c r="D1552" s="37"/>
    </row>
    <row r="1553" spans="1:4" ht="17.25" collapsed="1" x14ac:dyDescent="0.3">
      <c r="A1553" s="44" t="s">
        <v>1239</v>
      </c>
      <c r="B1553" s="26">
        <f>B1554+B1559</f>
        <v>5</v>
      </c>
      <c r="C1553" s="26">
        <f>C1554+C1559</f>
        <v>5</v>
      </c>
      <c r="D1553" s="37"/>
    </row>
    <row r="1554" spans="1:4" ht="17.25" hidden="1" outlineLevel="1" collapsed="1" x14ac:dyDescent="0.3">
      <c r="A1554" s="45" t="s">
        <v>136</v>
      </c>
      <c r="B1554" s="33">
        <f>SUM(B1555:B1558)</f>
        <v>4</v>
      </c>
      <c r="C1554" s="33">
        <f>SUM(C1555:C1558)</f>
        <v>4</v>
      </c>
      <c r="D1554" s="37"/>
    </row>
    <row r="1555" spans="1:4" ht="17.25" hidden="1" outlineLevel="2" x14ac:dyDescent="0.3">
      <c r="A1555" s="36" t="s">
        <v>5661</v>
      </c>
      <c r="B1555" s="33">
        <v>1</v>
      </c>
      <c r="C1555" s="33">
        <v>1</v>
      </c>
      <c r="D1555" s="37"/>
    </row>
    <row r="1556" spans="1:4" ht="17.25" hidden="1" outlineLevel="2" x14ac:dyDescent="0.3">
      <c r="A1556" s="36" t="s">
        <v>5662</v>
      </c>
      <c r="B1556" s="33">
        <v>1</v>
      </c>
      <c r="C1556" s="33">
        <v>1</v>
      </c>
      <c r="D1556" s="37"/>
    </row>
    <row r="1557" spans="1:4" ht="17.25" hidden="1" outlineLevel="2" x14ac:dyDescent="0.3">
      <c r="A1557" s="36" t="s">
        <v>5663</v>
      </c>
      <c r="B1557" s="33">
        <v>1</v>
      </c>
      <c r="C1557" s="33">
        <v>1</v>
      </c>
      <c r="D1557" s="37"/>
    </row>
    <row r="1558" spans="1:4" ht="17.25" hidden="1" outlineLevel="2" x14ac:dyDescent="0.3">
      <c r="A1558" s="36" t="s">
        <v>1240</v>
      </c>
      <c r="B1558" s="33">
        <v>1</v>
      </c>
      <c r="C1558" s="33">
        <v>1</v>
      </c>
      <c r="D1558" s="37"/>
    </row>
    <row r="1559" spans="1:4" ht="17.25" hidden="1" outlineLevel="1" collapsed="1" x14ac:dyDescent="0.3">
      <c r="A1559" s="45" t="s">
        <v>5664</v>
      </c>
      <c r="B1559" s="33">
        <f>SUM(B1560:B1560)</f>
        <v>1</v>
      </c>
      <c r="C1559" s="33">
        <f>SUM(C1560:C1560)</f>
        <v>1</v>
      </c>
      <c r="D1559" s="37"/>
    </row>
    <row r="1560" spans="1:4" ht="17.25" hidden="1" outlineLevel="2" x14ac:dyDescent="0.3">
      <c r="A1560" s="36" t="s">
        <v>5665</v>
      </c>
      <c r="B1560" s="33">
        <v>1</v>
      </c>
      <c r="C1560" s="33">
        <v>1</v>
      </c>
      <c r="D1560" s="37"/>
    </row>
    <row r="1561" spans="1:4" ht="17.25" collapsed="1" x14ac:dyDescent="0.3">
      <c r="A1561" s="44" t="s">
        <v>5666</v>
      </c>
      <c r="B1561" s="26">
        <f>B1562</f>
        <v>2</v>
      </c>
      <c r="C1561" s="26">
        <f>C1562</f>
        <v>2</v>
      </c>
      <c r="D1561" s="37"/>
    </row>
    <row r="1562" spans="1:4" ht="17.25" hidden="1" outlineLevel="1" collapsed="1" x14ac:dyDescent="0.3">
      <c r="A1562" s="45" t="s">
        <v>136</v>
      </c>
      <c r="B1562" s="33">
        <f>SUM(B1563:B1564)</f>
        <v>2</v>
      </c>
      <c r="C1562" s="33">
        <f>SUM(C1563:C1564)</f>
        <v>2</v>
      </c>
      <c r="D1562" s="37"/>
    </row>
    <row r="1563" spans="1:4" ht="17.25" hidden="1" outlineLevel="2" x14ac:dyDescent="0.3">
      <c r="A1563" s="36" t="s">
        <v>5667</v>
      </c>
      <c r="B1563" s="33">
        <v>1</v>
      </c>
      <c r="C1563" s="33">
        <v>1</v>
      </c>
      <c r="D1563" s="37"/>
    </row>
    <row r="1564" spans="1:4" ht="17.25" hidden="1" outlineLevel="2" x14ac:dyDescent="0.3">
      <c r="A1564" s="36" t="s">
        <v>5668</v>
      </c>
      <c r="B1564" s="33">
        <v>1</v>
      </c>
      <c r="C1564" s="33">
        <v>1</v>
      </c>
      <c r="D1564" s="37"/>
    </row>
    <row r="1565" spans="1:4" ht="17.25" collapsed="1" x14ac:dyDescent="0.3">
      <c r="A1565" s="44" t="s">
        <v>5669</v>
      </c>
      <c r="B1565" s="26">
        <f>B1566</f>
        <v>3</v>
      </c>
      <c r="C1565" s="26">
        <f>C1566</f>
        <v>3</v>
      </c>
      <c r="D1565" s="37"/>
    </row>
    <row r="1566" spans="1:4" ht="17.25" hidden="1" outlineLevel="1" collapsed="1" x14ac:dyDescent="0.3">
      <c r="A1566" s="45" t="s">
        <v>147</v>
      </c>
      <c r="B1566" s="33">
        <f>SUM(B1567:B1569)</f>
        <v>3</v>
      </c>
      <c r="C1566" s="33">
        <f>SUM(C1567:C1569)</f>
        <v>3</v>
      </c>
      <c r="D1566" s="37"/>
    </row>
    <row r="1567" spans="1:4" ht="17.25" hidden="1" outlineLevel="2" x14ac:dyDescent="0.3">
      <c r="A1567" s="36" t="s">
        <v>5670</v>
      </c>
      <c r="B1567" s="33">
        <v>1</v>
      </c>
      <c r="C1567" s="33">
        <v>1</v>
      </c>
      <c r="D1567" s="37"/>
    </row>
    <row r="1568" spans="1:4" ht="17.25" hidden="1" outlineLevel="2" x14ac:dyDescent="0.3">
      <c r="A1568" s="36" t="s">
        <v>5671</v>
      </c>
      <c r="B1568" s="33">
        <v>1</v>
      </c>
      <c r="C1568" s="33">
        <v>1</v>
      </c>
      <c r="D1568" s="37"/>
    </row>
    <row r="1569" spans="1:4" ht="17.25" hidden="1" outlineLevel="2" x14ac:dyDescent="0.3">
      <c r="A1569" s="36" t="s">
        <v>5672</v>
      </c>
      <c r="B1569" s="33">
        <v>1</v>
      </c>
      <c r="C1569" s="33">
        <v>1</v>
      </c>
      <c r="D1569" s="37"/>
    </row>
    <row r="1570" spans="1:4" ht="17.25" collapsed="1" x14ac:dyDescent="0.3">
      <c r="A1570" s="44" t="s">
        <v>5673</v>
      </c>
      <c r="B1570" s="26">
        <f>B1571</f>
        <v>4</v>
      </c>
      <c r="C1570" s="26">
        <f>C1571</f>
        <v>4</v>
      </c>
      <c r="D1570" s="37"/>
    </row>
    <row r="1571" spans="1:4" ht="17.25" hidden="1" outlineLevel="1" collapsed="1" x14ac:dyDescent="0.3">
      <c r="A1571" s="45" t="s">
        <v>136</v>
      </c>
      <c r="B1571" s="33">
        <f>SUM(B1572:B1575)</f>
        <v>4</v>
      </c>
      <c r="C1571" s="33">
        <f>SUM(C1572:C1575)</f>
        <v>4</v>
      </c>
      <c r="D1571" s="37"/>
    </row>
    <row r="1572" spans="1:4" ht="17.25" hidden="1" outlineLevel="2" x14ac:dyDescent="0.3">
      <c r="A1572" s="36" t="s">
        <v>5638</v>
      </c>
      <c r="B1572" s="33">
        <v>1</v>
      </c>
      <c r="C1572" s="33">
        <v>1</v>
      </c>
      <c r="D1572" s="37"/>
    </row>
    <row r="1573" spans="1:4" ht="17.25" hidden="1" outlineLevel="2" x14ac:dyDescent="0.3">
      <c r="A1573" s="36" t="s">
        <v>5674</v>
      </c>
      <c r="B1573" s="33">
        <v>1</v>
      </c>
      <c r="C1573" s="33">
        <v>1</v>
      </c>
      <c r="D1573" s="37"/>
    </row>
    <row r="1574" spans="1:4" ht="17.25" hidden="1" outlineLevel="2" x14ac:dyDescent="0.3">
      <c r="A1574" s="36" t="s">
        <v>5675</v>
      </c>
      <c r="B1574" s="33">
        <v>1</v>
      </c>
      <c r="C1574" s="33">
        <v>1</v>
      </c>
      <c r="D1574" s="37"/>
    </row>
    <row r="1575" spans="1:4" ht="17.25" hidden="1" outlineLevel="2" x14ac:dyDescent="0.3">
      <c r="A1575" s="36" t="s">
        <v>5676</v>
      </c>
      <c r="B1575" s="33">
        <v>1</v>
      </c>
      <c r="C1575" s="33">
        <v>1</v>
      </c>
      <c r="D1575" s="37"/>
    </row>
    <row r="1576" spans="1:4" ht="17.25" collapsed="1" x14ac:dyDescent="0.3">
      <c r="A1576" s="44" t="s">
        <v>5677</v>
      </c>
      <c r="B1576" s="26">
        <f>B1577+B1581</f>
        <v>4</v>
      </c>
      <c r="C1576" s="26">
        <f>C1577+C1581</f>
        <v>4</v>
      </c>
      <c r="D1576" s="37"/>
    </row>
    <row r="1577" spans="1:4" ht="17.25" hidden="1" outlineLevel="1" collapsed="1" x14ac:dyDescent="0.3">
      <c r="A1577" s="45" t="s">
        <v>5331</v>
      </c>
      <c r="B1577" s="33">
        <f>SUM(B1578:B1580)</f>
        <v>3</v>
      </c>
      <c r="C1577" s="33">
        <f>SUM(C1578:C1580)</f>
        <v>3</v>
      </c>
      <c r="D1577" s="37"/>
    </row>
    <row r="1578" spans="1:4" ht="17.25" hidden="1" outlineLevel="2" x14ac:dyDescent="0.3">
      <c r="A1578" s="36" t="s">
        <v>5292</v>
      </c>
      <c r="B1578" s="33">
        <v>1</v>
      </c>
      <c r="C1578" s="33">
        <v>1</v>
      </c>
      <c r="D1578" s="37"/>
    </row>
    <row r="1579" spans="1:4" ht="17.25" hidden="1" outlineLevel="2" x14ac:dyDescent="0.3">
      <c r="A1579" s="36" t="s">
        <v>5293</v>
      </c>
      <c r="B1579" s="33">
        <v>1</v>
      </c>
      <c r="C1579" s="33">
        <v>1</v>
      </c>
      <c r="D1579" s="37"/>
    </row>
    <row r="1580" spans="1:4" ht="17.25" hidden="1" outlineLevel="2" x14ac:dyDescent="0.3">
      <c r="A1580" s="36" t="s">
        <v>5678</v>
      </c>
      <c r="B1580" s="33">
        <v>1</v>
      </c>
      <c r="C1580" s="33">
        <v>1</v>
      </c>
      <c r="D1580" s="37"/>
    </row>
    <row r="1581" spans="1:4" ht="17.25" hidden="1" outlineLevel="1" collapsed="1" x14ac:dyDescent="0.3">
      <c r="A1581" s="45" t="s">
        <v>5679</v>
      </c>
      <c r="B1581" s="33">
        <f>SUM(B1582:B1582)</f>
        <v>1</v>
      </c>
      <c r="C1581" s="33">
        <f>SUM(C1582:C1582)</f>
        <v>1</v>
      </c>
      <c r="D1581" s="37"/>
    </row>
    <row r="1582" spans="1:4" ht="17.25" hidden="1" outlineLevel="2" x14ac:dyDescent="0.3">
      <c r="A1582" s="36" t="s">
        <v>5680</v>
      </c>
      <c r="B1582" s="33">
        <v>1</v>
      </c>
      <c r="C1582" s="33">
        <v>1</v>
      </c>
      <c r="D1582" s="37"/>
    </row>
    <row r="1583" spans="1:4" ht="17.25" collapsed="1" x14ac:dyDescent="0.3">
      <c r="A1583" s="44" t="s">
        <v>5681</v>
      </c>
      <c r="B1583" s="26">
        <f>B1584+B1589</f>
        <v>5</v>
      </c>
      <c r="C1583" s="26">
        <f>C1584+C1589</f>
        <v>5</v>
      </c>
      <c r="D1583" s="37"/>
    </row>
    <row r="1584" spans="1:4" ht="17.25" hidden="1" outlineLevel="1" collapsed="1" x14ac:dyDescent="0.3">
      <c r="A1584" s="45" t="s">
        <v>134</v>
      </c>
      <c r="B1584" s="33">
        <f>SUM(B1585:B1588)</f>
        <v>4</v>
      </c>
      <c r="C1584" s="33">
        <f>SUM(C1585:C1588)</f>
        <v>4</v>
      </c>
      <c r="D1584" s="37"/>
    </row>
    <row r="1585" spans="1:4" ht="17.25" hidden="1" outlineLevel="2" x14ac:dyDescent="0.3">
      <c r="A1585" s="36" t="s">
        <v>5682</v>
      </c>
      <c r="B1585" s="33">
        <v>1</v>
      </c>
      <c r="C1585" s="33">
        <v>1</v>
      </c>
      <c r="D1585" s="37"/>
    </row>
    <row r="1586" spans="1:4" ht="17.25" hidden="1" outlineLevel="2" x14ac:dyDescent="0.3">
      <c r="A1586" s="36" t="s">
        <v>5683</v>
      </c>
      <c r="B1586" s="33">
        <v>1</v>
      </c>
      <c r="C1586" s="33">
        <v>1</v>
      </c>
      <c r="D1586" s="37"/>
    </row>
    <row r="1587" spans="1:4" ht="17.25" hidden="1" outlineLevel="2" x14ac:dyDescent="0.3">
      <c r="A1587" s="36" t="s">
        <v>5684</v>
      </c>
      <c r="B1587" s="33">
        <v>1</v>
      </c>
      <c r="C1587" s="33">
        <v>1</v>
      </c>
      <c r="D1587" s="37"/>
    </row>
    <row r="1588" spans="1:4" ht="17.25" hidden="1" outlineLevel="2" x14ac:dyDescent="0.3">
      <c r="A1588" s="36" t="s">
        <v>5685</v>
      </c>
      <c r="B1588" s="33">
        <v>1</v>
      </c>
      <c r="C1588" s="33">
        <v>1</v>
      </c>
      <c r="D1588" s="37"/>
    </row>
    <row r="1589" spans="1:4" ht="17.25" hidden="1" outlineLevel="1" collapsed="1" x14ac:dyDescent="0.3">
      <c r="A1589" s="45" t="s">
        <v>5686</v>
      </c>
      <c r="B1589" s="33">
        <f>SUM(B1590:B1590)</f>
        <v>1</v>
      </c>
      <c r="C1589" s="33">
        <f>SUM(C1590:C1590)</f>
        <v>1</v>
      </c>
      <c r="D1589" s="37"/>
    </row>
    <row r="1590" spans="1:4" ht="17.25" hidden="1" outlineLevel="2" x14ac:dyDescent="0.3">
      <c r="A1590" s="36" t="s">
        <v>5687</v>
      </c>
      <c r="B1590" s="33">
        <v>1</v>
      </c>
      <c r="C1590" s="33">
        <v>1</v>
      </c>
      <c r="D1590" s="37"/>
    </row>
    <row r="1591" spans="1:4" ht="17.25" collapsed="1" x14ac:dyDescent="0.3">
      <c r="A1591" s="44" t="s">
        <v>1067</v>
      </c>
      <c r="B1591" s="26">
        <f>B1592+B1595</f>
        <v>3</v>
      </c>
      <c r="C1591" s="26">
        <f>C1592+C1595</f>
        <v>3</v>
      </c>
      <c r="D1591" s="37"/>
    </row>
    <row r="1592" spans="1:4" ht="17.25" hidden="1" outlineLevel="1" collapsed="1" x14ac:dyDescent="0.3">
      <c r="A1592" s="45" t="s">
        <v>147</v>
      </c>
      <c r="B1592" s="33">
        <f>SUM(B1593:B1594)</f>
        <v>2</v>
      </c>
      <c r="C1592" s="33">
        <f>SUM(C1593:C1594)</f>
        <v>2</v>
      </c>
      <c r="D1592" s="37"/>
    </row>
    <row r="1593" spans="1:4" ht="17.25" hidden="1" outlineLevel="2" x14ac:dyDescent="0.3">
      <c r="A1593" s="36" t="s">
        <v>5688</v>
      </c>
      <c r="B1593" s="33">
        <v>1</v>
      </c>
      <c r="C1593" s="33">
        <v>1</v>
      </c>
      <c r="D1593" s="37"/>
    </row>
    <row r="1594" spans="1:4" ht="17.25" hidden="1" outlineLevel="2" x14ac:dyDescent="0.3">
      <c r="A1594" s="36" t="s">
        <v>5689</v>
      </c>
      <c r="B1594" s="33">
        <v>1</v>
      </c>
      <c r="C1594" s="33">
        <v>1</v>
      </c>
      <c r="D1594" s="37"/>
    </row>
    <row r="1595" spans="1:4" ht="17.25" hidden="1" outlineLevel="1" collapsed="1" x14ac:dyDescent="0.3">
      <c r="A1595" s="45" t="s">
        <v>1065</v>
      </c>
      <c r="B1595" s="33">
        <f>SUM(B1596:B1596)</f>
        <v>1</v>
      </c>
      <c r="C1595" s="33">
        <f>SUM(C1596:C1596)</f>
        <v>1</v>
      </c>
      <c r="D1595" s="37"/>
    </row>
    <row r="1596" spans="1:4" ht="17.25" hidden="1" outlineLevel="2" x14ac:dyDescent="0.3">
      <c r="A1596" s="36" t="s">
        <v>1068</v>
      </c>
      <c r="B1596" s="33">
        <v>1</v>
      </c>
      <c r="C1596" s="33">
        <v>1</v>
      </c>
      <c r="D1596" s="37"/>
    </row>
    <row r="1597" spans="1:4" ht="17.25" collapsed="1" x14ac:dyDescent="0.3">
      <c r="A1597" s="44" t="s">
        <v>5690</v>
      </c>
      <c r="B1597" s="26">
        <f>B1598+B1601</f>
        <v>3</v>
      </c>
      <c r="C1597" s="26">
        <f>C1598+C1601</f>
        <v>3</v>
      </c>
      <c r="D1597" s="37"/>
    </row>
    <row r="1598" spans="1:4" ht="17.25" hidden="1" outlineLevel="1" collapsed="1" x14ac:dyDescent="0.3">
      <c r="A1598" s="45" t="s">
        <v>134</v>
      </c>
      <c r="B1598" s="33">
        <f>SUM(B1599:B1600)</f>
        <v>2</v>
      </c>
      <c r="C1598" s="33">
        <f>SUM(C1599:C1600)</f>
        <v>2</v>
      </c>
      <c r="D1598" s="37"/>
    </row>
    <row r="1599" spans="1:4" ht="17.25" hidden="1" outlineLevel="2" x14ac:dyDescent="0.3">
      <c r="A1599" s="36" t="s">
        <v>5691</v>
      </c>
      <c r="B1599" s="33">
        <v>1</v>
      </c>
      <c r="C1599" s="33">
        <v>1</v>
      </c>
      <c r="D1599" s="37"/>
    </row>
    <row r="1600" spans="1:4" ht="17.25" hidden="1" outlineLevel="2" x14ac:dyDescent="0.3">
      <c r="A1600" s="36" t="s">
        <v>5692</v>
      </c>
      <c r="B1600" s="33">
        <v>1</v>
      </c>
      <c r="C1600" s="33">
        <v>1</v>
      </c>
      <c r="D1600" s="37"/>
    </row>
    <row r="1601" spans="1:4" ht="17.25" hidden="1" outlineLevel="1" collapsed="1" x14ac:dyDescent="0.3">
      <c r="A1601" s="45" t="s">
        <v>1237</v>
      </c>
      <c r="B1601" s="33">
        <f>SUM(B1602:B1602)</f>
        <v>1</v>
      </c>
      <c r="C1601" s="33">
        <f>SUM(C1602:C1602)</f>
        <v>1</v>
      </c>
      <c r="D1601" s="37"/>
    </row>
    <row r="1602" spans="1:4" ht="17.25" hidden="1" outlineLevel="2" x14ac:dyDescent="0.3">
      <c r="A1602" s="36" t="s">
        <v>5693</v>
      </c>
      <c r="B1602" s="33">
        <v>1</v>
      </c>
      <c r="C1602" s="33">
        <v>1</v>
      </c>
      <c r="D1602" s="37"/>
    </row>
    <row r="1603" spans="1:4" ht="17.25" collapsed="1" x14ac:dyDescent="0.3">
      <c r="A1603" s="44" t="s">
        <v>5694</v>
      </c>
      <c r="B1603" s="26">
        <f>B1604</f>
        <v>1</v>
      </c>
      <c r="C1603" s="26">
        <f>C1604</f>
        <v>1</v>
      </c>
      <c r="D1603" s="37"/>
    </row>
    <row r="1604" spans="1:4" ht="17.25" hidden="1" outlineLevel="1" collapsed="1" x14ac:dyDescent="0.3">
      <c r="A1604" s="45" t="s">
        <v>5695</v>
      </c>
      <c r="B1604" s="33">
        <f>SUM(B1605:B1605)</f>
        <v>1</v>
      </c>
      <c r="C1604" s="33">
        <f>SUM(C1605:C1605)</f>
        <v>1</v>
      </c>
      <c r="D1604" s="37"/>
    </row>
    <row r="1605" spans="1:4" ht="17.25" hidden="1" outlineLevel="2" x14ac:dyDescent="0.3">
      <c r="A1605" s="36" t="s">
        <v>5696</v>
      </c>
      <c r="B1605" s="33">
        <v>1</v>
      </c>
      <c r="C1605" s="33">
        <v>1</v>
      </c>
      <c r="D1605" s="37"/>
    </row>
    <row r="1606" spans="1:4" ht="17.25" x14ac:dyDescent="0.3">
      <c r="A1606" s="36"/>
      <c r="B1606" s="37"/>
      <c r="C1606" s="37"/>
      <c r="D1606" s="37"/>
    </row>
    <row r="1607" spans="1:4" ht="17.25" x14ac:dyDescent="0.3">
      <c r="A1607" s="36"/>
      <c r="B1607" s="37"/>
      <c r="C1607" s="37"/>
      <c r="D1607" s="37"/>
    </row>
    <row r="1608" spans="1:4" ht="17.25" x14ac:dyDescent="0.3">
      <c r="A1608" s="36"/>
      <c r="B1608" s="37"/>
      <c r="C1608" s="37"/>
      <c r="D1608" s="37"/>
    </row>
    <row r="1609" spans="1:4" ht="17.25" x14ac:dyDescent="0.3">
      <c r="A1609" s="36"/>
      <c r="B1609" s="37"/>
      <c r="C1609" s="37"/>
      <c r="D1609" s="37"/>
    </row>
    <row r="1610" spans="1:4" ht="17.25" x14ac:dyDescent="0.3">
      <c r="A1610" s="36"/>
      <c r="B1610" s="37"/>
      <c r="C1610" s="37"/>
      <c r="D1610" s="37"/>
    </row>
    <row r="1611" spans="1:4" ht="17.25" x14ac:dyDescent="0.3">
      <c r="A1611" s="36"/>
      <c r="B1611" s="37"/>
      <c r="C1611" s="37"/>
      <c r="D1611" s="37"/>
    </row>
    <row r="1612" spans="1:4" ht="17.25" x14ac:dyDescent="0.3">
      <c r="A1612" s="36"/>
      <c r="B1612" s="37"/>
      <c r="C1612" s="37"/>
      <c r="D1612" s="37"/>
    </row>
    <row r="1613" spans="1:4" ht="17.25" x14ac:dyDescent="0.3">
      <c r="A1613" s="36"/>
      <c r="B1613" s="37"/>
      <c r="C1613" s="37"/>
      <c r="D1613" s="37"/>
    </row>
    <row r="1614" spans="1:4" ht="17.25" x14ac:dyDescent="0.3">
      <c r="A1614" s="36"/>
      <c r="B1614" s="37"/>
      <c r="C1614" s="37"/>
      <c r="D1614" s="37"/>
    </row>
    <row r="1615" spans="1:4" ht="17.25" x14ac:dyDescent="0.3">
      <c r="A1615" s="36"/>
      <c r="B1615" s="37"/>
      <c r="C1615" s="37"/>
      <c r="D1615" s="37"/>
    </row>
    <row r="1616" spans="1:4" ht="17.25" x14ac:dyDescent="0.3">
      <c r="A1616" s="36"/>
      <c r="B1616" s="37"/>
      <c r="C1616" s="37"/>
      <c r="D1616" s="37"/>
    </row>
    <row r="1617" spans="1:4" ht="17.25" x14ac:dyDescent="0.3">
      <c r="A1617" s="36"/>
      <c r="B1617" s="37"/>
      <c r="C1617" s="37"/>
      <c r="D1617" s="37"/>
    </row>
    <row r="1618" spans="1:4" ht="17.25" x14ac:dyDescent="0.3">
      <c r="A1618" s="36"/>
      <c r="B1618" s="37"/>
      <c r="C1618" s="37"/>
      <c r="D1618" s="37"/>
    </row>
    <row r="1619" spans="1:4" ht="17.25" x14ac:dyDescent="0.3">
      <c r="A1619" s="36"/>
      <c r="B1619" s="37"/>
      <c r="C1619" s="37"/>
      <c r="D1619" s="37"/>
    </row>
    <row r="1620" spans="1:4" ht="17.25" x14ac:dyDescent="0.3">
      <c r="A1620" s="36"/>
      <c r="B1620" s="37"/>
      <c r="C1620" s="37"/>
      <c r="D1620" s="37"/>
    </row>
    <row r="1621" spans="1:4" ht="17.25" x14ac:dyDescent="0.3">
      <c r="A1621" s="36"/>
      <c r="B1621" s="37"/>
      <c r="C1621" s="37"/>
      <c r="D1621" s="37"/>
    </row>
    <row r="1622" spans="1:4" ht="17.25" x14ac:dyDescent="0.3">
      <c r="A1622" s="36"/>
      <c r="B1622" s="37"/>
      <c r="C1622" s="37"/>
      <c r="D1622" s="37"/>
    </row>
    <row r="1623" spans="1:4" ht="17.25" x14ac:dyDescent="0.3">
      <c r="A1623" s="36"/>
      <c r="B1623" s="37"/>
      <c r="C1623" s="37"/>
      <c r="D1623" s="37"/>
    </row>
    <row r="1624" spans="1:4" ht="17.25" x14ac:dyDescent="0.3">
      <c r="A1624" s="36"/>
      <c r="B1624" s="37"/>
      <c r="C1624" s="37"/>
      <c r="D1624" s="37"/>
    </row>
    <row r="1625" spans="1:4" ht="17.25" x14ac:dyDescent="0.3">
      <c r="A1625" s="36"/>
      <c r="B1625" s="37"/>
      <c r="C1625" s="37"/>
      <c r="D1625" s="37"/>
    </row>
    <row r="1626" spans="1:4" ht="17.25" x14ac:dyDescent="0.3">
      <c r="A1626" s="36"/>
      <c r="B1626" s="37"/>
      <c r="C1626" s="37"/>
      <c r="D1626" s="37"/>
    </row>
    <row r="1627" spans="1:4" ht="17.25" x14ac:dyDescent="0.3">
      <c r="A1627" s="36"/>
      <c r="B1627" s="37"/>
      <c r="C1627" s="37"/>
      <c r="D1627" s="37"/>
    </row>
    <row r="1628" spans="1:4" ht="17.25" x14ac:dyDescent="0.3">
      <c r="A1628" s="36"/>
      <c r="B1628" s="37"/>
      <c r="C1628" s="37"/>
      <c r="D1628" s="37"/>
    </row>
    <row r="1629" spans="1:4" ht="17.25" x14ac:dyDescent="0.3">
      <c r="A1629" s="36"/>
      <c r="B1629" s="37"/>
      <c r="C1629" s="37"/>
      <c r="D1629" s="37"/>
    </row>
    <row r="1630" spans="1:4" ht="17.25" x14ac:dyDescent="0.3">
      <c r="A1630" s="36"/>
      <c r="B1630" s="37"/>
      <c r="C1630" s="37"/>
      <c r="D1630" s="37"/>
    </row>
    <row r="1631" spans="1:4" ht="17.25" x14ac:dyDescent="0.3">
      <c r="A1631" s="36"/>
      <c r="B1631" s="37"/>
      <c r="C1631" s="37"/>
      <c r="D1631" s="37"/>
    </row>
    <row r="1632" spans="1:4" ht="17.25" x14ac:dyDescent="0.3">
      <c r="A1632" s="36"/>
      <c r="B1632" s="37"/>
      <c r="C1632" s="37"/>
      <c r="D1632" s="37"/>
    </row>
    <row r="1633" spans="1:4" ht="17.25" x14ac:dyDescent="0.3">
      <c r="A1633" s="36"/>
      <c r="B1633" s="37"/>
      <c r="C1633" s="37"/>
      <c r="D1633" s="37"/>
    </row>
    <row r="1634" spans="1:4" ht="17.25" x14ac:dyDescent="0.3">
      <c r="A1634" s="36"/>
      <c r="B1634" s="37"/>
      <c r="C1634" s="37"/>
      <c r="D1634" s="37"/>
    </row>
    <row r="1635" spans="1:4" ht="17.25" x14ac:dyDescent="0.3">
      <c r="A1635" s="36"/>
      <c r="B1635" s="37"/>
      <c r="C1635" s="37"/>
      <c r="D1635" s="37"/>
    </row>
    <row r="1636" spans="1:4" ht="17.25" x14ac:dyDescent="0.3">
      <c r="A1636" s="36"/>
      <c r="B1636" s="37"/>
      <c r="C1636" s="37"/>
      <c r="D1636" s="37"/>
    </row>
    <row r="1637" spans="1:4" ht="17.25" x14ac:dyDescent="0.3">
      <c r="A1637" s="36"/>
      <c r="B1637" s="37"/>
      <c r="C1637" s="37"/>
      <c r="D1637" s="37"/>
    </row>
    <row r="1638" spans="1:4" ht="17.25" x14ac:dyDescent="0.3">
      <c r="A1638" s="36"/>
      <c r="B1638" s="37"/>
      <c r="C1638" s="37"/>
      <c r="D1638" s="37"/>
    </row>
    <row r="1639" spans="1:4" ht="17.25" x14ac:dyDescent="0.3">
      <c r="A1639" s="36"/>
      <c r="B1639" s="37"/>
      <c r="C1639" s="37"/>
      <c r="D1639" s="37"/>
    </row>
    <row r="1640" spans="1:4" ht="17.25" x14ac:dyDescent="0.3">
      <c r="A1640" s="36"/>
      <c r="B1640" s="37"/>
      <c r="C1640" s="37"/>
      <c r="D1640" s="37"/>
    </row>
    <row r="1641" spans="1:4" ht="17.25" x14ac:dyDescent="0.3">
      <c r="A1641" s="36"/>
      <c r="B1641" s="37"/>
      <c r="C1641" s="37"/>
      <c r="D1641" s="37"/>
    </row>
    <row r="1642" spans="1:4" ht="17.25" x14ac:dyDescent="0.3">
      <c r="A1642" s="36"/>
      <c r="B1642" s="37"/>
      <c r="C1642" s="37"/>
      <c r="D1642" s="37"/>
    </row>
    <row r="1643" spans="1:4" ht="17.25" x14ac:dyDescent="0.3">
      <c r="A1643" s="36"/>
      <c r="B1643" s="37"/>
      <c r="C1643" s="37"/>
      <c r="D1643" s="37"/>
    </row>
    <row r="1644" spans="1:4" ht="17.25" x14ac:dyDescent="0.3">
      <c r="A1644" s="36"/>
      <c r="B1644" s="37"/>
      <c r="C1644" s="37"/>
      <c r="D1644" s="37"/>
    </row>
    <row r="1645" spans="1:4" ht="17.25" x14ac:dyDescent="0.3">
      <c r="A1645" s="36"/>
      <c r="B1645" s="37"/>
      <c r="C1645" s="37"/>
      <c r="D1645" s="37"/>
    </row>
    <row r="1646" spans="1:4" ht="17.25" x14ac:dyDescent="0.3">
      <c r="A1646" s="36"/>
      <c r="B1646" s="37"/>
      <c r="C1646" s="37"/>
      <c r="D1646" s="37"/>
    </row>
    <row r="1647" spans="1:4" ht="17.25" x14ac:dyDescent="0.3">
      <c r="A1647" s="36"/>
      <c r="B1647" s="37"/>
      <c r="C1647" s="37"/>
      <c r="D1647" s="37"/>
    </row>
    <row r="1648" spans="1:4" ht="17.25" x14ac:dyDescent="0.3">
      <c r="A1648" s="36"/>
      <c r="B1648" s="37"/>
      <c r="C1648" s="37"/>
      <c r="D1648" s="37"/>
    </row>
    <row r="1649" spans="1:4" ht="17.25" x14ac:dyDescent="0.3">
      <c r="A1649" s="36"/>
      <c r="B1649" s="37"/>
      <c r="C1649" s="37"/>
      <c r="D1649" s="37"/>
    </row>
    <row r="1650" spans="1:4" ht="17.25" x14ac:dyDescent="0.3">
      <c r="A1650" s="36"/>
      <c r="B1650" s="37"/>
      <c r="C1650" s="37"/>
      <c r="D1650" s="37"/>
    </row>
    <row r="1651" spans="1:4" ht="17.25" x14ac:dyDescent="0.3">
      <c r="A1651" s="36"/>
      <c r="B1651" s="37"/>
      <c r="C1651" s="37"/>
      <c r="D1651" s="37"/>
    </row>
    <row r="1652" spans="1:4" ht="17.25" x14ac:dyDescent="0.3">
      <c r="A1652" s="36"/>
      <c r="B1652" s="37"/>
      <c r="C1652" s="37"/>
      <c r="D1652" s="37"/>
    </row>
    <row r="1653" spans="1:4" ht="17.25" x14ac:dyDescent="0.3">
      <c r="A1653" s="36"/>
      <c r="B1653" s="37"/>
      <c r="C1653" s="37"/>
      <c r="D1653" s="37"/>
    </row>
    <row r="1654" spans="1:4" ht="17.25" x14ac:dyDescent="0.3">
      <c r="A1654" s="36"/>
      <c r="B1654" s="37"/>
      <c r="C1654" s="37"/>
      <c r="D1654" s="37"/>
    </row>
    <row r="1655" spans="1:4" ht="17.25" x14ac:dyDescent="0.3">
      <c r="A1655" s="36"/>
      <c r="B1655" s="37"/>
      <c r="C1655" s="37"/>
      <c r="D1655" s="37"/>
    </row>
    <row r="1656" spans="1:4" ht="17.25" x14ac:dyDescent="0.3">
      <c r="A1656" s="36"/>
      <c r="B1656" s="37"/>
      <c r="C1656" s="37"/>
      <c r="D1656" s="37"/>
    </row>
    <row r="1657" spans="1:4" ht="17.25" x14ac:dyDescent="0.3">
      <c r="A1657" s="36"/>
      <c r="B1657" s="37"/>
      <c r="C1657" s="37"/>
      <c r="D1657" s="37"/>
    </row>
    <row r="1658" spans="1:4" ht="17.25" x14ac:dyDescent="0.3">
      <c r="A1658" s="36"/>
      <c r="B1658" s="37"/>
      <c r="C1658" s="37"/>
      <c r="D1658" s="37"/>
    </row>
    <row r="1659" spans="1:4" ht="17.25" x14ac:dyDescent="0.3">
      <c r="A1659" s="36"/>
      <c r="B1659" s="37"/>
      <c r="C1659" s="37"/>
      <c r="D1659" s="37"/>
    </row>
    <row r="1660" spans="1:4" ht="17.25" x14ac:dyDescent="0.3">
      <c r="A1660" s="36"/>
      <c r="B1660" s="37"/>
      <c r="C1660" s="37"/>
      <c r="D1660" s="37"/>
    </row>
    <row r="1661" spans="1:4" ht="17.25" x14ac:dyDescent="0.3">
      <c r="A1661" s="36"/>
      <c r="B1661" s="37"/>
      <c r="C1661" s="37"/>
      <c r="D1661" s="37"/>
    </row>
    <row r="1662" spans="1:4" ht="17.25" x14ac:dyDescent="0.3">
      <c r="A1662" s="36"/>
      <c r="B1662" s="37"/>
      <c r="C1662" s="37"/>
      <c r="D1662" s="37"/>
    </row>
    <row r="1663" spans="1:4" ht="17.25" x14ac:dyDescent="0.3">
      <c r="A1663" s="36"/>
      <c r="B1663" s="37"/>
      <c r="C1663" s="37"/>
      <c r="D1663" s="37"/>
    </row>
    <row r="1664" spans="1:4" ht="17.25" x14ac:dyDescent="0.3">
      <c r="A1664" s="36"/>
      <c r="B1664" s="37"/>
      <c r="C1664" s="37"/>
      <c r="D1664" s="37"/>
    </row>
    <row r="1665" spans="1:4" ht="17.25" x14ac:dyDescent="0.3">
      <c r="A1665" s="36"/>
      <c r="B1665" s="37"/>
      <c r="C1665" s="37"/>
      <c r="D1665" s="37"/>
    </row>
    <row r="1666" spans="1:4" ht="17.25" x14ac:dyDescent="0.3">
      <c r="A1666" s="36"/>
      <c r="B1666" s="37"/>
      <c r="C1666" s="37"/>
      <c r="D1666" s="37"/>
    </row>
    <row r="1667" spans="1:4" ht="17.25" x14ac:dyDescent="0.3">
      <c r="A1667" s="36"/>
      <c r="B1667" s="37"/>
      <c r="C1667" s="37"/>
      <c r="D1667" s="37"/>
    </row>
    <row r="1668" spans="1:4" ht="17.25" x14ac:dyDescent="0.3">
      <c r="A1668" s="36"/>
      <c r="B1668" s="37"/>
      <c r="C1668" s="37"/>
      <c r="D1668" s="37"/>
    </row>
    <row r="1669" spans="1:4" ht="17.25" x14ac:dyDescent="0.3">
      <c r="A1669" s="36"/>
      <c r="B1669" s="37"/>
      <c r="C1669" s="37"/>
      <c r="D1669" s="37"/>
    </row>
    <row r="1670" spans="1:4" ht="17.25" x14ac:dyDescent="0.3">
      <c r="A1670" s="36"/>
      <c r="B1670" s="37"/>
      <c r="C1670" s="37"/>
      <c r="D1670" s="37"/>
    </row>
    <row r="1671" spans="1:4" ht="17.25" x14ac:dyDescent="0.3">
      <c r="A1671" s="36"/>
      <c r="B1671" s="37"/>
      <c r="C1671" s="37"/>
      <c r="D1671" s="37"/>
    </row>
    <row r="1672" spans="1:4" ht="17.25" x14ac:dyDescent="0.3">
      <c r="A1672" s="36"/>
      <c r="B1672" s="37"/>
      <c r="C1672" s="37"/>
      <c r="D1672" s="37"/>
    </row>
    <row r="1673" spans="1:4" ht="17.25" x14ac:dyDescent="0.3">
      <c r="A1673" s="36"/>
      <c r="B1673" s="37"/>
      <c r="C1673" s="37"/>
      <c r="D1673" s="37"/>
    </row>
    <row r="1674" spans="1:4" ht="17.25" x14ac:dyDescent="0.3">
      <c r="A1674" s="36"/>
      <c r="B1674" s="37"/>
      <c r="C1674" s="37"/>
      <c r="D1674" s="37"/>
    </row>
    <row r="1675" spans="1:4" ht="17.25" x14ac:dyDescent="0.3">
      <c r="A1675" s="36"/>
      <c r="B1675" s="37"/>
      <c r="C1675" s="37"/>
      <c r="D1675" s="37"/>
    </row>
    <row r="1676" spans="1:4" ht="17.25" x14ac:dyDescent="0.3">
      <c r="A1676" s="36"/>
      <c r="B1676" s="37"/>
      <c r="C1676" s="37"/>
      <c r="D1676" s="37"/>
    </row>
    <row r="1677" spans="1:4" ht="17.25" x14ac:dyDescent="0.3">
      <c r="A1677" s="36"/>
      <c r="B1677" s="37"/>
      <c r="C1677" s="37"/>
      <c r="D1677" s="37"/>
    </row>
    <row r="1678" spans="1:4" ht="17.25" x14ac:dyDescent="0.3">
      <c r="A1678" s="36"/>
      <c r="B1678" s="37"/>
      <c r="C1678" s="37"/>
      <c r="D1678" s="37"/>
    </row>
    <row r="1679" spans="1:4" ht="17.25" x14ac:dyDescent="0.3">
      <c r="A1679" s="36"/>
      <c r="B1679" s="37"/>
      <c r="C1679" s="37"/>
      <c r="D1679" s="37"/>
    </row>
    <row r="1680" spans="1:4" ht="17.25" x14ac:dyDescent="0.3">
      <c r="A1680" s="36"/>
      <c r="B1680" s="37"/>
      <c r="C1680" s="37"/>
      <c r="D1680" s="37"/>
    </row>
    <row r="1681" spans="1:4" ht="17.25" x14ac:dyDescent="0.3">
      <c r="A1681" s="36"/>
      <c r="B1681" s="37"/>
      <c r="C1681" s="37"/>
      <c r="D1681" s="37"/>
    </row>
    <row r="1682" spans="1:4" ht="17.25" x14ac:dyDescent="0.3">
      <c r="A1682" s="36"/>
      <c r="B1682" s="37"/>
      <c r="C1682" s="37"/>
      <c r="D1682" s="37"/>
    </row>
    <row r="1683" spans="1:4" ht="17.25" x14ac:dyDescent="0.3">
      <c r="A1683" s="36"/>
      <c r="B1683" s="37"/>
      <c r="C1683" s="37"/>
      <c r="D1683" s="37"/>
    </row>
    <row r="1684" spans="1:4" ht="17.25" x14ac:dyDescent="0.3">
      <c r="A1684" s="36"/>
      <c r="B1684" s="37"/>
      <c r="C1684" s="37"/>
      <c r="D1684" s="37"/>
    </row>
    <row r="1685" spans="1:4" ht="17.25" x14ac:dyDescent="0.3">
      <c r="A1685" s="36"/>
      <c r="B1685" s="37"/>
      <c r="C1685" s="37"/>
      <c r="D1685" s="37"/>
    </row>
    <row r="1686" spans="1:4" ht="17.25" x14ac:dyDescent="0.3">
      <c r="A1686" s="36"/>
      <c r="B1686" s="37"/>
      <c r="C1686" s="37"/>
      <c r="D1686" s="37"/>
    </row>
    <row r="1687" spans="1:4" ht="17.25" x14ac:dyDescent="0.3">
      <c r="A1687" s="36"/>
      <c r="B1687" s="37"/>
      <c r="C1687" s="37"/>
      <c r="D1687" s="37"/>
    </row>
    <row r="1688" spans="1:4" ht="17.25" x14ac:dyDescent="0.3">
      <c r="A1688" s="36"/>
      <c r="B1688" s="37"/>
      <c r="C1688" s="37"/>
      <c r="D1688" s="37"/>
    </row>
    <row r="1689" spans="1:4" ht="17.25" x14ac:dyDescent="0.3">
      <c r="A1689" s="36"/>
      <c r="B1689" s="37"/>
      <c r="C1689" s="37"/>
      <c r="D1689" s="37"/>
    </row>
    <row r="1690" spans="1:4" ht="17.25" x14ac:dyDescent="0.3">
      <c r="A1690" s="36"/>
      <c r="B1690" s="37"/>
      <c r="C1690" s="37"/>
      <c r="D1690" s="37"/>
    </row>
    <row r="1691" spans="1:4" ht="17.25" x14ac:dyDescent="0.3">
      <c r="A1691" s="36"/>
      <c r="B1691" s="37"/>
      <c r="C1691" s="37"/>
      <c r="D1691" s="37"/>
    </row>
    <row r="1692" spans="1:4" ht="17.25" x14ac:dyDescent="0.3">
      <c r="A1692" s="36"/>
      <c r="B1692" s="37"/>
      <c r="C1692" s="37"/>
      <c r="D1692" s="37"/>
    </row>
    <row r="1693" spans="1:4" ht="17.25" x14ac:dyDescent="0.3">
      <c r="A1693" s="36"/>
      <c r="B1693" s="37"/>
      <c r="C1693" s="37"/>
      <c r="D1693" s="37"/>
    </row>
    <row r="1694" spans="1:4" ht="17.25" x14ac:dyDescent="0.3">
      <c r="A1694" s="36"/>
      <c r="B1694" s="37"/>
      <c r="C1694" s="37"/>
      <c r="D1694" s="37"/>
    </row>
    <row r="1695" spans="1:4" ht="17.25" x14ac:dyDescent="0.3">
      <c r="A1695" s="36"/>
      <c r="B1695" s="37"/>
      <c r="C1695" s="37"/>
      <c r="D1695" s="37"/>
    </row>
    <row r="1696" spans="1:4" ht="17.25" x14ac:dyDescent="0.3">
      <c r="A1696" s="36"/>
      <c r="B1696" s="37"/>
      <c r="C1696" s="37"/>
      <c r="D1696" s="37"/>
    </row>
    <row r="1697" spans="1:4" ht="17.25" x14ac:dyDescent="0.3">
      <c r="A1697" s="36"/>
      <c r="B1697" s="37"/>
      <c r="C1697" s="37"/>
      <c r="D1697" s="37"/>
    </row>
    <row r="1698" spans="1:4" ht="17.25" x14ac:dyDescent="0.3">
      <c r="A1698" s="36"/>
      <c r="B1698" s="37"/>
      <c r="C1698" s="37"/>
      <c r="D1698" s="37"/>
    </row>
    <row r="1699" spans="1:4" ht="17.25" x14ac:dyDescent="0.3">
      <c r="A1699" s="36"/>
      <c r="B1699" s="37"/>
      <c r="C1699" s="37"/>
      <c r="D1699" s="37"/>
    </row>
    <row r="1700" spans="1:4" ht="17.25" x14ac:dyDescent="0.3">
      <c r="A1700" s="36"/>
      <c r="B1700" s="37"/>
      <c r="C1700" s="37"/>
      <c r="D1700" s="37"/>
    </row>
    <row r="1701" spans="1:4" ht="17.25" x14ac:dyDescent="0.3">
      <c r="A1701" s="36"/>
      <c r="B1701" s="37"/>
      <c r="C1701" s="37"/>
      <c r="D1701" s="37"/>
    </row>
    <row r="1702" spans="1:4" ht="17.25" x14ac:dyDescent="0.3">
      <c r="A1702" s="36"/>
      <c r="B1702" s="37"/>
      <c r="C1702" s="37"/>
      <c r="D1702" s="37"/>
    </row>
    <row r="1703" spans="1:4" ht="17.25" x14ac:dyDescent="0.3">
      <c r="A1703" s="36"/>
      <c r="B1703" s="37"/>
      <c r="C1703" s="37"/>
      <c r="D1703" s="37"/>
    </row>
    <row r="1704" spans="1:4" ht="17.25" x14ac:dyDescent="0.3">
      <c r="A1704" s="36"/>
      <c r="B1704" s="37"/>
      <c r="C1704" s="37"/>
      <c r="D1704" s="37"/>
    </row>
    <row r="1705" spans="1:4" ht="17.25" x14ac:dyDescent="0.3">
      <c r="A1705" s="36"/>
      <c r="B1705" s="37"/>
      <c r="C1705" s="37"/>
      <c r="D1705" s="37"/>
    </row>
    <row r="1706" spans="1:4" ht="17.25" x14ac:dyDescent="0.3">
      <c r="A1706" s="36"/>
      <c r="B1706" s="37"/>
      <c r="C1706" s="37"/>
      <c r="D1706" s="37"/>
    </row>
    <row r="1707" spans="1:4" ht="17.25" x14ac:dyDescent="0.3">
      <c r="A1707" s="36"/>
      <c r="B1707" s="37"/>
      <c r="C1707" s="37"/>
      <c r="D1707" s="37"/>
    </row>
    <row r="1708" spans="1:4" ht="17.25" x14ac:dyDescent="0.3">
      <c r="A1708" s="36"/>
      <c r="B1708" s="37"/>
      <c r="C1708" s="37"/>
      <c r="D1708" s="37"/>
    </row>
    <row r="1709" spans="1:4" ht="17.25" x14ac:dyDescent="0.3">
      <c r="A1709" s="36"/>
      <c r="B1709" s="37"/>
      <c r="C1709" s="37"/>
      <c r="D1709" s="37"/>
    </row>
    <row r="1710" spans="1:4" ht="17.25" x14ac:dyDescent="0.3">
      <c r="A1710" s="36"/>
      <c r="B1710" s="37"/>
      <c r="C1710" s="37"/>
      <c r="D1710" s="37"/>
    </row>
    <row r="1711" spans="1:4" ht="17.25" x14ac:dyDescent="0.3">
      <c r="A1711" s="36"/>
      <c r="B1711" s="37"/>
      <c r="C1711" s="37"/>
      <c r="D1711" s="37"/>
    </row>
    <row r="1712" spans="1:4" ht="17.25" x14ac:dyDescent="0.3">
      <c r="A1712" s="36"/>
      <c r="B1712" s="37"/>
      <c r="C1712" s="37"/>
      <c r="D1712" s="37"/>
    </row>
    <row r="1713" spans="1:4" ht="17.25" x14ac:dyDescent="0.3">
      <c r="A1713" s="36"/>
      <c r="B1713" s="37"/>
      <c r="C1713" s="37"/>
      <c r="D1713" s="37"/>
    </row>
    <row r="1714" spans="1:4" ht="17.25" x14ac:dyDescent="0.3">
      <c r="A1714" s="36"/>
      <c r="B1714" s="37"/>
      <c r="C1714" s="37"/>
      <c r="D1714" s="37"/>
    </row>
    <row r="1715" spans="1:4" ht="17.25" x14ac:dyDescent="0.3">
      <c r="A1715" s="36"/>
      <c r="B1715" s="37"/>
      <c r="C1715" s="37"/>
      <c r="D1715" s="37"/>
    </row>
    <row r="1716" spans="1:4" ht="17.25" x14ac:dyDescent="0.3">
      <c r="A1716" s="36"/>
      <c r="B1716" s="37"/>
      <c r="C1716" s="37"/>
      <c r="D1716" s="37"/>
    </row>
    <row r="1717" spans="1:4" ht="17.25" x14ac:dyDescent="0.3">
      <c r="A1717" s="36"/>
      <c r="B1717" s="37"/>
      <c r="C1717" s="37"/>
      <c r="D1717" s="37"/>
    </row>
    <row r="1718" spans="1:4" ht="17.25" x14ac:dyDescent="0.3">
      <c r="A1718" s="36"/>
      <c r="B1718" s="37"/>
      <c r="C1718" s="37"/>
      <c r="D1718" s="37"/>
    </row>
    <row r="1719" spans="1:4" ht="17.25" x14ac:dyDescent="0.3">
      <c r="A1719" s="36"/>
      <c r="B1719" s="37"/>
      <c r="C1719" s="37"/>
      <c r="D1719" s="37"/>
    </row>
    <row r="1720" spans="1:4" ht="17.25" x14ac:dyDescent="0.3">
      <c r="A1720" s="36"/>
      <c r="B1720" s="37"/>
      <c r="C1720" s="37"/>
      <c r="D1720" s="37"/>
    </row>
    <row r="1721" spans="1:4" ht="17.25" x14ac:dyDescent="0.3">
      <c r="A1721" s="36"/>
      <c r="B1721" s="37"/>
      <c r="C1721" s="37"/>
      <c r="D1721" s="37"/>
    </row>
    <row r="1722" spans="1:4" ht="17.25" x14ac:dyDescent="0.3">
      <c r="A1722" s="36"/>
      <c r="B1722" s="37"/>
      <c r="C1722" s="37"/>
      <c r="D1722" s="37"/>
    </row>
    <row r="1723" spans="1:4" ht="17.25" x14ac:dyDescent="0.3">
      <c r="A1723" s="36"/>
      <c r="B1723" s="37"/>
      <c r="C1723" s="37"/>
      <c r="D1723" s="37"/>
    </row>
    <row r="1724" spans="1:4" ht="17.25" x14ac:dyDescent="0.3">
      <c r="A1724" s="36"/>
      <c r="B1724" s="37"/>
      <c r="C1724" s="37"/>
      <c r="D1724" s="37"/>
    </row>
    <row r="1725" spans="1:4" ht="17.25" x14ac:dyDescent="0.3">
      <c r="A1725" s="36"/>
      <c r="B1725" s="37"/>
      <c r="C1725" s="37"/>
      <c r="D1725" s="37"/>
    </row>
    <row r="1726" spans="1:4" ht="17.25" x14ac:dyDescent="0.3">
      <c r="A1726" s="36"/>
      <c r="B1726" s="37"/>
      <c r="C1726" s="37"/>
      <c r="D1726" s="37"/>
    </row>
    <row r="1727" spans="1:4" ht="17.25" x14ac:dyDescent="0.3">
      <c r="A1727" s="36"/>
      <c r="B1727" s="37"/>
      <c r="C1727" s="37"/>
      <c r="D1727" s="37"/>
    </row>
    <row r="1728" spans="1:4" ht="17.25" x14ac:dyDescent="0.3">
      <c r="A1728" s="36"/>
      <c r="B1728" s="37"/>
      <c r="C1728" s="37"/>
      <c r="D1728" s="37"/>
    </row>
    <row r="1729" spans="1:4" ht="17.25" x14ac:dyDescent="0.3">
      <c r="A1729" s="36"/>
      <c r="B1729" s="37"/>
      <c r="C1729" s="37"/>
      <c r="D1729" s="37"/>
    </row>
    <row r="1730" spans="1:4" ht="17.25" x14ac:dyDescent="0.3">
      <c r="A1730" s="36"/>
      <c r="B1730" s="37"/>
      <c r="C1730" s="37"/>
      <c r="D1730" s="37"/>
    </row>
    <row r="1731" spans="1:4" ht="17.25" x14ac:dyDescent="0.3">
      <c r="A1731" s="36"/>
      <c r="B1731" s="37"/>
      <c r="C1731" s="37"/>
      <c r="D1731" s="37"/>
    </row>
    <row r="1732" spans="1:4" ht="17.25" x14ac:dyDescent="0.3">
      <c r="A1732" s="36"/>
      <c r="B1732" s="37"/>
      <c r="C1732" s="37"/>
      <c r="D1732" s="37"/>
    </row>
    <row r="1733" spans="1:4" ht="17.25" x14ac:dyDescent="0.3">
      <c r="A1733" s="36"/>
      <c r="B1733" s="37"/>
      <c r="C1733" s="37"/>
      <c r="D1733" s="37"/>
    </row>
    <row r="1734" spans="1:4" ht="17.25" x14ac:dyDescent="0.3">
      <c r="A1734" s="36"/>
      <c r="B1734" s="37"/>
      <c r="C1734" s="37"/>
      <c r="D1734" s="37"/>
    </row>
    <row r="1735" spans="1:4" ht="17.25" x14ac:dyDescent="0.3">
      <c r="A1735" s="36"/>
      <c r="B1735" s="37"/>
      <c r="C1735" s="37"/>
      <c r="D1735" s="37"/>
    </row>
    <row r="1736" spans="1:4" ht="17.25" x14ac:dyDescent="0.3">
      <c r="A1736" s="36"/>
      <c r="B1736" s="37"/>
      <c r="C1736" s="37"/>
      <c r="D1736" s="37"/>
    </row>
    <row r="1737" spans="1:4" ht="17.25" x14ac:dyDescent="0.3">
      <c r="A1737" s="36"/>
      <c r="B1737" s="37"/>
      <c r="C1737" s="37"/>
      <c r="D1737" s="37"/>
    </row>
    <row r="1738" spans="1:4" ht="17.25" x14ac:dyDescent="0.3">
      <c r="A1738" s="36"/>
      <c r="B1738" s="37"/>
      <c r="C1738" s="37"/>
      <c r="D1738" s="37"/>
    </row>
    <row r="1739" spans="1:4" ht="17.25" x14ac:dyDescent="0.3">
      <c r="A1739" s="36"/>
      <c r="B1739" s="37"/>
      <c r="C1739" s="37"/>
      <c r="D1739" s="37"/>
    </row>
    <row r="1740" spans="1:4" ht="17.25" x14ac:dyDescent="0.3">
      <c r="A1740" s="36"/>
      <c r="B1740" s="37"/>
      <c r="C1740" s="37"/>
      <c r="D1740" s="37"/>
    </row>
    <row r="1741" spans="1:4" ht="17.25" x14ac:dyDescent="0.3">
      <c r="A1741" s="36"/>
      <c r="B1741" s="37"/>
      <c r="C1741" s="37"/>
      <c r="D1741" s="37"/>
    </row>
    <row r="1742" spans="1:4" ht="17.25" x14ac:dyDescent="0.3">
      <c r="A1742" s="36"/>
      <c r="B1742" s="37"/>
      <c r="C1742" s="37"/>
      <c r="D1742" s="37"/>
    </row>
    <row r="1743" spans="1:4" ht="17.25" x14ac:dyDescent="0.3">
      <c r="A1743" s="36"/>
      <c r="B1743" s="37"/>
      <c r="C1743" s="37"/>
      <c r="D1743" s="37"/>
    </row>
    <row r="1744" spans="1:4" ht="17.25" x14ac:dyDescent="0.3">
      <c r="A1744" s="36"/>
      <c r="B1744" s="37"/>
      <c r="C1744" s="37"/>
      <c r="D1744" s="37"/>
    </row>
    <row r="1745" spans="1:4" ht="17.25" x14ac:dyDescent="0.3">
      <c r="A1745" s="36"/>
      <c r="B1745" s="37"/>
      <c r="C1745" s="37"/>
      <c r="D1745" s="37"/>
    </row>
    <row r="1746" spans="1:4" ht="17.25" x14ac:dyDescent="0.3">
      <c r="A1746" s="36"/>
      <c r="B1746" s="37"/>
      <c r="C1746" s="37"/>
      <c r="D1746" s="37"/>
    </row>
    <row r="1747" spans="1:4" ht="17.25" x14ac:dyDescent="0.3">
      <c r="A1747" s="36"/>
      <c r="B1747" s="37"/>
      <c r="C1747" s="37"/>
      <c r="D1747" s="37"/>
    </row>
    <row r="1748" spans="1:4" ht="17.25" x14ac:dyDescent="0.3">
      <c r="A1748" s="36"/>
      <c r="B1748" s="37"/>
      <c r="C1748" s="37"/>
      <c r="D1748" s="37"/>
    </row>
    <row r="1749" spans="1:4" ht="17.25" x14ac:dyDescent="0.3">
      <c r="A1749" s="36"/>
      <c r="B1749" s="37"/>
      <c r="C1749" s="37"/>
      <c r="D1749" s="37"/>
    </row>
    <row r="1750" spans="1:4" ht="17.25" x14ac:dyDescent="0.3">
      <c r="A1750" s="36"/>
      <c r="B1750" s="37"/>
      <c r="C1750" s="37"/>
      <c r="D1750" s="37"/>
    </row>
    <row r="1751" spans="1:4" ht="17.25" x14ac:dyDescent="0.3">
      <c r="A1751" s="36"/>
      <c r="B1751" s="37"/>
      <c r="C1751" s="37"/>
      <c r="D1751" s="37"/>
    </row>
    <row r="1752" spans="1:4" ht="17.25" x14ac:dyDescent="0.3">
      <c r="A1752" s="36"/>
      <c r="B1752" s="37"/>
      <c r="C1752" s="37"/>
      <c r="D1752" s="37"/>
    </row>
    <row r="1753" spans="1:4" ht="17.25" x14ac:dyDescent="0.3">
      <c r="A1753" s="36"/>
      <c r="B1753" s="37"/>
      <c r="C1753" s="37"/>
      <c r="D1753" s="37"/>
    </row>
    <row r="1754" spans="1:4" ht="17.25" x14ac:dyDescent="0.3">
      <c r="A1754" s="36"/>
      <c r="B1754" s="37"/>
      <c r="C1754" s="37"/>
      <c r="D1754" s="37"/>
    </row>
    <row r="1755" spans="1:4" ht="17.25" x14ac:dyDescent="0.3">
      <c r="A1755" s="36"/>
      <c r="B1755" s="37"/>
      <c r="C1755" s="37"/>
      <c r="D1755" s="37"/>
    </row>
    <row r="1756" spans="1:4" ht="17.25" x14ac:dyDescent="0.3">
      <c r="A1756" s="36"/>
      <c r="B1756" s="37"/>
      <c r="C1756" s="37"/>
      <c r="D1756" s="37"/>
    </row>
    <row r="1757" spans="1:4" ht="17.25" x14ac:dyDescent="0.3">
      <c r="A1757" s="36"/>
      <c r="B1757" s="37"/>
      <c r="C1757" s="37"/>
      <c r="D1757" s="37"/>
    </row>
    <row r="1758" spans="1:4" ht="17.25" x14ac:dyDescent="0.3">
      <c r="A1758" s="36"/>
      <c r="B1758" s="37"/>
      <c r="C1758" s="37"/>
      <c r="D1758" s="37"/>
    </row>
    <row r="1759" spans="1:4" ht="17.25" x14ac:dyDescent="0.3">
      <c r="A1759" s="36"/>
      <c r="B1759" s="37"/>
      <c r="C1759" s="37"/>
      <c r="D1759" s="37"/>
    </row>
    <row r="1760" spans="1:4" ht="17.25" x14ac:dyDescent="0.3">
      <c r="A1760" s="36"/>
      <c r="B1760" s="37"/>
      <c r="C1760" s="37"/>
      <c r="D1760" s="37"/>
    </row>
    <row r="1761" spans="1:4" ht="17.25" x14ac:dyDescent="0.3">
      <c r="A1761" s="36"/>
      <c r="B1761" s="37"/>
      <c r="C1761" s="37"/>
      <c r="D1761" s="37"/>
    </row>
    <row r="1762" spans="1:4" ht="17.25" x14ac:dyDescent="0.3">
      <c r="A1762" s="36"/>
      <c r="B1762" s="37"/>
      <c r="C1762" s="37"/>
      <c r="D1762" s="37"/>
    </row>
    <row r="1763" spans="1:4" ht="17.25" x14ac:dyDescent="0.3">
      <c r="A1763" s="36"/>
      <c r="B1763" s="37"/>
      <c r="C1763" s="37"/>
      <c r="D1763" s="37"/>
    </row>
    <row r="1764" spans="1:4" ht="17.25" x14ac:dyDescent="0.3">
      <c r="A1764" s="36"/>
      <c r="B1764" s="37"/>
      <c r="C1764" s="37"/>
      <c r="D1764" s="37"/>
    </row>
    <row r="1765" spans="1:4" ht="17.25" x14ac:dyDescent="0.3">
      <c r="A1765" s="36"/>
      <c r="B1765" s="37"/>
      <c r="C1765" s="37"/>
      <c r="D1765" s="37"/>
    </row>
    <row r="1766" spans="1:4" ht="17.25" x14ac:dyDescent="0.3">
      <c r="A1766" s="36"/>
      <c r="B1766" s="37"/>
      <c r="C1766" s="37"/>
      <c r="D1766" s="37"/>
    </row>
    <row r="1767" spans="1:4" ht="17.25" x14ac:dyDescent="0.3">
      <c r="A1767" s="36"/>
      <c r="B1767" s="37"/>
      <c r="C1767" s="37"/>
      <c r="D1767" s="37"/>
    </row>
    <row r="1768" spans="1:4" ht="17.25" x14ac:dyDescent="0.3">
      <c r="A1768" s="36"/>
      <c r="B1768" s="37"/>
      <c r="C1768" s="37"/>
      <c r="D1768" s="37"/>
    </row>
    <row r="1769" spans="1:4" ht="17.25" x14ac:dyDescent="0.3">
      <c r="A1769" s="36"/>
      <c r="B1769" s="37"/>
      <c r="C1769" s="37"/>
      <c r="D1769" s="37"/>
    </row>
    <row r="1770" spans="1:4" ht="17.25" x14ac:dyDescent="0.3">
      <c r="A1770" s="36"/>
      <c r="B1770" s="37"/>
      <c r="C1770" s="37"/>
      <c r="D1770" s="37"/>
    </row>
    <row r="1771" spans="1:4" ht="17.25" x14ac:dyDescent="0.3">
      <c r="A1771" s="36"/>
      <c r="B1771" s="37"/>
      <c r="C1771" s="37"/>
      <c r="D1771" s="37"/>
    </row>
    <row r="1772" spans="1:4" ht="17.25" x14ac:dyDescent="0.3">
      <c r="A1772" s="36"/>
      <c r="B1772" s="37"/>
      <c r="C1772" s="37"/>
      <c r="D1772" s="37"/>
    </row>
    <row r="1773" spans="1:4" ht="17.25" x14ac:dyDescent="0.3">
      <c r="A1773" s="36"/>
      <c r="B1773" s="37"/>
      <c r="C1773" s="37"/>
      <c r="D1773" s="37"/>
    </row>
    <row r="1774" spans="1:4" ht="17.25" x14ac:dyDescent="0.3">
      <c r="A1774" s="36"/>
      <c r="B1774" s="37"/>
      <c r="C1774" s="37"/>
      <c r="D1774" s="37"/>
    </row>
    <row r="1775" spans="1:4" ht="17.25" x14ac:dyDescent="0.3">
      <c r="A1775" s="36"/>
      <c r="B1775" s="37"/>
      <c r="C1775" s="37"/>
      <c r="D1775" s="37"/>
    </row>
    <row r="1776" spans="1:4" ht="17.25" x14ac:dyDescent="0.3">
      <c r="A1776" s="36"/>
      <c r="B1776" s="37"/>
      <c r="C1776" s="37"/>
      <c r="D1776" s="37"/>
    </row>
    <row r="1777" spans="1:4" ht="17.25" x14ac:dyDescent="0.3">
      <c r="A1777" s="36"/>
      <c r="B1777" s="37"/>
      <c r="C1777" s="37"/>
      <c r="D1777" s="37"/>
    </row>
    <row r="1778" spans="1:4" ht="17.25" x14ac:dyDescent="0.3">
      <c r="A1778" s="36"/>
      <c r="B1778" s="37"/>
      <c r="C1778" s="37"/>
      <c r="D1778" s="37"/>
    </row>
    <row r="1779" spans="1:4" ht="17.25" x14ac:dyDescent="0.3">
      <c r="A1779" s="36"/>
      <c r="B1779" s="37"/>
      <c r="C1779" s="37"/>
      <c r="D1779" s="37"/>
    </row>
    <row r="1780" spans="1:4" ht="17.25" x14ac:dyDescent="0.3">
      <c r="A1780" s="36"/>
      <c r="B1780" s="37"/>
      <c r="C1780" s="37"/>
      <c r="D1780" s="37"/>
    </row>
    <row r="1781" spans="1:4" ht="17.25" x14ac:dyDescent="0.3">
      <c r="A1781" s="36"/>
      <c r="B1781" s="37"/>
      <c r="C1781" s="37"/>
      <c r="D1781" s="37"/>
    </row>
    <row r="1782" spans="1:4" ht="17.25" x14ac:dyDescent="0.3">
      <c r="A1782" s="36"/>
      <c r="B1782" s="37"/>
      <c r="C1782" s="37"/>
      <c r="D1782" s="37"/>
    </row>
    <row r="1783" spans="1:4" ht="17.25" x14ac:dyDescent="0.3">
      <c r="A1783" s="36"/>
      <c r="B1783" s="37"/>
      <c r="C1783" s="37"/>
      <c r="D1783" s="37"/>
    </row>
    <row r="1784" spans="1:4" ht="17.25" x14ac:dyDescent="0.3">
      <c r="A1784" s="36"/>
      <c r="B1784" s="37"/>
      <c r="C1784" s="37"/>
      <c r="D1784" s="37"/>
    </row>
    <row r="1785" spans="1:4" ht="17.25" x14ac:dyDescent="0.3">
      <c r="A1785" s="36"/>
      <c r="B1785" s="37"/>
      <c r="C1785" s="37"/>
      <c r="D1785" s="37"/>
    </row>
    <row r="1786" spans="1:4" ht="17.25" x14ac:dyDescent="0.3">
      <c r="A1786" s="36"/>
      <c r="B1786" s="37"/>
      <c r="C1786" s="37"/>
      <c r="D1786" s="37"/>
    </row>
    <row r="1787" spans="1:4" ht="17.25" x14ac:dyDescent="0.3">
      <c r="A1787" s="36"/>
      <c r="B1787" s="37"/>
      <c r="C1787" s="37"/>
      <c r="D1787" s="37"/>
    </row>
    <row r="1788" spans="1:4" ht="17.25" x14ac:dyDescent="0.3">
      <c r="A1788" s="36"/>
      <c r="B1788" s="37"/>
      <c r="C1788" s="37"/>
      <c r="D1788" s="37"/>
    </row>
    <row r="1789" spans="1:4" ht="17.25" x14ac:dyDescent="0.3">
      <c r="A1789" s="36"/>
      <c r="B1789" s="37"/>
      <c r="C1789" s="37"/>
      <c r="D1789" s="37"/>
    </row>
    <row r="1790" spans="1:4" ht="17.25" x14ac:dyDescent="0.3">
      <c r="A1790" s="36"/>
      <c r="B1790" s="37"/>
      <c r="C1790" s="37"/>
      <c r="D1790" s="37"/>
    </row>
    <row r="1791" spans="1:4" ht="17.25" x14ac:dyDescent="0.3">
      <c r="A1791" s="36"/>
      <c r="B1791" s="37"/>
      <c r="C1791" s="37"/>
      <c r="D1791" s="37"/>
    </row>
    <row r="1792" spans="1:4" ht="17.25" x14ac:dyDescent="0.3">
      <c r="A1792" s="36"/>
      <c r="B1792" s="37"/>
      <c r="C1792" s="37"/>
      <c r="D1792" s="37"/>
    </row>
    <row r="1793" spans="1:4" ht="17.25" x14ac:dyDescent="0.3">
      <c r="A1793" s="36"/>
      <c r="B1793" s="37"/>
      <c r="C1793" s="37"/>
      <c r="D1793" s="37"/>
    </row>
    <row r="1794" spans="1:4" ht="17.25" x14ac:dyDescent="0.3">
      <c r="A1794" s="36"/>
      <c r="B1794" s="37"/>
      <c r="C1794" s="37"/>
      <c r="D1794" s="37"/>
    </row>
    <row r="1795" spans="1:4" ht="17.25" x14ac:dyDescent="0.3">
      <c r="A1795" s="36"/>
      <c r="B1795" s="37"/>
      <c r="C1795" s="37"/>
      <c r="D1795" s="37"/>
    </row>
    <row r="1796" spans="1:4" ht="17.25" x14ac:dyDescent="0.3">
      <c r="A1796" s="36"/>
      <c r="B1796" s="37"/>
      <c r="C1796" s="37"/>
      <c r="D1796" s="37"/>
    </row>
    <row r="1797" spans="1:4" ht="17.25" x14ac:dyDescent="0.3">
      <c r="A1797" s="36"/>
      <c r="B1797" s="37"/>
      <c r="C1797" s="37"/>
      <c r="D1797" s="37"/>
    </row>
    <row r="1798" spans="1:4" ht="17.25" x14ac:dyDescent="0.3">
      <c r="A1798" s="36"/>
      <c r="B1798" s="37"/>
      <c r="C1798" s="37"/>
      <c r="D1798" s="37"/>
    </row>
    <row r="1799" spans="1:4" ht="17.25" x14ac:dyDescent="0.3">
      <c r="A1799" s="36"/>
      <c r="B1799" s="37"/>
      <c r="C1799" s="37"/>
      <c r="D1799" s="37"/>
    </row>
    <row r="1800" spans="1:4" ht="17.25" x14ac:dyDescent="0.3">
      <c r="A1800" s="36"/>
      <c r="B1800" s="37"/>
      <c r="C1800" s="37"/>
      <c r="D1800" s="37"/>
    </row>
    <row r="1801" spans="1:4" ht="17.25" x14ac:dyDescent="0.3">
      <c r="A1801" s="36"/>
      <c r="B1801" s="37"/>
      <c r="C1801" s="37"/>
      <c r="D1801" s="37"/>
    </row>
    <row r="1802" spans="1:4" ht="17.25" x14ac:dyDescent="0.3">
      <c r="A1802" s="36"/>
      <c r="B1802" s="37"/>
      <c r="C1802" s="37"/>
      <c r="D1802" s="37"/>
    </row>
    <row r="1803" spans="1:4" ht="17.25" x14ac:dyDescent="0.3">
      <c r="A1803" s="36"/>
      <c r="B1803" s="37"/>
      <c r="C1803" s="37"/>
      <c r="D1803" s="37"/>
    </row>
    <row r="1804" spans="1:4" ht="17.25" x14ac:dyDescent="0.3">
      <c r="A1804" s="36"/>
      <c r="B1804" s="37"/>
      <c r="C1804" s="37"/>
      <c r="D1804" s="37"/>
    </row>
    <row r="1805" spans="1:4" ht="17.25" x14ac:dyDescent="0.3">
      <c r="A1805" s="36"/>
      <c r="B1805" s="37"/>
      <c r="C1805" s="37"/>
      <c r="D1805" s="37"/>
    </row>
    <row r="1806" spans="1:4" ht="17.25" x14ac:dyDescent="0.3">
      <c r="A1806" s="36"/>
      <c r="B1806" s="37"/>
      <c r="C1806" s="37"/>
      <c r="D1806" s="37"/>
    </row>
    <row r="1807" spans="1:4" ht="17.25" x14ac:dyDescent="0.3">
      <c r="A1807" s="36"/>
      <c r="B1807" s="37"/>
      <c r="C1807" s="37"/>
      <c r="D1807" s="37"/>
    </row>
    <row r="1808" spans="1:4" ht="17.25" x14ac:dyDescent="0.3">
      <c r="A1808" s="36"/>
      <c r="B1808" s="37"/>
      <c r="C1808" s="37"/>
      <c r="D1808" s="37"/>
    </row>
    <row r="1809" spans="1:4" ht="17.25" x14ac:dyDescent="0.3">
      <c r="A1809" s="36"/>
      <c r="B1809" s="37"/>
      <c r="C1809" s="37"/>
      <c r="D1809" s="37"/>
    </row>
    <row r="1810" spans="1:4" ht="17.25" x14ac:dyDescent="0.3">
      <c r="A1810" s="36"/>
      <c r="B1810" s="37"/>
      <c r="C1810" s="37"/>
      <c r="D1810" s="37"/>
    </row>
    <row r="1811" spans="1:4" ht="17.25" x14ac:dyDescent="0.3">
      <c r="A1811" s="36"/>
      <c r="B1811" s="37"/>
      <c r="C1811" s="37"/>
      <c r="D1811" s="37"/>
    </row>
    <row r="1812" spans="1:4" ht="17.25" x14ac:dyDescent="0.3">
      <c r="A1812" s="36"/>
      <c r="B1812" s="37"/>
      <c r="C1812" s="37"/>
      <c r="D1812" s="37"/>
    </row>
    <row r="1813" spans="1:4" ht="17.25" x14ac:dyDescent="0.3">
      <c r="A1813" s="36"/>
      <c r="B1813" s="37"/>
      <c r="C1813" s="37"/>
      <c r="D1813" s="37"/>
    </row>
    <row r="1814" spans="1:4" ht="17.25" x14ac:dyDescent="0.3">
      <c r="A1814" s="36"/>
      <c r="B1814" s="37"/>
      <c r="C1814" s="37"/>
      <c r="D1814" s="37"/>
    </row>
    <row r="1815" spans="1:4" ht="17.25" x14ac:dyDescent="0.3">
      <c r="A1815" s="36"/>
      <c r="B1815" s="37"/>
      <c r="C1815" s="37"/>
      <c r="D1815" s="37"/>
    </row>
    <row r="1816" spans="1:4" ht="17.25" x14ac:dyDescent="0.3">
      <c r="A1816" s="36"/>
      <c r="B1816" s="37"/>
      <c r="C1816" s="37"/>
      <c r="D1816" s="37"/>
    </row>
    <row r="1817" spans="1:4" ht="17.25" x14ac:dyDescent="0.3">
      <c r="A1817" s="36"/>
      <c r="B1817" s="37"/>
      <c r="C1817" s="37"/>
      <c r="D1817" s="37"/>
    </row>
    <row r="1818" spans="1:4" ht="17.25" x14ac:dyDescent="0.3">
      <c r="A1818" s="36"/>
      <c r="B1818" s="37"/>
      <c r="C1818" s="37"/>
      <c r="D1818" s="37"/>
    </row>
    <row r="1819" spans="1:4" ht="17.25" x14ac:dyDescent="0.3">
      <c r="A1819" s="36"/>
      <c r="B1819" s="37"/>
      <c r="C1819" s="37"/>
      <c r="D1819" s="37"/>
    </row>
    <row r="1820" spans="1:4" ht="17.25" x14ac:dyDescent="0.3">
      <c r="A1820" s="36"/>
      <c r="B1820" s="37"/>
      <c r="C1820" s="37"/>
      <c r="D1820" s="37"/>
    </row>
    <row r="1821" spans="1:4" ht="17.25" x14ac:dyDescent="0.3">
      <c r="A1821" s="36"/>
      <c r="B1821" s="37"/>
      <c r="C1821" s="37"/>
      <c r="D1821" s="37"/>
    </row>
    <row r="1822" spans="1:4" ht="17.25" x14ac:dyDescent="0.3">
      <c r="A1822" s="36"/>
      <c r="B1822" s="37"/>
      <c r="C1822" s="37"/>
      <c r="D1822" s="37"/>
    </row>
    <row r="1823" spans="1:4" ht="17.25" x14ac:dyDescent="0.3">
      <c r="A1823" s="36"/>
      <c r="B1823" s="37"/>
      <c r="C1823" s="37"/>
      <c r="D1823" s="37"/>
    </row>
    <row r="1824" spans="1:4" ht="17.25" x14ac:dyDescent="0.3">
      <c r="A1824" s="36"/>
      <c r="B1824" s="37"/>
      <c r="C1824" s="37"/>
      <c r="D1824" s="37"/>
    </row>
    <row r="1825" spans="1:4" ht="17.25" x14ac:dyDescent="0.3">
      <c r="A1825" s="36"/>
      <c r="B1825" s="37"/>
      <c r="C1825" s="37"/>
      <c r="D1825" s="37"/>
    </row>
    <row r="1826" spans="1:4" ht="17.25" x14ac:dyDescent="0.3">
      <c r="A1826" s="36"/>
      <c r="B1826" s="37"/>
      <c r="C1826" s="37"/>
      <c r="D1826" s="37"/>
    </row>
    <row r="1827" spans="1:4" ht="17.25" x14ac:dyDescent="0.3">
      <c r="A1827" s="36"/>
      <c r="B1827" s="37"/>
      <c r="C1827" s="37"/>
      <c r="D1827" s="37"/>
    </row>
    <row r="1828" spans="1:4" ht="17.25" x14ac:dyDescent="0.3">
      <c r="A1828" s="36"/>
      <c r="B1828" s="37"/>
      <c r="C1828" s="37"/>
      <c r="D1828" s="37"/>
    </row>
    <row r="1829" spans="1:4" ht="17.25" x14ac:dyDescent="0.3">
      <c r="A1829" s="36"/>
      <c r="B1829" s="37"/>
      <c r="C1829" s="37"/>
      <c r="D1829" s="37"/>
    </row>
    <row r="1830" spans="1:4" ht="17.25" x14ac:dyDescent="0.3">
      <c r="A1830" s="36"/>
      <c r="B1830" s="37"/>
      <c r="C1830" s="37"/>
      <c r="D1830" s="37"/>
    </row>
    <row r="1831" spans="1:4" ht="17.25" x14ac:dyDescent="0.3">
      <c r="A1831" s="36"/>
      <c r="B1831" s="37"/>
      <c r="C1831" s="37"/>
      <c r="D1831" s="37"/>
    </row>
    <row r="1832" spans="1:4" ht="17.25" x14ac:dyDescent="0.3">
      <c r="A1832" s="36"/>
      <c r="B1832" s="37"/>
      <c r="C1832" s="37"/>
      <c r="D1832" s="37"/>
    </row>
    <row r="1833" spans="1:4" ht="17.25" x14ac:dyDescent="0.3">
      <c r="A1833" s="36"/>
      <c r="B1833" s="37"/>
      <c r="C1833" s="37"/>
      <c r="D1833" s="37"/>
    </row>
    <row r="1834" spans="1:4" ht="17.25" x14ac:dyDescent="0.3">
      <c r="A1834" s="36"/>
      <c r="B1834" s="37"/>
      <c r="C1834" s="37"/>
      <c r="D1834" s="37"/>
    </row>
    <row r="1835" spans="1:4" ht="17.25" x14ac:dyDescent="0.3">
      <c r="A1835" s="36"/>
      <c r="B1835" s="37"/>
      <c r="C1835" s="37"/>
      <c r="D1835" s="37"/>
    </row>
    <row r="1836" spans="1:4" ht="17.25" x14ac:dyDescent="0.3">
      <c r="A1836" s="36"/>
      <c r="B1836" s="37"/>
      <c r="C1836" s="37"/>
      <c r="D1836" s="37"/>
    </row>
    <row r="1837" spans="1:4" ht="17.25" x14ac:dyDescent="0.3">
      <c r="A1837" s="36"/>
      <c r="B1837" s="37"/>
      <c r="C1837" s="37"/>
      <c r="D1837" s="37"/>
    </row>
    <row r="1838" spans="1:4" ht="17.25" x14ac:dyDescent="0.3">
      <c r="A1838" s="36"/>
      <c r="B1838" s="37"/>
      <c r="C1838" s="37"/>
      <c r="D1838" s="37"/>
    </row>
    <row r="1839" spans="1:4" ht="17.25" x14ac:dyDescent="0.3">
      <c r="A1839" s="36"/>
      <c r="B1839" s="37"/>
      <c r="C1839" s="37"/>
      <c r="D1839" s="37"/>
    </row>
    <row r="1840" spans="1:4" ht="17.25" x14ac:dyDescent="0.3">
      <c r="A1840" s="36"/>
      <c r="B1840" s="37"/>
      <c r="C1840" s="37"/>
      <c r="D1840" s="37"/>
    </row>
    <row r="1841" spans="1:4" ht="17.25" x14ac:dyDescent="0.3">
      <c r="A1841" s="36"/>
      <c r="B1841" s="37"/>
      <c r="C1841" s="37"/>
      <c r="D1841" s="37"/>
    </row>
    <row r="1842" spans="1:4" ht="17.25" x14ac:dyDescent="0.3">
      <c r="A1842" s="36"/>
      <c r="B1842" s="37"/>
      <c r="C1842" s="37"/>
      <c r="D1842" s="37"/>
    </row>
    <row r="1843" spans="1:4" ht="17.25" x14ac:dyDescent="0.3">
      <c r="A1843" s="36"/>
      <c r="B1843" s="37"/>
      <c r="C1843" s="37"/>
      <c r="D1843" s="37"/>
    </row>
    <row r="1844" spans="1:4" ht="17.25" x14ac:dyDescent="0.3">
      <c r="A1844" s="36"/>
      <c r="B1844" s="37"/>
      <c r="C1844" s="37"/>
      <c r="D1844" s="37"/>
    </row>
    <row r="1845" spans="1:4" ht="17.25" x14ac:dyDescent="0.3">
      <c r="A1845" s="36"/>
      <c r="B1845" s="37"/>
      <c r="C1845" s="37"/>
      <c r="D1845" s="37"/>
    </row>
    <row r="1846" spans="1:4" ht="17.25" x14ac:dyDescent="0.3">
      <c r="A1846" s="36"/>
      <c r="B1846" s="37"/>
      <c r="C1846" s="37"/>
      <c r="D1846" s="37"/>
    </row>
    <row r="1847" spans="1:4" ht="17.25" x14ac:dyDescent="0.3">
      <c r="A1847" s="36"/>
      <c r="B1847" s="37"/>
      <c r="C1847" s="37"/>
      <c r="D1847" s="37"/>
    </row>
    <row r="1848" spans="1:4" ht="17.25" x14ac:dyDescent="0.3">
      <c r="A1848" s="36"/>
      <c r="B1848" s="37"/>
      <c r="C1848" s="37"/>
      <c r="D1848" s="37"/>
    </row>
    <row r="1849" spans="1:4" ht="17.25" x14ac:dyDescent="0.3">
      <c r="A1849" s="36"/>
      <c r="B1849" s="37"/>
      <c r="C1849" s="37"/>
      <c r="D1849" s="37"/>
    </row>
    <row r="1850" spans="1:4" ht="17.25" x14ac:dyDescent="0.3">
      <c r="A1850" s="36"/>
      <c r="B1850" s="37"/>
      <c r="C1850" s="37"/>
      <c r="D1850" s="37"/>
    </row>
    <row r="1851" spans="1:4" ht="17.25" x14ac:dyDescent="0.3">
      <c r="A1851" s="36"/>
      <c r="B1851" s="37"/>
      <c r="C1851" s="37"/>
      <c r="D1851" s="37"/>
    </row>
    <row r="1852" spans="1:4" ht="17.25" x14ac:dyDescent="0.3">
      <c r="A1852" s="36"/>
      <c r="B1852" s="37"/>
      <c r="C1852" s="37"/>
      <c r="D1852" s="37"/>
    </row>
    <row r="1853" spans="1:4" ht="17.25" x14ac:dyDescent="0.3">
      <c r="A1853" s="36"/>
      <c r="B1853" s="37"/>
      <c r="C1853" s="37"/>
      <c r="D1853" s="37"/>
    </row>
    <row r="1854" spans="1:4" ht="17.25" x14ac:dyDescent="0.3">
      <c r="A1854" s="36"/>
      <c r="B1854" s="37"/>
      <c r="C1854" s="37"/>
      <c r="D1854" s="37"/>
    </row>
    <row r="1855" spans="1:4" ht="17.25" x14ac:dyDescent="0.3">
      <c r="A1855" s="36"/>
      <c r="B1855" s="37"/>
      <c r="C1855" s="37"/>
      <c r="D1855" s="37"/>
    </row>
    <row r="1856" spans="1:4" ht="17.25" x14ac:dyDescent="0.3">
      <c r="A1856" s="36"/>
      <c r="B1856" s="37"/>
      <c r="C1856" s="37"/>
      <c r="D1856" s="37"/>
    </row>
    <row r="1857" spans="1:4" ht="17.25" x14ac:dyDescent="0.3">
      <c r="A1857" s="36"/>
      <c r="B1857" s="37"/>
      <c r="C1857" s="37"/>
      <c r="D1857" s="37"/>
    </row>
    <row r="1858" spans="1:4" ht="17.25" x14ac:dyDescent="0.3">
      <c r="A1858" s="36"/>
      <c r="B1858" s="37"/>
      <c r="C1858" s="37"/>
      <c r="D1858" s="37"/>
    </row>
    <row r="1859" spans="1:4" ht="17.25" x14ac:dyDescent="0.3">
      <c r="A1859" s="36"/>
      <c r="B1859" s="37"/>
      <c r="C1859" s="37"/>
      <c r="D1859" s="37"/>
    </row>
    <row r="1860" spans="1:4" ht="17.25" x14ac:dyDescent="0.3">
      <c r="A1860" s="36"/>
      <c r="B1860" s="37"/>
      <c r="C1860" s="37"/>
      <c r="D1860" s="37"/>
    </row>
    <row r="1861" spans="1:4" ht="17.25" x14ac:dyDescent="0.3">
      <c r="A1861" s="36"/>
      <c r="B1861" s="37"/>
      <c r="C1861" s="37"/>
      <c r="D1861" s="37"/>
    </row>
    <row r="1862" spans="1:4" ht="17.25" x14ac:dyDescent="0.3">
      <c r="A1862" s="36"/>
      <c r="B1862" s="37"/>
      <c r="C1862" s="37"/>
      <c r="D1862" s="37"/>
    </row>
    <row r="1863" spans="1:4" ht="17.25" x14ac:dyDescent="0.3">
      <c r="A1863" s="36"/>
      <c r="B1863" s="37"/>
      <c r="C1863" s="37"/>
      <c r="D1863" s="37"/>
    </row>
    <row r="1864" spans="1:4" ht="17.25" x14ac:dyDescent="0.3">
      <c r="A1864" s="36"/>
      <c r="B1864" s="37"/>
      <c r="C1864" s="37"/>
      <c r="D1864" s="37"/>
    </row>
    <row r="1865" spans="1:4" ht="17.25" x14ac:dyDescent="0.3">
      <c r="A1865" s="36"/>
      <c r="B1865" s="37"/>
      <c r="C1865" s="37"/>
      <c r="D1865" s="37"/>
    </row>
    <row r="1866" spans="1:4" ht="17.25" x14ac:dyDescent="0.3">
      <c r="A1866" s="36"/>
      <c r="B1866" s="37"/>
      <c r="C1866" s="37"/>
      <c r="D1866" s="37"/>
    </row>
    <row r="1867" spans="1:4" ht="17.25" x14ac:dyDescent="0.3">
      <c r="A1867" s="36"/>
      <c r="B1867" s="37"/>
      <c r="C1867" s="37"/>
      <c r="D1867" s="37"/>
    </row>
    <row r="1868" spans="1:4" ht="17.25" x14ac:dyDescent="0.3">
      <c r="A1868" s="36"/>
      <c r="B1868" s="37"/>
      <c r="C1868" s="37"/>
      <c r="D1868" s="37"/>
    </row>
    <row r="1869" spans="1:4" ht="17.25" x14ac:dyDescent="0.3">
      <c r="A1869" s="36"/>
      <c r="B1869" s="37"/>
      <c r="C1869" s="37"/>
      <c r="D1869" s="37"/>
    </row>
    <row r="1870" spans="1:4" ht="17.25" x14ac:dyDescent="0.3">
      <c r="A1870" s="36"/>
      <c r="B1870" s="37"/>
      <c r="C1870" s="37"/>
      <c r="D1870" s="37"/>
    </row>
    <row r="1871" spans="1:4" ht="17.25" x14ac:dyDescent="0.3">
      <c r="A1871" s="36"/>
      <c r="B1871" s="37"/>
      <c r="C1871" s="37"/>
      <c r="D1871" s="37"/>
    </row>
    <row r="1872" spans="1:4" ht="17.25" x14ac:dyDescent="0.3">
      <c r="A1872" s="36"/>
      <c r="B1872" s="37"/>
      <c r="C1872" s="37"/>
      <c r="D1872" s="37"/>
    </row>
    <row r="1873" spans="1:4" ht="17.25" x14ac:dyDescent="0.3">
      <c r="A1873" s="36"/>
      <c r="B1873" s="37"/>
      <c r="C1873" s="37"/>
      <c r="D1873" s="37"/>
    </row>
    <row r="1874" spans="1:4" ht="17.25" x14ac:dyDescent="0.3">
      <c r="A1874" s="36"/>
      <c r="B1874" s="37"/>
      <c r="C1874" s="37"/>
      <c r="D1874" s="37"/>
    </row>
    <row r="1875" spans="1:4" ht="17.25" x14ac:dyDescent="0.3">
      <c r="A1875" s="36"/>
      <c r="B1875" s="37"/>
      <c r="C1875" s="37"/>
      <c r="D1875" s="37"/>
    </row>
    <row r="1876" spans="1:4" ht="17.25" x14ac:dyDescent="0.3">
      <c r="A1876" s="36"/>
      <c r="B1876" s="37"/>
      <c r="C1876" s="37"/>
      <c r="D1876" s="37"/>
    </row>
    <row r="1877" spans="1:4" ht="17.25" x14ac:dyDescent="0.3">
      <c r="A1877" s="36"/>
      <c r="B1877" s="37"/>
      <c r="C1877" s="37"/>
      <c r="D1877" s="37"/>
    </row>
    <row r="1878" spans="1:4" ht="17.25" x14ac:dyDescent="0.3">
      <c r="A1878" s="36"/>
      <c r="B1878" s="37"/>
      <c r="C1878" s="37"/>
      <c r="D1878" s="37"/>
    </row>
    <row r="1879" spans="1:4" ht="17.25" x14ac:dyDescent="0.3">
      <c r="A1879" s="36"/>
      <c r="B1879" s="37"/>
      <c r="C1879" s="37"/>
      <c r="D1879" s="37"/>
    </row>
    <row r="1880" spans="1:4" ht="17.25" x14ac:dyDescent="0.3">
      <c r="A1880" s="36"/>
      <c r="B1880" s="37"/>
      <c r="C1880" s="37"/>
      <c r="D1880" s="37"/>
    </row>
    <row r="1881" spans="1:4" ht="17.25" x14ac:dyDescent="0.3">
      <c r="A1881" s="36"/>
      <c r="B1881" s="37"/>
      <c r="C1881" s="37"/>
      <c r="D1881" s="37"/>
    </row>
    <row r="1882" spans="1:4" ht="17.25" x14ac:dyDescent="0.3">
      <c r="A1882" s="36"/>
      <c r="B1882" s="37"/>
      <c r="C1882" s="37"/>
      <c r="D1882" s="37"/>
    </row>
    <row r="1883" spans="1:4" ht="17.25" x14ac:dyDescent="0.3">
      <c r="A1883" s="36"/>
      <c r="B1883" s="37"/>
      <c r="C1883" s="37"/>
      <c r="D1883" s="37"/>
    </row>
    <row r="1884" spans="1:4" ht="17.25" x14ac:dyDescent="0.3">
      <c r="A1884" s="36"/>
      <c r="B1884" s="37"/>
      <c r="C1884" s="37"/>
      <c r="D1884" s="37"/>
    </row>
    <row r="1885" spans="1:4" ht="17.25" x14ac:dyDescent="0.3">
      <c r="A1885" s="36"/>
      <c r="B1885" s="37"/>
      <c r="C1885" s="37"/>
      <c r="D1885" s="37"/>
    </row>
    <row r="1886" spans="1:4" ht="17.25" x14ac:dyDescent="0.3">
      <c r="A1886" s="36"/>
      <c r="B1886" s="37"/>
      <c r="C1886" s="37"/>
      <c r="D1886" s="37"/>
    </row>
    <row r="1887" spans="1:4" ht="17.25" x14ac:dyDescent="0.3">
      <c r="A1887" s="36"/>
      <c r="B1887" s="37"/>
      <c r="C1887" s="37"/>
      <c r="D1887" s="37"/>
    </row>
    <row r="1888" spans="1:4" ht="17.25" x14ac:dyDescent="0.3">
      <c r="A1888" s="36"/>
      <c r="B1888" s="37"/>
      <c r="C1888" s="37"/>
      <c r="D1888" s="37"/>
    </row>
    <row r="1889" spans="1:4" ht="17.25" x14ac:dyDescent="0.3">
      <c r="A1889" s="36"/>
      <c r="B1889" s="37"/>
      <c r="C1889" s="37"/>
      <c r="D1889" s="37"/>
    </row>
    <row r="1890" spans="1:4" ht="17.25" x14ac:dyDescent="0.3">
      <c r="A1890" s="36"/>
      <c r="B1890" s="37"/>
      <c r="C1890" s="37"/>
      <c r="D1890" s="37"/>
    </row>
    <row r="1891" spans="1:4" ht="17.25" x14ac:dyDescent="0.3">
      <c r="A1891" s="36"/>
      <c r="B1891" s="37"/>
      <c r="C1891" s="37"/>
      <c r="D1891" s="37"/>
    </row>
    <row r="1892" spans="1:4" ht="17.25" x14ac:dyDescent="0.3">
      <c r="A1892" s="36"/>
      <c r="B1892" s="37"/>
      <c r="C1892" s="37"/>
      <c r="D1892" s="37"/>
    </row>
    <row r="1893" spans="1:4" ht="17.25" x14ac:dyDescent="0.3">
      <c r="A1893" s="36"/>
      <c r="B1893" s="37"/>
      <c r="C1893" s="37"/>
      <c r="D1893" s="37"/>
    </row>
    <row r="1894" spans="1:4" ht="17.25" x14ac:dyDescent="0.3">
      <c r="A1894" s="36"/>
      <c r="B1894" s="37"/>
      <c r="C1894" s="37"/>
      <c r="D1894" s="37"/>
    </row>
    <row r="1895" spans="1:4" ht="17.25" x14ac:dyDescent="0.3">
      <c r="A1895" s="36"/>
      <c r="B1895" s="37"/>
      <c r="C1895" s="37"/>
      <c r="D1895" s="37"/>
    </row>
    <row r="1896" spans="1:4" ht="17.25" x14ac:dyDescent="0.3">
      <c r="A1896" s="36"/>
      <c r="B1896" s="37"/>
      <c r="C1896" s="37"/>
      <c r="D1896" s="37"/>
    </row>
    <row r="1897" spans="1:4" ht="17.25" x14ac:dyDescent="0.3">
      <c r="A1897" s="36"/>
      <c r="B1897" s="37"/>
      <c r="C1897" s="37"/>
      <c r="D1897" s="37"/>
    </row>
    <row r="1898" spans="1:4" ht="17.25" x14ac:dyDescent="0.3">
      <c r="A1898" s="36"/>
      <c r="B1898" s="37"/>
      <c r="C1898" s="37"/>
      <c r="D1898" s="37"/>
    </row>
    <row r="1899" spans="1:4" ht="17.25" x14ac:dyDescent="0.3">
      <c r="A1899" s="36"/>
      <c r="B1899" s="37"/>
      <c r="C1899" s="37"/>
      <c r="D1899" s="37"/>
    </row>
    <row r="1900" spans="1:4" ht="17.25" x14ac:dyDescent="0.3">
      <c r="A1900" s="36"/>
      <c r="B1900" s="37"/>
      <c r="C1900" s="37"/>
      <c r="D1900" s="37"/>
    </row>
    <row r="1901" spans="1:4" ht="17.25" x14ac:dyDescent="0.3">
      <c r="A1901" s="36"/>
      <c r="B1901" s="37"/>
      <c r="C1901" s="37"/>
      <c r="D1901" s="37"/>
    </row>
    <row r="1902" spans="1:4" ht="17.25" x14ac:dyDescent="0.3">
      <c r="A1902" s="36"/>
      <c r="B1902" s="37"/>
      <c r="C1902" s="37"/>
      <c r="D1902" s="37"/>
    </row>
    <row r="1903" spans="1:4" ht="17.25" x14ac:dyDescent="0.3">
      <c r="A1903" s="36"/>
      <c r="B1903" s="37"/>
      <c r="C1903" s="37"/>
      <c r="D1903" s="37"/>
    </row>
    <row r="1904" spans="1:4" ht="17.25" x14ac:dyDescent="0.3">
      <c r="A1904" s="36"/>
      <c r="B1904" s="37"/>
      <c r="C1904" s="37"/>
      <c r="D1904" s="37"/>
    </row>
    <row r="1905" spans="1:4" ht="17.25" x14ac:dyDescent="0.3">
      <c r="A1905" s="36"/>
      <c r="B1905" s="37"/>
      <c r="C1905" s="37"/>
      <c r="D1905" s="37"/>
    </row>
    <row r="1906" spans="1:4" ht="17.25" x14ac:dyDescent="0.3">
      <c r="A1906" s="36"/>
      <c r="B1906" s="37"/>
      <c r="C1906" s="37"/>
      <c r="D1906" s="37"/>
    </row>
    <row r="1907" spans="1:4" ht="17.25" x14ac:dyDescent="0.3">
      <c r="A1907" s="36"/>
      <c r="B1907" s="37"/>
      <c r="C1907" s="37"/>
      <c r="D1907" s="37"/>
    </row>
    <row r="1908" spans="1:4" ht="17.25" x14ac:dyDescent="0.3">
      <c r="A1908" s="36"/>
      <c r="B1908" s="37"/>
      <c r="C1908" s="37"/>
      <c r="D1908" s="37"/>
    </row>
    <row r="1909" spans="1:4" ht="17.25" x14ac:dyDescent="0.3">
      <c r="A1909" s="36"/>
      <c r="B1909" s="37"/>
      <c r="C1909" s="37"/>
      <c r="D1909" s="37"/>
    </row>
    <row r="1910" spans="1:4" ht="17.25" x14ac:dyDescent="0.3">
      <c r="A1910" s="36"/>
      <c r="B1910" s="37"/>
      <c r="C1910" s="37"/>
      <c r="D1910" s="37"/>
    </row>
    <row r="1911" spans="1:4" ht="17.25" x14ac:dyDescent="0.3">
      <c r="A1911" s="36"/>
      <c r="B1911" s="37"/>
      <c r="C1911" s="37"/>
      <c r="D1911" s="37"/>
    </row>
    <row r="1912" spans="1:4" ht="17.25" x14ac:dyDescent="0.3">
      <c r="A1912" s="36"/>
      <c r="B1912" s="37"/>
      <c r="C1912" s="37"/>
      <c r="D1912" s="37"/>
    </row>
    <row r="1913" spans="1:4" ht="17.25" x14ac:dyDescent="0.3">
      <c r="A1913" s="36"/>
      <c r="B1913" s="37"/>
      <c r="C1913" s="37"/>
      <c r="D1913" s="37"/>
    </row>
    <row r="1914" spans="1:4" ht="17.25" x14ac:dyDescent="0.3">
      <c r="A1914" s="36"/>
      <c r="B1914" s="37"/>
      <c r="C1914" s="37"/>
      <c r="D1914" s="37"/>
    </row>
    <row r="1915" spans="1:4" ht="17.25" x14ac:dyDescent="0.3">
      <c r="A1915" s="36"/>
      <c r="B1915" s="37"/>
      <c r="C1915" s="37"/>
      <c r="D1915" s="37"/>
    </row>
    <row r="1916" spans="1:4" ht="17.25" x14ac:dyDescent="0.3">
      <c r="A1916" s="36"/>
      <c r="B1916" s="37"/>
      <c r="C1916" s="37"/>
      <c r="D1916" s="37"/>
    </row>
    <row r="1917" spans="1:4" ht="17.25" x14ac:dyDescent="0.3">
      <c r="A1917" s="36"/>
      <c r="B1917" s="37"/>
      <c r="C1917" s="37"/>
      <c r="D1917" s="37"/>
    </row>
    <row r="1918" spans="1:4" ht="17.25" x14ac:dyDescent="0.3">
      <c r="A1918" s="36"/>
      <c r="B1918" s="37"/>
      <c r="C1918" s="37"/>
      <c r="D1918" s="37"/>
    </row>
    <row r="1919" spans="1:4" ht="17.25" x14ac:dyDescent="0.3">
      <c r="A1919" s="36"/>
      <c r="B1919" s="37"/>
      <c r="C1919" s="37"/>
      <c r="D1919" s="37"/>
    </row>
    <row r="1920" spans="1:4" ht="17.25" x14ac:dyDescent="0.3">
      <c r="A1920" s="36"/>
      <c r="B1920" s="37"/>
      <c r="C1920" s="37"/>
      <c r="D1920" s="37"/>
    </row>
    <row r="1921" spans="1:4" ht="17.25" x14ac:dyDescent="0.3">
      <c r="A1921" s="36"/>
      <c r="B1921" s="37"/>
      <c r="C1921" s="37"/>
      <c r="D1921" s="37"/>
    </row>
    <row r="1922" spans="1:4" ht="17.25" x14ac:dyDescent="0.3">
      <c r="A1922" s="36"/>
      <c r="B1922" s="37"/>
      <c r="C1922" s="37"/>
      <c r="D1922" s="37"/>
    </row>
    <row r="1923" spans="1:4" ht="17.25" x14ac:dyDescent="0.3">
      <c r="A1923" s="36"/>
      <c r="B1923" s="37"/>
      <c r="C1923" s="37"/>
      <c r="D1923" s="37"/>
    </row>
    <row r="1924" spans="1:4" ht="17.25" x14ac:dyDescent="0.3">
      <c r="A1924" s="36"/>
      <c r="B1924" s="37"/>
      <c r="C1924" s="37"/>
      <c r="D1924" s="37"/>
    </row>
    <row r="1925" spans="1:4" ht="17.25" x14ac:dyDescent="0.3">
      <c r="A1925" s="36"/>
      <c r="B1925" s="37"/>
      <c r="C1925" s="37"/>
      <c r="D1925" s="37"/>
    </row>
    <row r="1926" spans="1:4" ht="17.25" x14ac:dyDescent="0.3">
      <c r="A1926" s="36"/>
      <c r="B1926" s="37"/>
      <c r="C1926" s="37"/>
      <c r="D1926" s="37"/>
    </row>
    <row r="1927" spans="1:4" ht="17.25" x14ac:dyDescent="0.3">
      <c r="A1927" s="36"/>
      <c r="B1927" s="37"/>
      <c r="C1927" s="37"/>
      <c r="D1927" s="37"/>
    </row>
    <row r="1928" spans="1:4" ht="17.25" x14ac:dyDescent="0.3">
      <c r="A1928" s="36"/>
      <c r="B1928" s="37"/>
      <c r="C1928" s="37"/>
      <c r="D1928" s="37"/>
    </row>
    <row r="1929" spans="1:4" ht="17.25" x14ac:dyDescent="0.3">
      <c r="A1929" s="36"/>
      <c r="B1929" s="37"/>
      <c r="C1929" s="37"/>
      <c r="D1929" s="37"/>
    </row>
    <row r="1930" spans="1:4" ht="17.25" x14ac:dyDescent="0.3">
      <c r="A1930" s="36"/>
      <c r="B1930" s="37"/>
      <c r="C1930" s="37"/>
      <c r="D1930" s="37"/>
    </row>
    <row r="1931" spans="1:4" ht="17.25" x14ac:dyDescent="0.3">
      <c r="A1931" s="36"/>
      <c r="B1931" s="37"/>
      <c r="C1931" s="37"/>
      <c r="D1931" s="37"/>
    </row>
    <row r="1932" spans="1:4" ht="17.25" x14ac:dyDescent="0.3">
      <c r="A1932" s="36"/>
      <c r="B1932" s="37"/>
      <c r="C1932" s="37"/>
      <c r="D1932" s="37"/>
    </row>
    <row r="1933" spans="1:4" ht="17.25" x14ac:dyDescent="0.3">
      <c r="A1933" s="36"/>
      <c r="B1933" s="37"/>
      <c r="C1933" s="37"/>
      <c r="D1933" s="37"/>
    </row>
    <row r="1934" spans="1:4" ht="17.25" x14ac:dyDescent="0.3">
      <c r="A1934" s="36"/>
      <c r="B1934" s="37"/>
      <c r="C1934" s="37"/>
      <c r="D1934" s="37"/>
    </row>
    <row r="1935" spans="1:4" ht="17.25" x14ac:dyDescent="0.3">
      <c r="A1935" s="36"/>
      <c r="B1935" s="37"/>
      <c r="C1935" s="37"/>
      <c r="D1935" s="37"/>
    </row>
    <row r="1936" spans="1:4" ht="17.25" x14ac:dyDescent="0.3">
      <c r="A1936" s="36"/>
      <c r="B1936" s="37"/>
      <c r="C1936" s="37"/>
      <c r="D1936" s="37"/>
    </row>
    <row r="1937" spans="1:4" ht="17.25" x14ac:dyDescent="0.3">
      <c r="A1937" s="36"/>
      <c r="B1937" s="37"/>
      <c r="C1937" s="37"/>
      <c r="D1937" s="37"/>
    </row>
    <row r="1938" spans="1:4" ht="17.25" x14ac:dyDescent="0.3">
      <c r="A1938" s="36"/>
      <c r="B1938" s="37"/>
      <c r="C1938" s="37"/>
      <c r="D1938" s="37"/>
    </row>
    <row r="1939" spans="1:4" ht="17.25" x14ac:dyDescent="0.3">
      <c r="A1939" s="36"/>
      <c r="B1939" s="37"/>
      <c r="C1939" s="37"/>
      <c r="D1939" s="37"/>
    </row>
    <row r="1940" spans="1:4" ht="17.25" x14ac:dyDescent="0.3">
      <c r="A1940" s="36"/>
      <c r="B1940" s="37"/>
      <c r="C1940" s="37"/>
      <c r="D1940" s="37"/>
    </row>
    <row r="1941" spans="1:4" ht="17.25" x14ac:dyDescent="0.3">
      <c r="A1941" s="36"/>
      <c r="B1941" s="37"/>
      <c r="C1941" s="37"/>
      <c r="D1941" s="37"/>
    </row>
    <row r="1942" spans="1:4" ht="17.25" x14ac:dyDescent="0.3">
      <c r="A1942" s="36"/>
      <c r="B1942" s="37"/>
      <c r="C1942" s="37"/>
      <c r="D1942" s="37"/>
    </row>
    <row r="1943" spans="1:4" ht="17.25" x14ac:dyDescent="0.3">
      <c r="A1943" s="36"/>
      <c r="B1943" s="37"/>
      <c r="C1943" s="37"/>
      <c r="D1943" s="37"/>
    </row>
    <row r="1944" spans="1:4" ht="17.25" x14ac:dyDescent="0.3">
      <c r="A1944" s="36"/>
      <c r="B1944" s="37"/>
      <c r="C1944" s="37"/>
      <c r="D1944" s="37"/>
    </row>
    <row r="1945" spans="1:4" ht="17.25" x14ac:dyDescent="0.3">
      <c r="A1945" s="36"/>
      <c r="B1945" s="37"/>
      <c r="C1945" s="37"/>
      <c r="D1945" s="37"/>
    </row>
    <row r="1946" spans="1:4" ht="17.25" x14ac:dyDescent="0.3">
      <c r="A1946" s="36"/>
      <c r="B1946" s="37"/>
      <c r="C1946" s="37"/>
      <c r="D1946" s="37"/>
    </row>
    <row r="1947" spans="1:4" ht="17.25" x14ac:dyDescent="0.3">
      <c r="A1947" s="36"/>
      <c r="B1947" s="37"/>
      <c r="C1947" s="37"/>
      <c r="D1947" s="37"/>
    </row>
    <row r="1948" spans="1:4" ht="17.25" x14ac:dyDescent="0.3">
      <c r="A1948" s="36"/>
      <c r="B1948" s="37"/>
      <c r="C1948" s="37"/>
      <c r="D1948" s="37"/>
    </row>
    <row r="1949" spans="1:4" ht="17.25" x14ac:dyDescent="0.3">
      <c r="A1949" s="36"/>
      <c r="B1949" s="37"/>
      <c r="C1949" s="37"/>
      <c r="D1949" s="37"/>
    </row>
    <row r="1950" spans="1:4" ht="17.25" x14ac:dyDescent="0.3">
      <c r="A1950" s="36"/>
      <c r="B1950" s="37"/>
      <c r="C1950" s="37"/>
      <c r="D1950" s="37"/>
    </row>
    <row r="1951" spans="1:4" ht="17.25" x14ac:dyDescent="0.3">
      <c r="A1951" s="36"/>
      <c r="B1951" s="37"/>
      <c r="C1951" s="37"/>
      <c r="D1951" s="37"/>
    </row>
    <row r="1952" spans="1:4" ht="17.25" x14ac:dyDescent="0.3">
      <c r="A1952" s="36"/>
      <c r="B1952" s="37"/>
      <c r="C1952" s="37"/>
      <c r="D1952" s="37"/>
    </row>
    <row r="1953" spans="1:4" ht="17.25" x14ac:dyDescent="0.3">
      <c r="A1953" s="36"/>
      <c r="B1953" s="37"/>
      <c r="C1953" s="37"/>
      <c r="D1953" s="37"/>
    </row>
    <row r="1954" spans="1:4" ht="17.25" x14ac:dyDescent="0.3">
      <c r="A1954" s="36"/>
      <c r="B1954" s="37"/>
      <c r="C1954" s="37"/>
      <c r="D1954" s="37"/>
    </row>
    <row r="1955" spans="1:4" ht="17.25" x14ac:dyDescent="0.3">
      <c r="A1955" s="36"/>
      <c r="B1955" s="37"/>
      <c r="C1955" s="37"/>
      <c r="D1955" s="37"/>
    </row>
    <row r="1956" spans="1:4" ht="17.25" x14ac:dyDescent="0.3">
      <c r="A1956" s="36"/>
      <c r="B1956" s="37"/>
      <c r="C1956" s="37"/>
      <c r="D1956" s="37"/>
    </row>
    <row r="1957" spans="1:4" ht="17.25" x14ac:dyDescent="0.3">
      <c r="A1957" s="36"/>
      <c r="B1957" s="37"/>
      <c r="C1957" s="37"/>
      <c r="D1957" s="37"/>
    </row>
    <row r="1958" spans="1:4" ht="17.25" x14ac:dyDescent="0.3">
      <c r="A1958" s="36"/>
      <c r="B1958" s="37"/>
      <c r="C1958" s="37"/>
      <c r="D1958" s="37"/>
    </row>
    <row r="1959" spans="1:4" ht="17.25" x14ac:dyDescent="0.3">
      <c r="A1959" s="36"/>
      <c r="B1959" s="37"/>
      <c r="C1959" s="37"/>
      <c r="D1959" s="37"/>
    </row>
    <row r="1960" spans="1:4" ht="17.25" x14ac:dyDescent="0.3">
      <c r="A1960" s="36"/>
      <c r="B1960" s="37"/>
      <c r="C1960" s="37"/>
      <c r="D1960" s="37"/>
    </row>
    <row r="1961" spans="1:4" ht="17.25" x14ac:dyDescent="0.3">
      <c r="A1961" s="36"/>
      <c r="B1961" s="37"/>
      <c r="C1961" s="37"/>
      <c r="D1961" s="37"/>
    </row>
    <row r="1962" spans="1:4" ht="17.25" x14ac:dyDescent="0.3">
      <c r="A1962" s="36"/>
      <c r="B1962" s="37"/>
      <c r="C1962" s="37"/>
      <c r="D1962" s="37"/>
    </row>
    <row r="1963" spans="1:4" ht="17.25" x14ac:dyDescent="0.3">
      <c r="A1963" s="36"/>
      <c r="B1963" s="37"/>
      <c r="C1963" s="37"/>
      <c r="D1963" s="37"/>
    </row>
    <row r="1964" spans="1:4" ht="17.25" x14ac:dyDescent="0.3">
      <c r="A1964" s="36"/>
      <c r="B1964" s="37"/>
      <c r="C1964" s="37"/>
      <c r="D1964" s="37"/>
    </row>
    <row r="1965" spans="1:4" ht="17.25" x14ac:dyDescent="0.3">
      <c r="A1965" s="36"/>
      <c r="B1965" s="37"/>
      <c r="C1965" s="37"/>
      <c r="D1965" s="37"/>
    </row>
    <row r="1966" spans="1:4" ht="17.25" x14ac:dyDescent="0.3">
      <c r="A1966" s="36"/>
      <c r="B1966" s="37"/>
      <c r="C1966" s="37"/>
      <c r="D1966" s="37"/>
    </row>
    <row r="1967" spans="1:4" ht="17.25" x14ac:dyDescent="0.3">
      <c r="A1967" s="36"/>
      <c r="B1967" s="37"/>
      <c r="C1967" s="37"/>
      <c r="D1967" s="37"/>
    </row>
    <row r="1968" spans="1:4" ht="17.25" x14ac:dyDescent="0.3">
      <c r="A1968" s="36"/>
      <c r="B1968" s="37"/>
      <c r="C1968" s="37"/>
      <c r="D1968" s="37"/>
    </row>
    <row r="1969" spans="1:4" ht="17.25" x14ac:dyDescent="0.3">
      <c r="A1969" s="36"/>
      <c r="B1969" s="37"/>
      <c r="C1969" s="37"/>
      <c r="D1969" s="37"/>
    </row>
    <row r="1970" spans="1:4" ht="17.25" x14ac:dyDescent="0.3">
      <c r="A1970" s="36"/>
      <c r="B1970" s="37"/>
      <c r="C1970" s="37"/>
      <c r="D1970" s="37"/>
    </row>
    <row r="1971" spans="1:4" ht="17.25" x14ac:dyDescent="0.3">
      <c r="A1971" s="36"/>
      <c r="B1971" s="37"/>
      <c r="C1971" s="37"/>
      <c r="D1971" s="37"/>
    </row>
    <row r="1972" spans="1:4" ht="17.25" x14ac:dyDescent="0.3">
      <c r="A1972" s="36"/>
      <c r="B1972" s="37"/>
      <c r="C1972" s="37"/>
      <c r="D1972" s="37"/>
    </row>
    <row r="1973" spans="1:4" ht="17.25" x14ac:dyDescent="0.3">
      <c r="A1973" s="36"/>
      <c r="B1973" s="37"/>
      <c r="C1973" s="37"/>
      <c r="D1973" s="37"/>
    </row>
    <row r="1974" spans="1:4" ht="17.25" x14ac:dyDescent="0.3">
      <c r="A1974" s="36"/>
      <c r="B1974" s="37"/>
      <c r="C1974" s="37"/>
      <c r="D1974" s="37"/>
    </row>
    <row r="1975" spans="1:4" ht="17.25" x14ac:dyDescent="0.3">
      <c r="A1975" s="36"/>
      <c r="B1975" s="37"/>
      <c r="C1975" s="37"/>
      <c r="D1975" s="37"/>
    </row>
    <row r="1976" spans="1:4" ht="17.25" x14ac:dyDescent="0.3">
      <c r="A1976" s="36"/>
      <c r="B1976" s="37"/>
      <c r="C1976" s="37"/>
      <c r="D1976" s="37"/>
    </row>
    <row r="1977" spans="1:4" ht="17.25" x14ac:dyDescent="0.3">
      <c r="A1977" s="36"/>
      <c r="B1977" s="37"/>
      <c r="C1977" s="37"/>
      <c r="D1977" s="37"/>
    </row>
    <row r="1978" spans="1:4" ht="17.25" x14ac:dyDescent="0.3">
      <c r="A1978" s="36"/>
      <c r="B1978" s="37"/>
      <c r="C1978" s="37"/>
      <c r="D1978" s="37"/>
    </row>
    <row r="1979" spans="1:4" ht="17.25" x14ac:dyDescent="0.3">
      <c r="A1979" s="36"/>
      <c r="B1979" s="37"/>
      <c r="C1979" s="37"/>
      <c r="D1979" s="37"/>
    </row>
    <row r="1980" spans="1:4" ht="17.25" x14ac:dyDescent="0.3">
      <c r="A1980" s="36"/>
      <c r="B1980" s="37"/>
      <c r="C1980" s="37"/>
      <c r="D1980" s="37"/>
    </row>
    <row r="1981" spans="1:4" ht="17.25" x14ac:dyDescent="0.3">
      <c r="A1981" s="36"/>
      <c r="B1981" s="37"/>
      <c r="C1981" s="37"/>
      <c r="D1981" s="37"/>
    </row>
    <row r="1982" spans="1:4" ht="17.25" x14ac:dyDescent="0.3">
      <c r="A1982" s="36"/>
      <c r="B1982" s="37"/>
      <c r="C1982" s="37"/>
      <c r="D1982" s="37"/>
    </row>
    <row r="1983" spans="1:4" ht="17.25" x14ac:dyDescent="0.3">
      <c r="A1983" s="36"/>
      <c r="B1983" s="37"/>
      <c r="C1983" s="37"/>
      <c r="D1983" s="37"/>
    </row>
    <row r="1984" spans="1:4" ht="17.25" x14ac:dyDescent="0.3">
      <c r="A1984" s="36"/>
      <c r="B1984" s="37"/>
      <c r="C1984" s="37"/>
      <c r="D1984" s="37"/>
    </row>
    <row r="1985" spans="1:4" ht="17.25" x14ac:dyDescent="0.3">
      <c r="A1985" s="36"/>
      <c r="B1985" s="37"/>
      <c r="C1985" s="37"/>
      <c r="D1985" s="37"/>
    </row>
    <row r="1986" spans="1:4" ht="17.25" x14ac:dyDescent="0.3">
      <c r="A1986" s="36"/>
      <c r="B1986" s="37"/>
      <c r="C1986" s="37"/>
      <c r="D1986" s="37"/>
    </row>
    <row r="1987" spans="1:4" ht="17.25" x14ac:dyDescent="0.3">
      <c r="A1987" s="36"/>
      <c r="B1987" s="37"/>
      <c r="C1987" s="37"/>
      <c r="D1987" s="37"/>
    </row>
    <row r="1988" spans="1:4" ht="17.25" x14ac:dyDescent="0.3">
      <c r="A1988" s="36"/>
      <c r="B1988" s="37"/>
      <c r="C1988" s="37"/>
      <c r="D1988" s="37"/>
    </row>
    <row r="1989" spans="1:4" ht="17.25" x14ac:dyDescent="0.3">
      <c r="A1989" s="36"/>
      <c r="B1989" s="37"/>
      <c r="C1989" s="37"/>
      <c r="D1989" s="37"/>
    </row>
    <row r="1990" spans="1:4" ht="17.25" x14ac:dyDescent="0.3">
      <c r="A1990" s="36"/>
      <c r="B1990" s="37"/>
      <c r="C1990" s="37"/>
      <c r="D1990" s="37"/>
    </row>
    <row r="1991" spans="1:4" ht="17.25" x14ac:dyDescent="0.3">
      <c r="A1991" s="36"/>
      <c r="B1991" s="37"/>
      <c r="C1991" s="37"/>
      <c r="D1991" s="37"/>
    </row>
    <row r="1992" spans="1:4" ht="17.25" x14ac:dyDescent="0.3">
      <c r="A1992" s="36"/>
      <c r="B1992" s="37"/>
      <c r="C1992" s="37"/>
      <c r="D1992" s="37"/>
    </row>
    <row r="1993" spans="1:4" ht="17.25" x14ac:dyDescent="0.3">
      <c r="A1993" s="36"/>
      <c r="B1993" s="37"/>
      <c r="C1993" s="37"/>
      <c r="D1993" s="37"/>
    </row>
    <row r="1994" spans="1:4" ht="17.25" x14ac:dyDescent="0.3">
      <c r="A1994" s="36"/>
      <c r="B1994" s="37"/>
      <c r="C1994" s="37"/>
      <c r="D1994" s="37"/>
    </row>
    <row r="1995" spans="1:4" ht="17.25" x14ac:dyDescent="0.3">
      <c r="A1995" s="36"/>
      <c r="B1995" s="37"/>
      <c r="C1995" s="37"/>
      <c r="D1995" s="37"/>
    </row>
    <row r="1996" spans="1:4" ht="17.25" x14ac:dyDescent="0.3">
      <c r="A1996" s="36"/>
      <c r="B1996" s="37"/>
      <c r="C1996" s="37"/>
      <c r="D1996" s="37"/>
    </row>
    <row r="1997" spans="1:4" ht="17.25" x14ac:dyDescent="0.3">
      <c r="A1997" s="36"/>
      <c r="B1997" s="37"/>
      <c r="C1997" s="37"/>
      <c r="D1997" s="37"/>
    </row>
    <row r="1998" spans="1:4" ht="17.25" x14ac:dyDescent="0.3">
      <c r="A1998" s="36"/>
      <c r="B1998" s="37"/>
      <c r="C1998" s="37"/>
      <c r="D1998" s="37"/>
    </row>
    <row r="1999" spans="1:4" ht="17.25" x14ac:dyDescent="0.3">
      <c r="A1999" s="36"/>
      <c r="B1999" s="37"/>
      <c r="C1999" s="37"/>
      <c r="D1999" s="37"/>
    </row>
    <row r="2000" spans="1:4" ht="17.25" x14ac:dyDescent="0.3">
      <c r="A2000" s="36"/>
      <c r="B2000" s="37"/>
      <c r="C2000" s="37"/>
      <c r="D2000" s="37"/>
    </row>
    <row r="2001" spans="1:4" ht="17.25" x14ac:dyDescent="0.3">
      <c r="A2001" s="36"/>
      <c r="B2001" s="37"/>
      <c r="C2001" s="37"/>
      <c r="D2001" s="37"/>
    </row>
    <row r="2002" spans="1:4" ht="17.25" x14ac:dyDescent="0.3">
      <c r="A2002" s="36"/>
      <c r="B2002" s="37"/>
      <c r="C2002" s="37"/>
      <c r="D2002" s="37"/>
    </row>
    <row r="2003" spans="1:4" ht="17.25" x14ac:dyDescent="0.3">
      <c r="A2003" s="36"/>
      <c r="B2003" s="37"/>
      <c r="C2003" s="37"/>
      <c r="D2003" s="37"/>
    </row>
    <row r="2004" spans="1:4" ht="17.25" x14ac:dyDescent="0.3">
      <c r="A2004" s="36"/>
      <c r="B2004" s="37"/>
      <c r="C2004" s="37"/>
      <c r="D2004" s="37"/>
    </row>
    <row r="2005" spans="1:4" ht="17.25" x14ac:dyDescent="0.3">
      <c r="A2005" s="36"/>
      <c r="B2005" s="37"/>
      <c r="C2005" s="37"/>
      <c r="D2005" s="37"/>
    </row>
    <row r="2006" spans="1:4" ht="17.25" x14ac:dyDescent="0.3">
      <c r="A2006" s="36"/>
      <c r="B2006" s="37"/>
      <c r="C2006" s="37"/>
      <c r="D2006" s="37"/>
    </row>
    <row r="2007" spans="1:4" ht="17.25" x14ac:dyDescent="0.3">
      <c r="A2007" s="36"/>
      <c r="B2007" s="37"/>
      <c r="C2007" s="37"/>
      <c r="D2007" s="37"/>
    </row>
    <row r="2008" spans="1:4" ht="17.25" x14ac:dyDescent="0.3">
      <c r="A2008" s="36"/>
      <c r="B2008" s="37"/>
      <c r="C2008" s="37"/>
      <c r="D2008" s="37"/>
    </row>
    <row r="2009" spans="1:4" ht="17.25" x14ac:dyDescent="0.3">
      <c r="A2009" s="36"/>
      <c r="B2009" s="37"/>
      <c r="C2009" s="37"/>
      <c r="D2009" s="37"/>
    </row>
    <row r="2010" spans="1:4" ht="17.25" x14ac:dyDescent="0.3">
      <c r="A2010" s="36"/>
      <c r="B2010" s="37"/>
      <c r="C2010" s="37"/>
      <c r="D2010" s="37"/>
    </row>
    <row r="2011" spans="1:4" ht="17.25" x14ac:dyDescent="0.3">
      <c r="A2011" s="36"/>
      <c r="B2011" s="37"/>
      <c r="C2011" s="37"/>
      <c r="D2011" s="37"/>
    </row>
    <row r="2012" spans="1:4" ht="17.25" x14ac:dyDescent="0.3">
      <c r="A2012" s="36"/>
      <c r="B2012" s="37"/>
      <c r="C2012" s="37"/>
      <c r="D2012" s="37"/>
    </row>
    <row r="2013" spans="1:4" ht="17.25" x14ac:dyDescent="0.3">
      <c r="A2013" s="36"/>
      <c r="B2013" s="37"/>
      <c r="C2013" s="37"/>
      <c r="D2013" s="37"/>
    </row>
    <row r="2014" spans="1:4" ht="17.25" x14ac:dyDescent="0.3">
      <c r="A2014" s="36"/>
      <c r="B2014" s="37"/>
      <c r="C2014" s="37"/>
      <c r="D2014" s="37"/>
    </row>
    <row r="2015" spans="1:4" ht="17.25" x14ac:dyDescent="0.3">
      <c r="A2015" s="36"/>
      <c r="B2015" s="37"/>
      <c r="C2015" s="37"/>
      <c r="D2015" s="37"/>
    </row>
    <row r="2016" spans="1:4" ht="17.25" x14ac:dyDescent="0.3">
      <c r="A2016" s="36"/>
      <c r="B2016" s="37"/>
      <c r="C2016" s="37"/>
      <c r="D2016" s="37"/>
    </row>
    <row r="2017" spans="1:4" ht="17.25" x14ac:dyDescent="0.3">
      <c r="A2017" s="36"/>
      <c r="B2017" s="37"/>
      <c r="C2017" s="37"/>
      <c r="D2017" s="37"/>
    </row>
    <row r="2018" spans="1:4" ht="17.25" x14ac:dyDescent="0.3">
      <c r="A2018" s="36"/>
      <c r="B2018" s="37"/>
      <c r="C2018" s="37"/>
      <c r="D2018" s="37"/>
    </row>
    <row r="2019" spans="1:4" ht="17.25" x14ac:dyDescent="0.3">
      <c r="A2019" s="36"/>
      <c r="B2019" s="37"/>
      <c r="C2019" s="37"/>
      <c r="D2019" s="37"/>
    </row>
    <row r="2020" spans="1:4" ht="17.25" x14ac:dyDescent="0.3">
      <c r="A2020" s="36"/>
      <c r="B2020" s="37"/>
      <c r="C2020" s="37"/>
      <c r="D2020" s="37"/>
    </row>
    <row r="2021" spans="1:4" ht="17.25" x14ac:dyDescent="0.3">
      <c r="A2021" s="36"/>
      <c r="B2021" s="37"/>
      <c r="C2021" s="37"/>
      <c r="D2021" s="37"/>
    </row>
    <row r="2022" spans="1:4" ht="17.25" x14ac:dyDescent="0.3">
      <c r="A2022" s="36"/>
      <c r="B2022" s="37"/>
      <c r="C2022" s="37"/>
      <c r="D2022" s="37"/>
    </row>
    <row r="2023" spans="1:4" ht="17.25" x14ac:dyDescent="0.3">
      <c r="A2023" s="36"/>
      <c r="B2023" s="37"/>
      <c r="C2023" s="37"/>
      <c r="D2023" s="37"/>
    </row>
    <row r="2024" spans="1:4" ht="17.25" x14ac:dyDescent="0.3">
      <c r="A2024" s="36"/>
      <c r="B2024" s="37"/>
      <c r="C2024" s="37"/>
      <c r="D2024" s="37"/>
    </row>
    <row r="2025" spans="1:4" ht="17.25" x14ac:dyDescent="0.3">
      <c r="A2025" s="36"/>
      <c r="B2025" s="37"/>
      <c r="C2025" s="37"/>
      <c r="D2025" s="37"/>
    </row>
    <row r="2026" spans="1:4" ht="17.25" x14ac:dyDescent="0.3">
      <c r="A2026" s="36"/>
      <c r="B2026" s="37"/>
      <c r="C2026" s="37"/>
      <c r="D2026" s="37"/>
    </row>
    <row r="2027" spans="1:4" ht="17.25" x14ac:dyDescent="0.3">
      <c r="A2027" s="36"/>
      <c r="B2027" s="37"/>
      <c r="C2027" s="37"/>
      <c r="D2027" s="37"/>
    </row>
    <row r="2028" spans="1:4" ht="17.25" x14ac:dyDescent="0.3">
      <c r="A2028" s="36"/>
      <c r="B2028" s="37"/>
      <c r="C2028" s="37"/>
      <c r="D2028" s="37"/>
    </row>
    <row r="2029" spans="1:4" ht="17.25" x14ac:dyDescent="0.3">
      <c r="A2029" s="36"/>
      <c r="B2029" s="37"/>
      <c r="C2029" s="37"/>
      <c r="D2029" s="37"/>
    </row>
    <row r="2030" spans="1:4" ht="17.25" x14ac:dyDescent="0.3">
      <c r="A2030" s="36"/>
      <c r="B2030" s="37"/>
      <c r="C2030" s="37"/>
      <c r="D2030" s="37"/>
    </row>
    <row r="2031" spans="1:4" ht="17.25" x14ac:dyDescent="0.3">
      <c r="A2031" s="36"/>
      <c r="B2031" s="37"/>
      <c r="C2031" s="37"/>
      <c r="D2031" s="37"/>
    </row>
    <row r="2032" spans="1:4" ht="17.25" x14ac:dyDescent="0.3">
      <c r="A2032" s="36"/>
      <c r="B2032" s="37"/>
      <c r="C2032" s="37"/>
      <c r="D2032" s="37"/>
    </row>
    <row r="2033" spans="1:4" ht="17.25" x14ac:dyDescent="0.3">
      <c r="A2033" s="36"/>
      <c r="B2033" s="37"/>
      <c r="C2033" s="37"/>
      <c r="D2033" s="37"/>
    </row>
    <row r="2034" spans="1:4" ht="17.25" x14ac:dyDescent="0.3">
      <c r="A2034" s="36"/>
      <c r="B2034" s="37"/>
      <c r="C2034" s="37"/>
      <c r="D2034" s="37"/>
    </row>
    <row r="2035" spans="1:4" ht="17.25" x14ac:dyDescent="0.3">
      <c r="A2035" s="36"/>
      <c r="B2035" s="37"/>
      <c r="C2035" s="37"/>
      <c r="D2035" s="37"/>
    </row>
    <row r="2036" spans="1:4" ht="17.25" x14ac:dyDescent="0.3">
      <c r="A2036" s="36"/>
      <c r="B2036" s="37"/>
      <c r="C2036" s="37"/>
      <c r="D2036" s="37"/>
    </row>
    <row r="2037" spans="1:4" ht="17.25" x14ac:dyDescent="0.3">
      <c r="A2037" s="36"/>
      <c r="B2037" s="37"/>
      <c r="C2037" s="37"/>
      <c r="D2037" s="37"/>
    </row>
    <row r="2038" spans="1:4" ht="17.25" x14ac:dyDescent="0.3">
      <c r="A2038" s="36"/>
      <c r="B2038" s="37"/>
      <c r="C2038" s="37"/>
      <c r="D2038" s="37"/>
    </row>
    <row r="2039" spans="1:4" ht="17.25" x14ac:dyDescent="0.3">
      <c r="A2039" s="36"/>
      <c r="B2039" s="37"/>
      <c r="C2039" s="37"/>
      <c r="D2039" s="37"/>
    </row>
    <row r="2040" spans="1:4" ht="17.25" x14ac:dyDescent="0.3">
      <c r="A2040" s="36"/>
      <c r="B2040" s="37"/>
      <c r="C2040" s="37"/>
      <c r="D2040" s="37"/>
    </row>
    <row r="2041" spans="1:4" ht="17.25" x14ac:dyDescent="0.3">
      <c r="A2041" s="36"/>
      <c r="B2041" s="37"/>
      <c r="C2041" s="37"/>
      <c r="D2041" s="37"/>
    </row>
    <row r="2042" spans="1:4" ht="17.25" x14ac:dyDescent="0.3">
      <c r="A2042" s="36"/>
      <c r="B2042" s="37"/>
      <c r="C2042" s="37"/>
      <c r="D2042" s="37"/>
    </row>
    <row r="2043" spans="1:4" ht="17.25" x14ac:dyDescent="0.3">
      <c r="A2043" s="36"/>
      <c r="B2043" s="37"/>
      <c r="C2043" s="37"/>
      <c r="D2043" s="37"/>
    </row>
    <row r="2044" spans="1:4" ht="17.25" x14ac:dyDescent="0.3">
      <c r="A2044" s="36"/>
      <c r="B2044" s="37"/>
      <c r="C2044" s="37"/>
      <c r="D2044" s="37"/>
    </row>
    <row r="2045" spans="1:4" ht="17.25" x14ac:dyDescent="0.3">
      <c r="A2045" s="36"/>
      <c r="B2045" s="37"/>
      <c r="C2045" s="37"/>
      <c r="D2045" s="37"/>
    </row>
    <row r="2046" spans="1:4" ht="17.25" x14ac:dyDescent="0.3">
      <c r="A2046" s="36"/>
      <c r="B2046" s="37"/>
      <c r="C2046" s="37"/>
      <c r="D2046" s="37"/>
    </row>
    <row r="2047" spans="1:4" ht="17.25" x14ac:dyDescent="0.3">
      <c r="A2047" s="36"/>
      <c r="B2047" s="37"/>
      <c r="C2047" s="37"/>
      <c r="D2047" s="37"/>
    </row>
    <row r="2048" spans="1:4" ht="17.25" x14ac:dyDescent="0.3">
      <c r="A2048" s="36"/>
      <c r="B2048" s="37"/>
      <c r="C2048" s="37"/>
      <c r="D2048" s="37"/>
    </row>
    <row r="2049" spans="1:4" ht="17.25" x14ac:dyDescent="0.3">
      <c r="A2049" s="36"/>
      <c r="B2049" s="37"/>
      <c r="C2049" s="37"/>
      <c r="D2049" s="37"/>
    </row>
    <row r="2050" spans="1:4" ht="17.25" x14ac:dyDescent="0.3">
      <c r="A2050" s="36"/>
      <c r="B2050" s="37"/>
      <c r="C2050" s="37"/>
      <c r="D2050" s="37"/>
    </row>
    <row r="2051" spans="1:4" ht="17.25" x14ac:dyDescent="0.3">
      <c r="A2051" s="36"/>
      <c r="B2051" s="37"/>
      <c r="C2051" s="37"/>
      <c r="D2051" s="37"/>
    </row>
    <row r="2052" spans="1:4" ht="17.25" x14ac:dyDescent="0.3">
      <c r="A2052" s="36"/>
      <c r="B2052" s="37"/>
      <c r="C2052" s="37"/>
      <c r="D2052" s="37"/>
    </row>
    <row r="2053" spans="1:4" ht="17.25" x14ac:dyDescent="0.3">
      <c r="A2053" s="36"/>
      <c r="B2053" s="37"/>
      <c r="C2053" s="37"/>
      <c r="D2053" s="37"/>
    </row>
    <row r="2054" spans="1:4" ht="17.25" x14ac:dyDescent="0.3">
      <c r="A2054" s="36"/>
      <c r="B2054" s="37"/>
      <c r="C2054" s="37"/>
      <c r="D2054" s="37"/>
    </row>
    <row r="2055" spans="1:4" ht="17.25" x14ac:dyDescent="0.3">
      <c r="A2055" s="36"/>
      <c r="B2055" s="37"/>
      <c r="C2055" s="37"/>
      <c r="D2055" s="37"/>
    </row>
    <row r="2056" spans="1:4" ht="17.25" x14ac:dyDescent="0.3">
      <c r="A2056" s="36"/>
      <c r="B2056" s="37"/>
      <c r="C2056" s="37"/>
      <c r="D2056" s="37"/>
    </row>
    <row r="2057" spans="1:4" ht="17.25" x14ac:dyDescent="0.3">
      <c r="A2057" s="36"/>
      <c r="B2057" s="37"/>
      <c r="C2057" s="37"/>
      <c r="D2057" s="37"/>
    </row>
    <row r="2058" spans="1:4" ht="17.25" x14ac:dyDescent="0.3">
      <c r="A2058" s="36"/>
      <c r="B2058" s="37"/>
      <c r="C2058" s="37"/>
      <c r="D2058" s="37"/>
    </row>
    <row r="2059" spans="1:4" ht="17.25" x14ac:dyDescent="0.3">
      <c r="A2059" s="36"/>
      <c r="B2059" s="37"/>
      <c r="C2059" s="37"/>
      <c r="D2059" s="37"/>
    </row>
    <row r="2060" spans="1:4" ht="17.25" x14ac:dyDescent="0.3">
      <c r="A2060" s="36"/>
      <c r="B2060" s="37"/>
      <c r="C2060" s="37"/>
      <c r="D2060" s="37"/>
    </row>
    <row r="2061" spans="1:4" ht="17.25" x14ac:dyDescent="0.3">
      <c r="A2061" s="36"/>
      <c r="B2061" s="37"/>
      <c r="C2061" s="37"/>
      <c r="D2061" s="37"/>
    </row>
    <row r="2062" spans="1:4" ht="17.25" x14ac:dyDescent="0.3">
      <c r="A2062" s="36"/>
      <c r="B2062" s="37"/>
      <c r="C2062" s="37"/>
      <c r="D2062" s="37"/>
    </row>
    <row r="2063" spans="1:4" ht="17.25" x14ac:dyDescent="0.3">
      <c r="A2063" s="36"/>
      <c r="B2063" s="37"/>
      <c r="C2063" s="37"/>
      <c r="D2063" s="37"/>
    </row>
    <row r="2064" spans="1:4" ht="17.25" x14ac:dyDescent="0.3">
      <c r="A2064" s="36"/>
      <c r="B2064" s="37"/>
      <c r="C2064" s="37"/>
      <c r="D2064" s="37"/>
    </row>
    <row r="2065" spans="1:4" ht="17.25" x14ac:dyDescent="0.3">
      <c r="A2065" s="36"/>
      <c r="B2065" s="37"/>
      <c r="C2065" s="37"/>
      <c r="D2065" s="37"/>
    </row>
    <row r="2066" spans="1:4" ht="17.25" x14ac:dyDescent="0.3">
      <c r="A2066" s="36"/>
      <c r="B2066" s="37"/>
      <c r="C2066" s="37"/>
      <c r="D2066" s="37"/>
    </row>
    <row r="2067" spans="1:4" ht="17.25" x14ac:dyDescent="0.3">
      <c r="A2067" s="36"/>
      <c r="B2067" s="37"/>
      <c r="C2067" s="37"/>
      <c r="D2067" s="37"/>
    </row>
    <row r="2068" spans="1:4" ht="17.25" x14ac:dyDescent="0.3">
      <c r="A2068" s="36"/>
      <c r="B2068" s="37"/>
      <c r="C2068" s="37"/>
      <c r="D2068" s="37"/>
    </row>
    <row r="2069" spans="1:4" ht="17.25" x14ac:dyDescent="0.3">
      <c r="A2069" s="36"/>
      <c r="B2069" s="37"/>
      <c r="C2069" s="37"/>
      <c r="D2069" s="37"/>
    </row>
    <row r="2070" spans="1:4" ht="17.25" x14ac:dyDescent="0.3">
      <c r="A2070" s="36"/>
      <c r="B2070" s="37"/>
      <c r="C2070" s="37"/>
      <c r="D2070" s="37"/>
    </row>
    <row r="2071" spans="1:4" ht="17.25" x14ac:dyDescent="0.3">
      <c r="A2071" s="36"/>
      <c r="B2071" s="37"/>
      <c r="C2071" s="37"/>
      <c r="D2071" s="37"/>
    </row>
    <row r="2072" spans="1:4" ht="17.25" x14ac:dyDescent="0.3">
      <c r="A2072" s="36"/>
      <c r="B2072" s="37"/>
      <c r="C2072" s="37"/>
      <c r="D2072" s="37"/>
    </row>
    <row r="2073" spans="1:4" ht="17.25" x14ac:dyDescent="0.3">
      <c r="A2073" s="36"/>
      <c r="B2073" s="37"/>
      <c r="C2073" s="37"/>
      <c r="D2073" s="37"/>
    </row>
    <row r="2074" spans="1:4" ht="17.25" x14ac:dyDescent="0.3">
      <c r="A2074" s="36"/>
      <c r="B2074" s="37"/>
      <c r="C2074" s="37"/>
      <c r="D2074" s="37"/>
    </row>
    <row r="2075" spans="1:4" ht="17.25" x14ac:dyDescent="0.3">
      <c r="A2075" s="36"/>
      <c r="B2075" s="37"/>
      <c r="C2075" s="37"/>
      <c r="D2075" s="37"/>
    </row>
    <row r="2076" spans="1:4" ht="17.25" x14ac:dyDescent="0.3">
      <c r="A2076" s="36"/>
      <c r="B2076" s="37"/>
      <c r="C2076" s="37"/>
      <c r="D2076" s="37"/>
    </row>
    <row r="2077" spans="1:4" ht="17.25" x14ac:dyDescent="0.3">
      <c r="A2077" s="36"/>
      <c r="B2077" s="37"/>
      <c r="C2077" s="37"/>
      <c r="D2077" s="37"/>
    </row>
    <row r="2078" spans="1:4" ht="17.25" x14ac:dyDescent="0.3">
      <c r="A2078" s="36"/>
      <c r="B2078" s="37"/>
      <c r="C2078" s="37"/>
      <c r="D2078" s="37"/>
    </row>
    <row r="2079" spans="1:4" ht="17.25" x14ac:dyDescent="0.3">
      <c r="A2079" s="36"/>
      <c r="B2079" s="37"/>
      <c r="C2079" s="37"/>
      <c r="D2079" s="37"/>
    </row>
    <row r="2080" spans="1:4" ht="17.25" x14ac:dyDescent="0.3">
      <c r="A2080" s="36"/>
      <c r="B2080" s="37"/>
      <c r="C2080" s="37"/>
      <c r="D2080" s="37"/>
    </row>
    <row r="2081" spans="1:4" ht="17.25" x14ac:dyDescent="0.3">
      <c r="A2081" s="36"/>
      <c r="B2081" s="37"/>
      <c r="C2081" s="37"/>
      <c r="D2081" s="37"/>
    </row>
    <row r="2082" spans="1:4" ht="17.25" x14ac:dyDescent="0.3">
      <c r="A2082" s="36"/>
      <c r="B2082" s="37"/>
      <c r="C2082" s="37"/>
      <c r="D2082" s="37"/>
    </row>
    <row r="2083" spans="1:4" ht="17.25" x14ac:dyDescent="0.3">
      <c r="A2083" s="36"/>
      <c r="B2083" s="37"/>
      <c r="C2083" s="37"/>
      <c r="D2083" s="37"/>
    </row>
    <row r="2084" spans="1:4" ht="17.25" x14ac:dyDescent="0.3">
      <c r="A2084" s="36"/>
      <c r="B2084" s="37"/>
      <c r="C2084" s="37"/>
      <c r="D2084" s="37"/>
    </row>
    <row r="2085" spans="1:4" ht="17.25" x14ac:dyDescent="0.3">
      <c r="A2085" s="36"/>
      <c r="B2085" s="37"/>
      <c r="C2085" s="37"/>
      <c r="D2085" s="37"/>
    </row>
    <row r="2086" spans="1:4" ht="17.25" x14ac:dyDescent="0.3">
      <c r="A2086" s="36"/>
      <c r="B2086" s="37"/>
      <c r="C2086" s="37"/>
      <c r="D2086" s="37"/>
    </row>
    <row r="2087" spans="1:4" ht="17.25" x14ac:dyDescent="0.3">
      <c r="A2087" s="36"/>
      <c r="B2087" s="37"/>
      <c r="C2087" s="37"/>
      <c r="D2087" s="37"/>
    </row>
    <row r="2088" spans="1:4" ht="17.25" x14ac:dyDescent="0.3">
      <c r="A2088" s="36"/>
      <c r="B2088" s="37"/>
      <c r="C2088" s="37"/>
      <c r="D2088" s="37"/>
    </row>
    <row r="2089" spans="1:4" ht="17.25" x14ac:dyDescent="0.3">
      <c r="A2089" s="36"/>
      <c r="B2089" s="37"/>
      <c r="C2089" s="37"/>
      <c r="D2089" s="37"/>
    </row>
    <row r="2090" spans="1:4" ht="17.25" x14ac:dyDescent="0.3">
      <c r="A2090" s="36"/>
      <c r="B2090" s="37"/>
      <c r="C2090" s="37"/>
      <c r="D2090" s="37"/>
    </row>
    <row r="2091" spans="1:4" ht="17.25" x14ac:dyDescent="0.3">
      <c r="A2091" s="36"/>
      <c r="B2091" s="37"/>
      <c r="C2091" s="37"/>
      <c r="D2091" s="37"/>
    </row>
    <row r="2092" spans="1:4" ht="17.25" x14ac:dyDescent="0.3">
      <c r="A2092" s="36"/>
      <c r="B2092" s="37"/>
      <c r="C2092" s="37"/>
      <c r="D2092" s="37"/>
    </row>
    <row r="2093" spans="1:4" ht="17.25" x14ac:dyDescent="0.3">
      <c r="A2093" s="36"/>
      <c r="B2093" s="37"/>
      <c r="C2093" s="37"/>
      <c r="D2093" s="37"/>
    </row>
    <row r="2094" spans="1:4" ht="17.25" x14ac:dyDescent="0.3">
      <c r="A2094" s="36"/>
      <c r="B2094" s="37"/>
      <c r="C2094" s="37"/>
      <c r="D2094" s="37"/>
    </row>
    <row r="2095" spans="1:4" ht="17.25" x14ac:dyDescent="0.3">
      <c r="A2095" s="36"/>
      <c r="B2095" s="37"/>
      <c r="C2095" s="37"/>
      <c r="D2095" s="37"/>
    </row>
    <row r="2096" spans="1:4" ht="17.25" x14ac:dyDescent="0.3">
      <c r="A2096" s="36"/>
      <c r="B2096" s="37"/>
      <c r="C2096" s="37"/>
      <c r="D2096" s="37"/>
    </row>
    <row r="2097" spans="1:4" ht="17.25" x14ac:dyDescent="0.3">
      <c r="A2097" s="36"/>
      <c r="B2097" s="37"/>
      <c r="C2097" s="37"/>
      <c r="D2097" s="37"/>
    </row>
    <row r="2098" spans="1:4" ht="17.25" x14ac:dyDescent="0.3">
      <c r="A2098" s="36"/>
      <c r="B2098" s="37"/>
      <c r="C2098" s="37"/>
      <c r="D2098" s="37"/>
    </row>
    <row r="2099" spans="1:4" ht="17.25" x14ac:dyDescent="0.3">
      <c r="A2099" s="36"/>
      <c r="B2099" s="37"/>
      <c r="C2099" s="37"/>
      <c r="D2099" s="37"/>
    </row>
    <row r="2100" spans="1:4" ht="17.25" x14ac:dyDescent="0.3">
      <c r="A2100" s="36"/>
      <c r="B2100" s="37"/>
      <c r="C2100" s="37"/>
      <c r="D2100" s="37"/>
    </row>
    <row r="2101" spans="1:4" ht="17.25" x14ac:dyDescent="0.3">
      <c r="A2101" s="36"/>
      <c r="B2101" s="37"/>
      <c r="C2101" s="37"/>
      <c r="D2101" s="37"/>
    </row>
    <row r="2102" spans="1:4" ht="17.25" x14ac:dyDescent="0.3">
      <c r="A2102" s="36"/>
      <c r="B2102" s="37"/>
      <c r="C2102" s="37"/>
      <c r="D2102" s="37"/>
    </row>
    <row r="2103" spans="1:4" ht="17.25" x14ac:dyDescent="0.3">
      <c r="A2103" s="36"/>
      <c r="B2103" s="37"/>
      <c r="C2103" s="37"/>
      <c r="D2103" s="37"/>
    </row>
    <row r="2104" spans="1:4" ht="17.25" x14ac:dyDescent="0.3">
      <c r="A2104" s="36"/>
      <c r="B2104" s="37"/>
      <c r="C2104" s="37"/>
      <c r="D2104" s="37"/>
    </row>
    <row r="2105" spans="1:4" ht="17.25" x14ac:dyDescent="0.3">
      <c r="A2105" s="36"/>
      <c r="B2105" s="37"/>
      <c r="C2105" s="37"/>
      <c r="D2105" s="37"/>
    </row>
    <row r="2106" spans="1:4" ht="17.25" x14ac:dyDescent="0.3">
      <c r="A2106" s="36"/>
      <c r="B2106" s="37"/>
      <c r="C2106" s="37"/>
      <c r="D2106" s="37"/>
    </row>
    <row r="2107" spans="1:4" ht="17.25" x14ac:dyDescent="0.3">
      <c r="A2107" s="36"/>
      <c r="B2107" s="37"/>
      <c r="C2107" s="37"/>
      <c r="D2107" s="37"/>
    </row>
    <row r="2108" spans="1:4" ht="17.25" x14ac:dyDescent="0.3">
      <c r="A2108" s="36"/>
      <c r="B2108" s="37"/>
      <c r="C2108" s="37"/>
      <c r="D2108" s="37"/>
    </row>
    <row r="2109" spans="1:4" ht="17.25" x14ac:dyDescent="0.3">
      <c r="A2109" s="36"/>
      <c r="B2109" s="37"/>
      <c r="C2109" s="37"/>
      <c r="D2109" s="37"/>
    </row>
    <row r="2110" spans="1:4" ht="17.25" x14ac:dyDescent="0.3">
      <c r="A2110" s="36"/>
      <c r="B2110" s="37"/>
      <c r="C2110" s="37"/>
      <c r="D2110" s="37"/>
    </row>
    <row r="2111" spans="1:4" ht="17.25" x14ac:dyDescent="0.3">
      <c r="A2111" s="36"/>
      <c r="B2111" s="37"/>
      <c r="C2111" s="37"/>
      <c r="D2111" s="37"/>
    </row>
    <row r="2112" spans="1:4" ht="17.25" x14ac:dyDescent="0.3">
      <c r="A2112" s="36"/>
      <c r="B2112" s="37"/>
      <c r="C2112" s="37"/>
      <c r="D2112" s="37"/>
    </row>
    <row r="2113" spans="1:4" ht="17.25" x14ac:dyDescent="0.3">
      <c r="A2113" s="36"/>
      <c r="B2113" s="37"/>
      <c r="C2113" s="37"/>
      <c r="D2113" s="37"/>
    </row>
    <row r="2114" spans="1:4" ht="17.25" x14ac:dyDescent="0.3">
      <c r="A2114" s="36"/>
      <c r="B2114" s="37"/>
      <c r="C2114" s="37"/>
      <c r="D2114" s="37"/>
    </row>
    <row r="2115" spans="1:4" ht="17.25" x14ac:dyDescent="0.3">
      <c r="A2115" s="36"/>
      <c r="B2115" s="37"/>
      <c r="C2115" s="37"/>
      <c r="D2115" s="37"/>
    </row>
    <row r="2116" spans="1:4" ht="17.25" x14ac:dyDescent="0.3">
      <c r="A2116" s="36"/>
      <c r="B2116" s="37"/>
      <c r="C2116" s="37"/>
      <c r="D2116" s="37"/>
    </row>
    <row r="2117" spans="1:4" ht="17.25" x14ac:dyDescent="0.3">
      <c r="A2117" s="36"/>
      <c r="B2117" s="37"/>
      <c r="C2117" s="37"/>
      <c r="D2117" s="37"/>
    </row>
    <row r="2118" spans="1:4" ht="17.25" x14ac:dyDescent="0.3">
      <c r="A2118" s="36"/>
      <c r="B2118" s="37"/>
      <c r="C2118" s="37"/>
      <c r="D2118" s="37"/>
    </row>
    <row r="2119" spans="1:4" ht="17.25" x14ac:dyDescent="0.3">
      <c r="A2119" s="36"/>
      <c r="B2119" s="37"/>
      <c r="C2119" s="37"/>
      <c r="D2119" s="37"/>
    </row>
    <row r="2120" spans="1:4" ht="17.25" x14ac:dyDescent="0.3">
      <c r="A2120" s="36"/>
      <c r="B2120" s="37"/>
      <c r="C2120" s="37"/>
      <c r="D2120" s="37"/>
    </row>
    <row r="2121" spans="1:4" ht="17.25" x14ac:dyDescent="0.3">
      <c r="A2121" s="36"/>
      <c r="B2121" s="37"/>
      <c r="C2121" s="37"/>
      <c r="D2121" s="37"/>
    </row>
    <row r="2122" spans="1:4" ht="17.25" x14ac:dyDescent="0.3">
      <c r="A2122" s="36"/>
      <c r="B2122" s="37"/>
      <c r="C2122" s="37"/>
      <c r="D2122" s="37"/>
    </row>
    <row r="2123" spans="1:4" ht="17.25" x14ac:dyDescent="0.3">
      <c r="A2123" s="36"/>
      <c r="B2123" s="37"/>
      <c r="C2123" s="37"/>
      <c r="D2123" s="37"/>
    </row>
    <row r="2124" spans="1:4" ht="17.25" x14ac:dyDescent="0.3">
      <c r="A2124" s="36"/>
      <c r="B2124" s="37"/>
      <c r="C2124" s="37"/>
      <c r="D2124" s="37"/>
    </row>
    <row r="2125" spans="1:4" ht="17.25" x14ac:dyDescent="0.3">
      <c r="A2125" s="36"/>
      <c r="B2125" s="37"/>
      <c r="C2125" s="37"/>
      <c r="D2125" s="37"/>
    </row>
    <row r="2126" spans="1:4" ht="17.25" x14ac:dyDescent="0.3">
      <c r="A2126" s="36"/>
      <c r="B2126" s="37"/>
      <c r="C2126" s="37"/>
      <c r="D2126" s="37"/>
    </row>
    <row r="2127" spans="1:4" ht="17.25" x14ac:dyDescent="0.3">
      <c r="A2127" s="36"/>
      <c r="B2127" s="37"/>
      <c r="C2127" s="37"/>
      <c r="D2127" s="37"/>
    </row>
    <row r="2128" spans="1:4" ht="17.25" x14ac:dyDescent="0.3">
      <c r="A2128" s="36"/>
      <c r="B2128" s="37"/>
      <c r="C2128" s="37"/>
      <c r="D2128" s="37"/>
    </row>
    <row r="2129" spans="1:4" ht="17.25" x14ac:dyDescent="0.3">
      <c r="A2129" s="36"/>
      <c r="B2129" s="37"/>
      <c r="C2129" s="37"/>
      <c r="D2129" s="37"/>
    </row>
    <row r="2130" spans="1:4" ht="17.25" x14ac:dyDescent="0.3">
      <c r="A2130" s="36"/>
      <c r="B2130" s="37"/>
      <c r="C2130" s="37"/>
      <c r="D2130" s="37"/>
    </row>
    <row r="2131" spans="1:4" ht="17.25" x14ac:dyDescent="0.3">
      <c r="A2131" s="36"/>
      <c r="B2131" s="37"/>
      <c r="C2131" s="37"/>
      <c r="D2131" s="37"/>
    </row>
    <row r="2132" spans="1:4" ht="17.25" x14ac:dyDescent="0.3">
      <c r="A2132" s="36"/>
      <c r="B2132" s="37"/>
      <c r="C2132" s="37"/>
      <c r="D2132" s="37"/>
    </row>
    <row r="2133" spans="1:4" ht="17.25" x14ac:dyDescent="0.3">
      <c r="A2133" s="36"/>
      <c r="B2133" s="37"/>
      <c r="C2133" s="37"/>
      <c r="D2133" s="37"/>
    </row>
    <row r="2134" spans="1:4" ht="17.25" x14ac:dyDescent="0.3">
      <c r="A2134" s="36"/>
      <c r="B2134" s="37"/>
      <c r="C2134" s="37"/>
      <c r="D2134" s="37"/>
    </row>
    <row r="2135" spans="1:4" ht="17.25" x14ac:dyDescent="0.3">
      <c r="A2135" s="36"/>
      <c r="B2135" s="37"/>
      <c r="C2135" s="37"/>
      <c r="D2135" s="37"/>
    </row>
    <row r="2136" spans="1:4" ht="17.25" x14ac:dyDescent="0.3">
      <c r="A2136" s="36"/>
      <c r="B2136" s="37"/>
      <c r="C2136" s="37"/>
      <c r="D2136" s="37"/>
    </row>
    <row r="2137" spans="1:4" ht="17.25" x14ac:dyDescent="0.3">
      <c r="A2137" s="36"/>
      <c r="B2137" s="37"/>
      <c r="C2137" s="37"/>
      <c r="D2137" s="37"/>
    </row>
    <row r="2138" spans="1:4" ht="17.25" x14ac:dyDescent="0.3">
      <c r="A2138" s="36"/>
      <c r="B2138" s="37"/>
      <c r="C2138" s="37"/>
      <c r="D2138" s="37"/>
    </row>
    <row r="2139" spans="1:4" ht="17.25" x14ac:dyDescent="0.3">
      <c r="A2139" s="36"/>
      <c r="B2139" s="37"/>
      <c r="C2139" s="37"/>
      <c r="D2139" s="37"/>
    </row>
    <row r="2140" spans="1:4" ht="17.25" x14ac:dyDescent="0.3">
      <c r="A2140" s="36"/>
      <c r="B2140" s="37"/>
      <c r="C2140" s="37"/>
      <c r="D2140" s="37"/>
    </row>
    <row r="2141" spans="1:4" ht="17.25" x14ac:dyDescent="0.3">
      <c r="A2141" s="36"/>
      <c r="B2141" s="37"/>
      <c r="C2141" s="37"/>
      <c r="D2141" s="37"/>
    </row>
    <row r="2142" spans="1:4" ht="17.25" x14ac:dyDescent="0.3">
      <c r="A2142" s="36"/>
      <c r="B2142" s="37"/>
      <c r="C2142" s="37"/>
      <c r="D2142" s="37"/>
    </row>
    <row r="2143" spans="1:4" ht="17.25" x14ac:dyDescent="0.3">
      <c r="A2143" s="36"/>
      <c r="B2143" s="37"/>
      <c r="C2143" s="37"/>
      <c r="D2143" s="37"/>
    </row>
    <row r="2144" spans="1:4" ht="17.25" x14ac:dyDescent="0.3">
      <c r="A2144" s="36"/>
      <c r="B2144" s="37"/>
      <c r="C2144" s="37"/>
      <c r="D2144" s="37"/>
    </row>
    <row r="2145" spans="1:4" ht="17.25" x14ac:dyDescent="0.3">
      <c r="A2145" s="36"/>
      <c r="B2145" s="37"/>
      <c r="C2145" s="37"/>
      <c r="D2145" s="37"/>
    </row>
    <row r="2146" spans="1:4" ht="17.25" x14ac:dyDescent="0.3">
      <c r="A2146" s="36"/>
      <c r="B2146" s="37"/>
      <c r="C2146" s="37"/>
      <c r="D2146" s="37"/>
    </row>
    <row r="2147" spans="1:4" ht="17.25" x14ac:dyDescent="0.3">
      <c r="A2147" s="36"/>
      <c r="B2147" s="37"/>
      <c r="C2147" s="37"/>
      <c r="D2147" s="37"/>
    </row>
    <row r="2148" spans="1:4" ht="17.25" x14ac:dyDescent="0.3">
      <c r="A2148" s="36"/>
      <c r="B2148" s="37"/>
      <c r="C2148" s="37"/>
      <c r="D2148" s="37"/>
    </row>
    <row r="2149" spans="1:4" ht="17.25" x14ac:dyDescent="0.3">
      <c r="A2149" s="36"/>
      <c r="B2149" s="37"/>
      <c r="C2149" s="37"/>
      <c r="D2149" s="37"/>
    </row>
    <row r="2150" spans="1:4" ht="17.25" x14ac:dyDescent="0.3">
      <c r="A2150" s="36"/>
      <c r="B2150" s="37"/>
      <c r="C2150" s="37"/>
      <c r="D2150" s="37"/>
    </row>
    <row r="2151" spans="1:4" ht="17.25" x14ac:dyDescent="0.3">
      <c r="A2151" s="36"/>
      <c r="B2151" s="37"/>
      <c r="C2151" s="37"/>
      <c r="D2151" s="37"/>
    </row>
    <row r="2152" spans="1:4" ht="17.25" x14ac:dyDescent="0.3">
      <c r="A2152" s="36"/>
      <c r="B2152" s="37"/>
      <c r="C2152" s="37"/>
      <c r="D2152" s="37"/>
    </row>
    <row r="2153" spans="1:4" ht="17.25" x14ac:dyDescent="0.3">
      <c r="A2153" s="36"/>
      <c r="B2153" s="37"/>
      <c r="C2153" s="37"/>
      <c r="D2153" s="37"/>
    </row>
    <row r="2154" spans="1:4" ht="17.25" x14ac:dyDescent="0.3">
      <c r="A2154" s="36"/>
      <c r="B2154" s="37"/>
      <c r="C2154" s="37"/>
      <c r="D2154" s="37"/>
    </row>
    <row r="2155" spans="1:4" ht="17.25" x14ac:dyDescent="0.3">
      <c r="A2155" s="36"/>
      <c r="B2155" s="37"/>
      <c r="C2155" s="37"/>
      <c r="D2155" s="37"/>
    </row>
    <row r="2156" spans="1:4" ht="17.25" x14ac:dyDescent="0.3">
      <c r="A2156" s="36"/>
      <c r="B2156" s="37"/>
      <c r="C2156" s="37"/>
      <c r="D2156" s="37"/>
    </row>
    <row r="2157" spans="1:4" ht="17.25" x14ac:dyDescent="0.3">
      <c r="A2157" s="36"/>
      <c r="B2157" s="37"/>
      <c r="C2157" s="37"/>
      <c r="D2157" s="37"/>
    </row>
    <row r="2158" spans="1:4" ht="17.25" x14ac:dyDescent="0.3">
      <c r="A2158" s="36"/>
      <c r="B2158" s="37"/>
      <c r="C2158" s="37"/>
      <c r="D2158" s="37"/>
    </row>
    <row r="2159" spans="1:4" ht="17.25" x14ac:dyDescent="0.3">
      <c r="A2159" s="36"/>
      <c r="B2159" s="37"/>
      <c r="C2159" s="37"/>
      <c r="D2159" s="37"/>
    </row>
    <row r="2160" spans="1:4" ht="17.25" x14ac:dyDescent="0.3">
      <c r="A2160" s="36"/>
      <c r="B2160" s="37"/>
      <c r="C2160" s="37"/>
      <c r="D2160" s="37"/>
    </row>
    <row r="2161" spans="1:4" ht="17.25" x14ac:dyDescent="0.3">
      <c r="A2161" s="36"/>
      <c r="B2161" s="37"/>
      <c r="C2161" s="37"/>
      <c r="D2161" s="37"/>
    </row>
    <row r="2162" spans="1:4" ht="17.25" x14ac:dyDescent="0.3">
      <c r="A2162" s="36"/>
      <c r="B2162" s="37"/>
      <c r="C2162" s="37"/>
      <c r="D2162" s="37"/>
    </row>
    <row r="2163" spans="1:4" ht="17.25" x14ac:dyDescent="0.3">
      <c r="A2163" s="36"/>
      <c r="B2163" s="37"/>
      <c r="C2163" s="37"/>
      <c r="D2163" s="37"/>
    </row>
    <row r="2164" spans="1:4" ht="17.25" x14ac:dyDescent="0.3">
      <c r="A2164" s="36"/>
      <c r="B2164" s="37"/>
      <c r="C2164" s="37"/>
      <c r="D2164" s="37"/>
    </row>
    <row r="2165" spans="1:4" ht="17.25" x14ac:dyDescent="0.3">
      <c r="A2165" s="36"/>
      <c r="B2165" s="37"/>
      <c r="C2165" s="37"/>
      <c r="D2165" s="37"/>
    </row>
    <row r="2166" spans="1:4" ht="17.25" x14ac:dyDescent="0.3">
      <c r="A2166" s="36"/>
      <c r="B2166" s="37"/>
      <c r="C2166" s="37"/>
      <c r="D2166" s="37"/>
    </row>
    <row r="2167" spans="1:4" ht="17.25" x14ac:dyDescent="0.3">
      <c r="A2167" s="36"/>
      <c r="B2167" s="37"/>
      <c r="C2167" s="37"/>
      <c r="D2167" s="37"/>
    </row>
    <row r="2168" spans="1:4" ht="17.25" x14ac:dyDescent="0.3">
      <c r="A2168" s="36"/>
      <c r="B2168" s="37"/>
      <c r="C2168" s="37"/>
      <c r="D2168" s="37"/>
    </row>
    <row r="2169" spans="1:4" ht="17.25" x14ac:dyDescent="0.3">
      <c r="A2169" s="36"/>
      <c r="B2169" s="37"/>
      <c r="C2169" s="37"/>
      <c r="D2169" s="37"/>
    </row>
    <row r="2170" spans="1:4" ht="17.25" x14ac:dyDescent="0.3">
      <c r="A2170" s="36"/>
      <c r="B2170" s="37"/>
      <c r="C2170" s="37"/>
      <c r="D2170" s="37"/>
    </row>
    <row r="2171" spans="1:4" ht="17.25" x14ac:dyDescent="0.3">
      <c r="A2171" s="36"/>
      <c r="B2171" s="37"/>
      <c r="C2171" s="37"/>
      <c r="D2171" s="37"/>
    </row>
    <row r="2172" spans="1:4" ht="17.25" x14ac:dyDescent="0.3">
      <c r="A2172" s="36"/>
      <c r="B2172" s="37"/>
      <c r="C2172" s="37"/>
      <c r="D2172" s="37"/>
    </row>
    <row r="2173" spans="1:4" ht="17.25" x14ac:dyDescent="0.3">
      <c r="A2173" s="36"/>
      <c r="B2173" s="37"/>
      <c r="C2173" s="37"/>
      <c r="D2173" s="37"/>
    </row>
    <row r="2174" spans="1:4" ht="17.25" x14ac:dyDescent="0.3">
      <c r="A2174" s="36"/>
      <c r="B2174" s="37"/>
      <c r="C2174" s="37"/>
      <c r="D2174" s="37"/>
    </row>
    <row r="2175" spans="1:4" ht="17.25" x14ac:dyDescent="0.3">
      <c r="A2175" s="36"/>
      <c r="B2175" s="37"/>
      <c r="C2175" s="37"/>
      <c r="D2175" s="37"/>
    </row>
    <row r="2176" spans="1:4" ht="17.25" x14ac:dyDescent="0.3">
      <c r="A2176" s="36"/>
      <c r="B2176" s="37"/>
      <c r="C2176" s="37"/>
      <c r="D2176" s="37"/>
    </row>
    <row r="2177" spans="1:4" ht="17.25" x14ac:dyDescent="0.3">
      <c r="A2177" s="36"/>
      <c r="B2177" s="37"/>
      <c r="C2177" s="37"/>
      <c r="D2177" s="37"/>
    </row>
    <row r="2178" spans="1:4" ht="17.25" x14ac:dyDescent="0.3">
      <c r="A2178" s="36"/>
      <c r="B2178" s="37"/>
      <c r="C2178" s="37"/>
      <c r="D2178" s="37"/>
    </row>
    <row r="2179" spans="1:4" ht="17.25" x14ac:dyDescent="0.3">
      <c r="A2179" s="36"/>
      <c r="B2179" s="37"/>
      <c r="C2179" s="37"/>
      <c r="D2179" s="37"/>
    </row>
    <row r="2180" spans="1:4" ht="17.25" x14ac:dyDescent="0.3">
      <c r="A2180" s="36"/>
      <c r="B2180" s="37"/>
      <c r="C2180" s="37"/>
      <c r="D2180" s="37"/>
    </row>
    <row r="2181" spans="1:4" ht="17.25" x14ac:dyDescent="0.3">
      <c r="A2181" s="36"/>
      <c r="B2181" s="37"/>
      <c r="C2181" s="37"/>
      <c r="D2181" s="37"/>
    </row>
    <row r="2182" spans="1:4" ht="17.25" x14ac:dyDescent="0.3">
      <c r="A2182" s="36"/>
      <c r="B2182" s="37"/>
      <c r="C2182" s="37"/>
      <c r="D2182" s="37"/>
    </row>
    <row r="2183" spans="1:4" ht="17.25" x14ac:dyDescent="0.3">
      <c r="A2183" s="36"/>
      <c r="B2183" s="37"/>
      <c r="C2183" s="37"/>
      <c r="D2183" s="37"/>
    </row>
    <row r="2184" spans="1:4" ht="17.25" x14ac:dyDescent="0.3">
      <c r="A2184" s="36"/>
      <c r="B2184" s="37"/>
      <c r="C2184" s="37"/>
      <c r="D2184" s="37"/>
    </row>
    <row r="2185" spans="1:4" ht="17.25" x14ac:dyDescent="0.3">
      <c r="A2185" s="36"/>
      <c r="B2185" s="37"/>
      <c r="C2185" s="37"/>
      <c r="D2185" s="37"/>
    </row>
    <row r="2186" spans="1:4" ht="17.25" x14ac:dyDescent="0.3">
      <c r="A2186" s="36"/>
      <c r="B2186" s="37"/>
      <c r="C2186" s="37"/>
      <c r="D2186" s="37"/>
    </row>
    <row r="2187" spans="1:4" ht="17.25" x14ac:dyDescent="0.3">
      <c r="A2187" s="36"/>
      <c r="B2187" s="37"/>
      <c r="C2187" s="37"/>
      <c r="D2187" s="37"/>
    </row>
    <row r="2188" spans="1:4" ht="17.25" x14ac:dyDescent="0.3">
      <c r="A2188" s="36"/>
      <c r="B2188" s="37"/>
      <c r="C2188" s="37"/>
      <c r="D2188" s="37"/>
    </row>
    <row r="2189" spans="1:4" ht="17.25" x14ac:dyDescent="0.3">
      <c r="A2189" s="36"/>
      <c r="B2189" s="37"/>
      <c r="C2189" s="37"/>
      <c r="D2189" s="37"/>
    </row>
    <row r="2190" spans="1:4" ht="17.25" x14ac:dyDescent="0.3">
      <c r="A2190" s="36"/>
      <c r="B2190" s="37"/>
      <c r="C2190" s="37"/>
      <c r="D2190" s="37"/>
    </row>
    <row r="2191" spans="1:4" ht="17.25" x14ac:dyDescent="0.3">
      <c r="A2191" s="36"/>
      <c r="B2191" s="37"/>
      <c r="C2191" s="37"/>
      <c r="D2191" s="37"/>
    </row>
    <row r="2192" spans="1:4" ht="17.25" x14ac:dyDescent="0.3">
      <c r="A2192" s="36"/>
      <c r="B2192" s="37"/>
      <c r="C2192" s="37"/>
      <c r="D2192" s="37"/>
    </row>
    <row r="2193" spans="1:4" ht="17.25" x14ac:dyDescent="0.3">
      <c r="A2193" s="36"/>
      <c r="B2193" s="37"/>
      <c r="C2193" s="37"/>
      <c r="D2193" s="37"/>
    </row>
    <row r="2194" spans="1:4" ht="17.25" x14ac:dyDescent="0.3">
      <c r="A2194" s="36"/>
      <c r="B2194" s="37"/>
      <c r="C2194" s="37"/>
      <c r="D2194" s="37"/>
    </row>
    <row r="2195" spans="1:4" ht="17.25" x14ac:dyDescent="0.3">
      <c r="A2195" s="36"/>
      <c r="B2195" s="37"/>
      <c r="C2195" s="37"/>
      <c r="D2195" s="37"/>
    </row>
    <row r="2196" spans="1:4" ht="17.25" x14ac:dyDescent="0.3">
      <c r="A2196" s="36"/>
      <c r="B2196" s="37"/>
      <c r="C2196" s="37"/>
      <c r="D2196" s="37"/>
    </row>
    <row r="2197" spans="1:4" ht="17.25" x14ac:dyDescent="0.3">
      <c r="A2197" s="36"/>
      <c r="B2197" s="37"/>
      <c r="C2197" s="37"/>
      <c r="D2197" s="37"/>
    </row>
    <row r="2198" spans="1:4" ht="17.25" x14ac:dyDescent="0.3">
      <c r="A2198" s="36"/>
      <c r="B2198" s="37"/>
      <c r="C2198" s="37"/>
      <c r="D2198" s="37"/>
    </row>
    <row r="2199" spans="1:4" ht="17.25" x14ac:dyDescent="0.3">
      <c r="A2199" s="36"/>
      <c r="B2199" s="37"/>
      <c r="C2199" s="37"/>
      <c r="D2199" s="37"/>
    </row>
    <row r="2200" spans="1:4" ht="17.25" x14ac:dyDescent="0.3">
      <c r="A2200" s="36"/>
      <c r="B2200" s="37"/>
      <c r="C2200" s="37"/>
      <c r="D2200" s="37"/>
    </row>
    <row r="2201" spans="1:4" ht="17.25" x14ac:dyDescent="0.3">
      <c r="A2201" s="36"/>
      <c r="B2201" s="37"/>
      <c r="C2201" s="37"/>
      <c r="D2201" s="37"/>
    </row>
    <row r="2202" spans="1:4" ht="17.25" x14ac:dyDescent="0.3">
      <c r="A2202" s="36"/>
      <c r="B2202" s="37"/>
      <c r="C2202" s="37"/>
      <c r="D2202" s="37"/>
    </row>
    <row r="2203" spans="1:4" ht="17.25" x14ac:dyDescent="0.3">
      <c r="A2203" s="36"/>
      <c r="B2203" s="37"/>
      <c r="C2203" s="37"/>
      <c r="D2203" s="37"/>
    </row>
    <row r="2204" spans="1:4" ht="17.25" x14ac:dyDescent="0.3">
      <c r="A2204" s="36"/>
      <c r="B2204" s="37"/>
      <c r="C2204" s="37"/>
      <c r="D2204" s="37"/>
    </row>
    <row r="2205" spans="1:4" ht="17.25" x14ac:dyDescent="0.3">
      <c r="A2205" s="36"/>
      <c r="B2205" s="37"/>
      <c r="C2205" s="37"/>
      <c r="D2205" s="37"/>
    </row>
    <row r="2206" spans="1:4" ht="17.25" x14ac:dyDescent="0.3">
      <c r="A2206" s="36"/>
      <c r="B2206" s="37"/>
      <c r="C2206" s="37"/>
      <c r="D2206" s="37"/>
    </row>
    <row r="2207" spans="1:4" ht="17.25" x14ac:dyDescent="0.3">
      <c r="A2207" s="36"/>
      <c r="B2207" s="37"/>
      <c r="C2207" s="37"/>
      <c r="D2207" s="37"/>
    </row>
    <row r="2208" spans="1:4" ht="17.25" x14ac:dyDescent="0.3">
      <c r="A2208" s="36"/>
      <c r="B2208" s="37"/>
      <c r="C2208" s="37"/>
      <c r="D2208" s="37"/>
    </row>
    <row r="2209" spans="1:4" ht="17.25" x14ac:dyDescent="0.3">
      <c r="A2209" s="36"/>
      <c r="B2209" s="37"/>
      <c r="C2209" s="37"/>
      <c r="D2209" s="37"/>
    </row>
    <row r="2210" spans="1:4" ht="17.25" x14ac:dyDescent="0.3">
      <c r="A2210" s="36"/>
      <c r="B2210" s="37"/>
      <c r="C2210" s="37"/>
      <c r="D2210" s="37"/>
    </row>
    <row r="2211" spans="1:4" ht="17.25" x14ac:dyDescent="0.3">
      <c r="A2211" s="36"/>
      <c r="B2211" s="37"/>
      <c r="C2211" s="37"/>
      <c r="D2211" s="37"/>
    </row>
    <row r="2212" spans="1:4" ht="17.25" x14ac:dyDescent="0.3">
      <c r="A2212" s="36"/>
      <c r="B2212" s="37"/>
      <c r="C2212" s="37"/>
      <c r="D2212" s="37"/>
    </row>
    <row r="2213" spans="1:4" ht="17.25" x14ac:dyDescent="0.3">
      <c r="A2213" s="36"/>
      <c r="B2213" s="37"/>
      <c r="C2213" s="37"/>
      <c r="D2213" s="37"/>
    </row>
    <row r="2214" spans="1:4" ht="17.25" x14ac:dyDescent="0.3">
      <c r="A2214" s="36"/>
      <c r="B2214" s="37"/>
      <c r="C2214" s="37"/>
      <c r="D2214" s="37"/>
    </row>
    <row r="2215" spans="1:4" ht="17.25" x14ac:dyDescent="0.3">
      <c r="A2215" s="36"/>
      <c r="B2215" s="37"/>
      <c r="C2215" s="37"/>
      <c r="D2215" s="37"/>
    </row>
    <row r="2216" spans="1:4" ht="17.25" x14ac:dyDescent="0.3">
      <c r="A2216" s="36"/>
      <c r="B2216" s="37"/>
      <c r="C2216" s="37"/>
      <c r="D2216" s="37"/>
    </row>
    <row r="2217" spans="1:4" ht="17.25" x14ac:dyDescent="0.3">
      <c r="A2217" s="36"/>
      <c r="B2217" s="37"/>
      <c r="C2217" s="37"/>
      <c r="D2217" s="37"/>
    </row>
    <row r="2218" spans="1:4" ht="17.25" x14ac:dyDescent="0.3">
      <c r="A2218" s="36"/>
      <c r="B2218" s="37"/>
      <c r="C2218" s="37"/>
      <c r="D2218" s="37"/>
    </row>
    <row r="2219" spans="1:4" ht="17.25" x14ac:dyDescent="0.3">
      <c r="A2219" s="36"/>
      <c r="B2219" s="37"/>
      <c r="C2219" s="37"/>
      <c r="D2219" s="37"/>
    </row>
    <row r="2220" spans="1:4" ht="17.25" x14ac:dyDescent="0.3">
      <c r="A2220" s="36"/>
      <c r="B2220" s="37"/>
      <c r="C2220" s="37"/>
      <c r="D2220" s="37"/>
    </row>
    <row r="2221" spans="1:4" ht="17.25" x14ac:dyDescent="0.3">
      <c r="A2221" s="36"/>
      <c r="B2221" s="37"/>
      <c r="C2221" s="37"/>
      <c r="D2221" s="37"/>
    </row>
    <row r="2222" spans="1:4" ht="17.25" x14ac:dyDescent="0.3">
      <c r="A2222" s="36"/>
      <c r="B2222" s="37"/>
      <c r="C2222" s="37"/>
      <c r="D2222" s="37"/>
    </row>
    <row r="2223" spans="1:4" ht="17.25" x14ac:dyDescent="0.3">
      <c r="A2223" s="36"/>
      <c r="B2223" s="37"/>
      <c r="C2223" s="37"/>
      <c r="D2223" s="37"/>
    </row>
    <row r="2224" spans="1:4" ht="17.25" x14ac:dyDescent="0.3">
      <c r="A2224" s="36"/>
      <c r="B2224" s="37"/>
      <c r="C2224" s="37"/>
      <c r="D2224" s="37"/>
    </row>
    <row r="2225" spans="1:4" ht="17.25" x14ac:dyDescent="0.3">
      <c r="A2225" s="36"/>
      <c r="B2225" s="37"/>
      <c r="C2225" s="37"/>
      <c r="D2225" s="37"/>
    </row>
    <row r="2226" spans="1:4" ht="17.25" x14ac:dyDescent="0.3">
      <c r="A2226" s="36"/>
      <c r="B2226" s="37"/>
      <c r="C2226" s="37"/>
      <c r="D2226" s="37"/>
    </row>
    <row r="2227" spans="1:4" ht="17.25" x14ac:dyDescent="0.3">
      <c r="A2227" s="36"/>
      <c r="B2227" s="37"/>
      <c r="C2227" s="37"/>
      <c r="D2227" s="37"/>
    </row>
    <row r="2228" spans="1:4" ht="17.25" x14ac:dyDescent="0.3">
      <c r="A2228" s="36"/>
      <c r="B2228" s="37"/>
      <c r="C2228" s="37"/>
      <c r="D2228" s="37"/>
    </row>
    <row r="2229" spans="1:4" ht="17.25" x14ac:dyDescent="0.3">
      <c r="A2229" s="36"/>
      <c r="B2229" s="37"/>
      <c r="C2229" s="37"/>
      <c r="D2229" s="37"/>
    </row>
    <row r="2230" spans="1:4" ht="17.25" x14ac:dyDescent="0.3">
      <c r="A2230" s="36"/>
      <c r="B2230" s="37"/>
      <c r="C2230" s="37"/>
      <c r="D2230" s="37"/>
    </row>
    <row r="2231" spans="1:4" ht="17.25" x14ac:dyDescent="0.3">
      <c r="A2231" s="36"/>
      <c r="B2231" s="37"/>
      <c r="C2231" s="37"/>
      <c r="D2231" s="37"/>
    </row>
    <row r="2232" spans="1:4" ht="17.25" x14ac:dyDescent="0.3">
      <c r="A2232" s="36"/>
      <c r="B2232" s="37"/>
      <c r="C2232" s="37"/>
      <c r="D2232" s="37"/>
    </row>
    <row r="2233" spans="1:4" ht="17.25" x14ac:dyDescent="0.3">
      <c r="A2233" s="36"/>
      <c r="B2233" s="37"/>
      <c r="C2233" s="37"/>
      <c r="D2233" s="37"/>
    </row>
    <row r="2234" spans="1:4" ht="17.25" x14ac:dyDescent="0.3">
      <c r="A2234" s="36"/>
      <c r="B2234" s="37"/>
      <c r="C2234" s="37"/>
      <c r="D2234" s="37"/>
    </row>
    <row r="2235" spans="1:4" ht="17.25" x14ac:dyDescent="0.3">
      <c r="A2235" s="36"/>
      <c r="B2235" s="37"/>
      <c r="C2235" s="37"/>
      <c r="D2235" s="37"/>
    </row>
    <row r="2236" spans="1:4" ht="17.25" x14ac:dyDescent="0.3">
      <c r="A2236" s="36"/>
      <c r="B2236" s="37"/>
      <c r="C2236" s="37"/>
      <c r="D2236" s="37"/>
    </row>
    <row r="2237" spans="1:4" ht="17.25" x14ac:dyDescent="0.3">
      <c r="A2237" s="36"/>
      <c r="B2237" s="37"/>
      <c r="C2237" s="37"/>
      <c r="D2237" s="37"/>
    </row>
    <row r="2238" spans="1:4" ht="17.25" x14ac:dyDescent="0.3">
      <c r="A2238" s="36"/>
      <c r="B2238" s="37"/>
      <c r="C2238" s="37"/>
      <c r="D2238" s="37"/>
    </row>
    <row r="2239" spans="1:4" ht="17.25" x14ac:dyDescent="0.3">
      <c r="A2239" s="36"/>
      <c r="B2239" s="37"/>
      <c r="C2239" s="37"/>
      <c r="D2239" s="37"/>
    </row>
    <row r="2240" spans="1:4" ht="17.25" x14ac:dyDescent="0.3">
      <c r="A2240" s="36"/>
      <c r="B2240" s="37"/>
      <c r="C2240" s="37"/>
      <c r="D2240" s="37"/>
    </row>
    <row r="2241" spans="1:4" ht="17.25" x14ac:dyDescent="0.3">
      <c r="A2241" s="36"/>
      <c r="B2241" s="37"/>
      <c r="C2241" s="37"/>
      <c r="D2241" s="37"/>
    </row>
    <row r="2242" spans="1:4" ht="17.25" x14ac:dyDescent="0.3">
      <c r="A2242" s="36"/>
      <c r="B2242" s="37"/>
      <c r="C2242" s="37"/>
      <c r="D2242" s="37"/>
    </row>
    <row r="2243" spans="1:4" ht="17.25" x14ac:dyDescent="0.3">
      <c r="A2243" s="36"/>
      <c r="B2243" s="37"/>
      <c r="C2243" s="37"/>
      <c r="D2243" s="37"/>
    </row>
    <row r="2244" spans="1:4" ht="17.25" x14ac:dyDescent="0.3">
      <c r="A2244" s="36"/>
      <c r="B2244" s="37"/>
      <c r="C2244" s="37"/>
      <c r="D2244" s="37"/>
    </row>
    <row r="2245" spans="1:4" ht="17.25" x14ac:dyDescent="0.3">
      <c r="A2245" s="36"/>
      <c r="B2245" s="37"/>
      <c r="C2245" s="37"/>
      <c r="D2245" s="37"/>
    </row>
    <row r="2246" spans="1:4" ht="17.25" x14ac:dyDescent="0.3">
      <c r="A2246" s="36"/>
      <c r="B2246" s="37"/>
      <c r="C2246" s="37"/>
      <c r="D2246" s="37"/>
    </row>
    <row r="2247" spans="1:4" ht="17.25" x14ac:dyDescent="0.3">
      <c r="A2247" s="36"/>
      <c r="B2247" s="37"/>
      <c r="C2247" s="37"/>
      <c r="D2247" s="37"/>
    </row>
    <row r="2248" spans="1:4" ht="17.25" x14ac:dyDescent="0.3">
      <c r="A2248" s="36"/>
      <c r="B2248" s="37"/>
      <c r="C2248" s="37"/>
      <c r="D2248" s="37"/>
    </row>
    <row r="2249" spans="1:4" ht="17.25" x14ac:dyDescent="0.3">
      <c r="A2249" s="36"/>
      <c r="B2249" s="37"/>
      <c r="C2249" s="37"/>
      <c r="D2249" s="37"/>
    </row>
    <row r="2250" spans="1:4" ht="17.25" x14ac:dyDescent="0.3">
      <c r="A2250" s="36"/>
      <c r="B2250" s="37"/>
      <c r="C2250" s="37"/>
      <c r="D2250" s="37"/>
    </row>
    <row r="2251" spans="1:4" ht="17.25" x14ac:dyDescent="0.3">
      <c r="A2251" s="36"/>
      <c r="B2251" s="37"/>
      <c r="C2251" s="37"/>
      <c r="D2251" s="37"/>
    </row>
    <row r="2252" spans="1:4" ht="17.25" x14ac:dyDescent="0.3">
      <c r="A2252" s="36"/>
      <c r="B2252" s="37"/>
      <c r="C2252" s="37"/>
      <c r="D2252" s="37"/>
    </row>
    <row r="2253" spans="1:4" ht="17.25" x14ac:dyDescent="0.3">
      <c r="A2253" s="36"/>
      <c r="B2253" s="37"/>
      <c r="C2253" s="37"/>
      <c r="D2253" s="37"/>
    </row>
    <row r="2254" spans="1:4" ht="17.25" x14ac:dyDescent="0.3">
      <c r="A2254" s="36"/>
      <c r="B2254" s="37"/>
      <c r="C2254" s="37"/>
      <c r="D2254" s="37"/>
    </row>
    <row r="2255" spans="1:4" ht="17.25" x14ac:dyDescent="0.3">
      <c r="A2255" s="36"/>
      <c r="B2255" s="37"/>
      <c r="C2255" s="37"/>
      <c r="D2255" s="37"/>
    </row>
    <row r="2256" spans="1:4" ht="17.25" x14ac:dyDescent="0.3">
      <c r="A2256" s="36"/>
      <c r="B2256" s="37"/>
      <c r="C2256" s="37"/>
      <c r="D2256" s="37"/>
    </row>
    <row r="2257" spans="1:4" ht="17.25" x14ac:dyDescent="0.3">
      <c r="A2257" s="36"/>
      <c r="B2257" s="37"/>
      <c r="C2257" s="37"/>
      <c r="D2257" s="37"/>
    </row>
    <row r="2258" spans="1:4" ht="17.25" x14ac:dyDescent="0.3">
      <c r="A2258" s="36"/>
      <c r="B2258" s="37"/>
      <c r="C2258" s="37"/>
      <c r="D2258" s="37"/>
    </row>
    <row r="2259" spans="1:4" ht="17.25" x14ac:dyDescent="0.3">
      <c r="A2259" s="36"/>
      <c r="B2259" s="37"/>
      <c r="C2259" s="37"/>
      <c r="D2259" s="37"/>
    </row>
    <row r="2260" spans="1:4" ht="17.25" x14ac:dyDescent="0.3">
      <c r="A2260" s="36"/>
      <c r="B2260" s="37"/>
      <c r="C2260" s="37"/>
      <c r="D2260" s="37"/>
    </row>
    <row r="2261" spans="1:4" ht="17.25" x14ac:dyDescent="0.3">
      <c r="A2261" s="36"/>
      <c r="B2261" s="37"/>
      <c r="C2261" s="37"/>
      <c r="D2261" s="37"/>
    </row>
    <row r="2262" spans="1:4" ht="17.25" x14ac:dyDescent="0.3">
      <c r="A2262" s="36"/>
      <c r="B2262" s="37"/>
      <c r="C2262" s="37"/>
      <c r="D2262" s="37"/>
    </row>
    <row r="2263" spans="1:4" ht="17.25" x14ac:dyDescent="0.3">
      <c r="A2263" s="36"/>
      <c r="B2263" s="37"/>
      <c r="C2263" s="37"/>
      <c r="D2263" s="37"/>
    </row>
    <row r="2264" spans="1:4" ht="17.25" x14ac:dyDescent="0.3">
      <c r="A2264" s="36"/>
      <c r="B2264" s="37"/>
      <c r="C2264" s="37"/>
      <c r="D2264" s="37"/>
    </row>
    <row r="2265" spans="1:4" ht="17.25" x14ac:dyDescent="0.3">
      <c r="A2265" s="36"/>
      <c r="B2265" s="37"/>
      <c r="C2265" s="37"/>
      <c r="D2265" s="37"/>
    </row>
    <row r="2266" spans="1:4" ht="17.25" x14ac:dyDescent="0.3">
      <c r="A2266" s="36"/>
      <c r="B2266" s="37"/>
      <c r="C2266" s="37"/>
      <c r="D2266" s="37"/>
    </row>
    <row r="2267" spans="1:4" ht="17.25" x14ac:dyDescent="0.3">
      <c r="A2267" s="36"/>
      <c r="B2267" s="37"/>
      <c r="C2267" s="37"/>
      <c r="D2267" s="37"/>
    </row>
    <row r="2268" spans="1:4" ht="17.25" x14ac:dyDescent="0.3">
      <c r="A2268" s="36"/>
      <c r="B2268" s="37"/>
      <c r="C2268" s="37"/>
      <c r="D2268" s="37"/>
    </row>
    <row r="2269" spans="1:4" ht="17.25" x14ac:dyDescent="0.3">
      <c r="A2269" s="36"/>
      <c r="B2269" s="37"/>
      <c r="C2269" s="37"/>
      <c r="D2269" s="37"/>
    </row>
    <row r="2270" spans="1:4" ht="17.25" x14ac:dyDescent="0.3">
      <c r="A2270" s="36"/>
      <c r="B2270" s="37"/>
      <c r="C2270" s="37"/>
      <c r="D2270" s="37"/>
    </row>
    <row r="2271" spans="1:4" ht="17.25" x14ac:dyDescent="0.3">
      <c r="A2271" s="36"/>
      <c r="B2271" s="37"/>
      <c r="C2271" s="37"/>
      <c r="D2271" s="37"/>
    </row>
    <row r="2272" spans="1:4" ht="17.25" x14ac:dyDescent="0.3">
      <c r="A2272" s="36"/>
      <c r="B2272" s="37"/>
      <c r="C2272" s="37"/>
      <c r="D2272" s="37"/>
    </row>
    <row r="2273" spans="1:4" ht="17.25" x14ac:dyDescent="0.3">
      <c r="A2273" s="36"/>
      <c r="B2273" s="37"/>
      <c r="C2273" s="37"/>
      <c r="D2273" s="37"/>
    </row>
    <row r="2274" spans="1:4" ht="17.25" x14ac:dyDescent="0.3">
      <c r="A2274" s="36"/>
      <c r="B2274" s="37"/>
      <c r="C2274" s="37"/>
      <c r="D2274" s="37"/>
    </row>
    <row r="2275" spans="1:4" ht="17.25" x14ac:dyDescent="0.3">
      <c r="A2275" s="36"/>
      <c r="B2275" s="37"/>
      <c r="C2275" s="37"/>
      <c r="D2275" s="37"/>
    </row>
    <row r="2276" spans="1:4" ht="17.25" x14ac:dyDescent="0.3">
      <c r="A2276" s="36"/>
      <c r="B2276" s="37"/>
      <c r="C2276" s="37"/>
      <c r="D2276" s="37"/>
    </row>
    <row r="2277" spans="1:4" ht="17.25" x14ac:dyDescent="0.3">
      <c r="A2277" s="36"/>
      <c r="B2277" s="37"/>
      <c r="C2277" s="37"/>
      <c r="D2277" s="37"/>
    </row>
    <row r="2278" spans="1:4" ht="17.25" x14ac:dyDescent="0.3">
      <c r="A2278" s="36"/>
      <c r="B2278" s="37"/>
      <c r="C2278" s="37"/>
      <c r="D2278" s="37"/>
    </row>
    <row r="2279" spans="1:4" ht="17.25" x14ac:dyDescent="0.3">
      <c r="A2279" s="36"/>
      <c r="B2279" s="37"/>
      <c r="C2279" s="37"/>
      <c r="D2279" s="37"/>
    </row>
    <row r="2280" spans="1:4" ht="17.25" x14ac:dyDescent="0.3">
      <c r="A2280" s="36"/>
      <c r="B2280" s="37"/>
      <c r="C2280" s="37"/>
      <c r="D2280" s="37"/>
    </row>
    <row r="2281" spans="1:4" ht="17.25" x14ac:dyDescent="0.3">
      <c r="A2281" s="36"/>
      <c r="B2281" s="37"/>
      <c r="C2281" s="37"/>
      <c r="D2281" s="37"/>
    </row>
    <row r="2282" spans="1:4" ht="17.25" x14ac:dyDescent="0.3">
      <c r="A2282" s="36"/>
      <c r="B2282" s="37"/>
      <c r="C2282" s="37"/>
      <c r="D2282" s="37"/>
    </row>
    <row r="2283" spans="1:4" ht="17.25" x14ac:dyDescent="0.3">
      <c r="A2283" s="36"/>
      <c r="B2283" s="37"/>
      <c r="C2283" s="37"/>
      <c r="D2283" s="37"/>
    </row>
    <row r="2284" spans="1:4" ht="17.25" x14ac:dyDescent="0.3">
      <c r="A2284" s="36"/>
      <c r="B2284" s="37"/>
      <c r="C2284" s="37"/>
      <c r="D2284" s="37"/>
    </row>
    <row r="2285" spans="1:4" ht="17.25" x14ac:dyDescent="0.3">
      <c r="A2285" s="36"/>
      <c r="B2285" s="37"/>
      <c r="C2285" s="37"/>
      <c r="D2285" s="37"/>
    </row>
    <row r="2286" spans="1:4" ht="17.25" x14ac:dyDescent="0.3">
      <c r="A2286" s="36"/>
      <c r="B2286" s="37"/>
      <c r="C2286" s="37"/>
      <c r="D2286" s="37"/>
    </row>
    <row r="2287" spans="1:4" ht="17.25" x14ac:dyDescent="0.3">
      <c r="A2287" s="36"/>
      <c r="B2287" s="37"/>
      <c r="C2287" s="37"/>
      <c r="D2287" s="37"/>
    </row>
    <row r="2288" spans="1:4" ht="17.25" x14ac:dyDescent="0.3">
      <c r="A2288" s="36"/>
      <c r="B2288" s="37"/>
      <c r="C2288" s="37"/>
      <c r="D2288" s="37"/>
    </row>
    <row r="2289" spans="1:4" ht="17.25" x14ac:dyDescent="0.3">
      <c r="A2289" s="36"/>
      <c r="B2289" s="37"/>
      <c r="C2289" s="37"/>
      <c r="D2289" s="37"/>
    </row>
    <row r="2290" spans="1:4" ht="17.25" x14ac:dyDescent="0.3">
      <c r="A2290" s="36"/>
      <c r="B2290" s="37"/>
      <c r="C2290" s="37"/>
      <c r="D2290" s="37"/>
    </row>
    <row r="2291" spans="1:4" ht="17.25" x14ac:dyDescent="0.3">
      <c r="A2291" s="36"/>
      <c r="B2291" s="37"/>
      <c r="C2291" s="37"/>
      <c r="D2291" s="37"/>
    </row>
    <row r="2292" spans="1:4" ht="17.25" x14ac:dyDescent="0.3">
      <c r="A2292" s="36"/>
      <c r="B2292" s="37"/>
      <c r="C2292" s="37"/>
      <c r="D2292" s="37"/>
    </row>
    <row r="2293" spans="1:4" ht="17.25" x14ac:dyDescent="0.3">
      <c r="A2293" s="36"/>
      <c r="B2293" s="37"/>
      <c r="C2293" s="37"/>
      <c r="D2293" s="37"/>
    </row>
    <row r="2294" spans="1:4" ht="17.25" x14ac:dyDescent="0.3">
      <c r="A2294" s="36"/>
      <c r="B2294" s="37"/>
      <c r="C2294" s="37"/>
      <c r="D2294" s="37"/>
    </row>
    <row r="2295" spans="1:4" ht="17.25" x14ac:dyDescent="0.3">
      <c r="A2295" s="36"/>
      <c r="B2295" s="37"/>
      <c r="C2295" s="37"/>
      <c r="D2295" s="37"/>
    </row>
    <row r="2296" spans="1:4" ht="17.25" x14ac:dyDescent="0.3">
      <c r="A2296" s="36"/>
      <c r="B2296" s="37"/>
      <c r="C2296" s="37"/>
      <c r="D2296" s="37"/>
    </row>
    <row r="2297" spans="1:4" ht="17.25" x14ac:dyDescent="0.3">
      <c r="A2297" s="36"/>
      <c r="B2297" s="37"/>
      <c r="C2297" s="37"/>
      <c r="D2297" s="37"/>
    </row>
    <row r="2298" spans="1:4" ht="17.25" x14ac:dyDescent="0.3">
      <c r="A2298" s="36"/>
      <c r="B2298" s="37"/>
      <c r="C2298" s="37"/>
      <c r="D2298" s="37"/>
    </row>
    <row r="2299" spans="1:4" ht="17.25" x14ac:dyDescent="0.3">
      <c r="A2299" s="36"/>
      <c r="B2299" s="37"/>
      <c r="C2299" s="37"/>
      <c r="D2299" s="37"/>
    </row>
    <row r="2300" spans="1:4" ht="17.25" x14ac:dyDescent="0.3">
      <c r="A2300" s="36"/>
      <c r="B2300" s="37"/>
      <c r="C2300" s="37"/>
      <c r="D2300" s="37"/>
    </row>
    <row r="2301" spans="1:4" ht="17.25" x14ac:dyDescent="0.3">
      <c r="A2301" s="36"/>
      <c r="B2301" s="37"/>
      <c r="C2301" s="37"/>
      <c r="D2301" s="37"/>
    </row>
    <row r="2302" spans="1:4" ht="17.25" x14ac:dyDescent="0.3">
      <c r="A2302" s="36"/>
      <c r="B2302" s="37"/>
      <c r="C2302" s="37"/>
      <c r="D2302" s="37"/>
    </row>
    <row r="2303" spans="1:4" ht="17.25" x14ac:dyDescent="0.3">
      <c r="A2303" s="36"/>
      <c r="B2303" s="37"/>
      <c r="C2303" s="37"/>
      <c r="D2303" s="37"/>
    </row>
    <row r="2304" spans="1:4" ht="17.25" x14ac:dyDescent="0.3">
      <c r="A2304" s="36"/>
      <c r="B2304" s="37"/>
      <c r="C2304" s="37"/>
      <c r="D2304" s="37"/>
    </row>
    <row r="2305" spans="1:4" ht="17.25" x14ac:dyDescent="0.3">
      <c r="A2305" s="36"/>
      <c r="B2305" s="37"/>
      <c r="C2305" s="37"/>
      <c r="D2305" s="37"/>
    </row>
    <row r="2306" spans="1:4" ht="17.25" x14ac:dyDescent="0.3">
      <c r="A2306" s="36"/>
      <c r="B2306" s="37"/>
      <c r="C2306" s="37"/>
      <c r="D2306" s="37"/>
    </row>
    <row r="2307" spans="1:4" ht="17.25" x14ac:dyDescent="0.3">
      <c r="A2307" s="36"/>
      <c r="B2307" s="37"/>
      <c r="C2307" s="37"/>
      <c r="D2307" s="37"/>
    </row>
    <row r="2308" spans="1:4" ht="17.25" x14ac:dyDescent="0.3">
      <c r="A2308" s="36"/>
      <c r="B2308" s="37"/>
      <c r="C2308" s="37"/>
      <c r="D2308" s="37"/>
    </row>
    <row r="2309" spans="1:4" ht="17.25" x14ac:dyDescent="0.3">
      <c r="A2309" s="36"/>
      <c r="B2309" s="37"/>
      <c r="C2309" s="37"/>
      <c r="D2309" s="37"/>
    </row>
    <row r="2310" spans="1:4" ht="17.25" x14ac:dyDescent="0.3">
      <c r="A2310" s="36"/>
      <c r="B2310" s="37"/>
      <c r="C2310" s="37"/>
      <c r="D2310" s="37"/>
    </row>
    <row r="2311" spans="1:4" ht="17.25" x14ac:dyDescent="0.3">
      <c r="A2311" s="36"/>
      <c r="B2311" s="37"/>
      <c r="C2311" s="37"/>
      <c r="D2311" s="37"/>
    </row>
    <row r="2312" spans="1:4" ht="17.25" x14ac:dyDescent="0.3">
      <c r="A2312" s="36"/>
      <c r="B2312" s="37"/>
      <c r="C2312" s="37"/>
      <c r="D2312" s="37"/>
    </row>
    <row r="2313" spans="1:4" ht="17.25" x14ac:dyDescent="0.3">
      <c r="A2313" s="36"/>
      <c r="B2313" s="37"/>
      <c r="C2313" s="37"/>
      <c r="D2313" s="37"/>
    </row>
    <row r="2314" spans="1:4" ht="17.25" x14ac:dyDescent="0.3">
      <c r="A2314" s="36"/>
      <c r="B2314" s="37"/>
      <c r="C2314" s="37"/>
      <c r="D2314" s="37"/>
    </row>
    <row r="2315" spans="1:4" ht="17.25" x14ac:dyDescent="0.3">
      <c r="A2315" s="36"/>
      <c r="B2315" s="37"/>
      <c r="C2315" s="37"/>
      <c r="D2315" s="37"/>
    </row>
    <row r="2316" spans="1:4" ht="17.25" x14ac:dyDescent="0.3">
      <c r="A2316" s="36"/>
      <c r="B2316" s="37"/>
      <c r="C2316" s="37"/>
      <c r="D2316" s="37"/>
    </row>
    <row r="2317" spans="1:4" ht="17.25" x14ac:dyDescent="0.3">
      <c r="A2317" s="36"/>
      <c r="B2317" s="37"/>
      <c r="C2317" s="37"/>
      <c r="D2317" s="37"/>
    </row>
    <row r="2318" spans="1:4" ht="17.25" x14ac:dyDescent="0.3">
      <c r="A2318" s="36"/>
      <c r="B2318" s="37"/>
      <c r="C2318" s="37"/>
      <c r="D2318" s="37"/>
    </row>
    <row r="2319" spans="1:4" ht="17.25" x14ac:dyDescent="0.3">
      <c r="A2319" s="36"/>
      <c r="B2319" s="37"/>
      <c r="C2319" s="37"/>
      <c r="D2319" s="37"/>
    </row>
    <row r="2320" spans="1:4" ht="17.25" x14ac:dyDescent="0.3">
      <c r="A2320" s="36"/>
      <c r="B2320" s="37"/>
      <c r="C2320" s="37"/>
      <c r="D2320" s="37"/>
    </row>
    <row r="2321" spans="1:4" ht="17.25" x14ac:dyDescent="0.3">
      <c r="A2321" s="36"/>
      <c r="B2321" s="37"/>
      <c r="C2321" s="37"/>
      <c r="D2321" s="37"/>
    </row>
    <row r="2322" spans="1:4" ht="17.25" x14ac:dyDescent="0.3">
      <c r="A2322" s="36"/>
      <c r="B2322" s="37"/>
      <c r="C2322" s="37"/>
      <c r="D2322" s="37"/>
    </row>
    <row r="2323" spans="1:4" ht="17.25" x14ac:dyDescent="0.3">
      <c r="A2323" s="36"/>
      <c r="B2323" s="37"/>
      <c r="C2323" s="37"/>
      <c r="D2323" s="37"/>
    </row>
    <row r="2324" spans="1:4" ht="17.25" x14ac:dyDescent="0.3">
      <c r="A2324" s="36"/>
      <c r="B2324" s="37"/>
      <c r="C2324" s="37"/>
      <c r="D2324" s="37"/>
    </row>
    <row r="2325" spans="1:4" ht="17.25" x14ac:dyDescent="0.3">
      <c r="A2325" s="36"/>
      <c r="B2325" s="37"/>
      <c r="C2325" s="37"/>
      <c r="D2325" s="37"/>
    </row>
    <row r="2326" spans="1:4" ht="17.25" x14ac:dyDescent="0.3">
      <c r="A2326" s="36"/>
      <c r="B2326" s="37"/>
      <c r="C2326" s="37"/>
      <c r="D2326" s="37"/>
    </row>
    <row r="2327" spans="1:4" ht="17.25" x14ac:dyDescent="0.3">
      <c r="A2327" s="36"/>
      <c r="B2327" s="37"/>
      <c r="C2327" s="37"/>
      <c r="D2327" s="37"/>
    </row>
    <row r="2328" spans="1:4" ht="17.25" x14ac:dyDescent="0.3">
      <c r="A2328" s="36"/>
      <c r="B2328" s="37"/>
      <c r="C2328" s="37"/>
      <c r="D2328" s="37"/>
    </row>
    <row r="2329" spans="1:4" ht="17.25" x14ac:dyDescent="0.3">
      <c r="A2329" s="36"/>
      <c r="B2329" s="37"/>
      <c r="C2329" s="37"/>
      <c r="D2329" s="37"/>
    </row>
    <row r="2330" spans="1:4" ht="17.25" x14ac:dyDescent="0.3">
      <c r="A2330" s="36"/>
      <c r="B2330" s="37"/>
      <c r="C2330" s="37"/>
      <c r="D2330" s="37"/>
    </row>
    <row r="2331" spans="1:4" ht="17.25" x14ac:dyDescent="0.3">
      <c r="A2331" s="36"/>
      <c r="B2331" s="37"/>
      <c r="C2331" s="37"/>
      <c r="D2331" s="37"/>
    </row>
    <row r="2332" spans="1:4" ht="17.25" x14ac:dyDescent="0.3">
      <c r="A2332" s="36"/>
      <c r="B2332" s="37"/>
      <c r="C2332" s="37"/>
      <c r="D2332" s="37"/>
    </row>
    <row r="2333" spans="1:4" ht="17.25" x14ac:dyDescent="0.3">
      <c r="A2333" s="36"/>
      <c r="B2333" s="37"/>
      <c r="C2333" s="37"/>
      <c r="D2333" s="37"/>
    </row>
    <row r="2334" spans="1:4" ht="17.25" x14ac:dyDescent="0.3">
      <c r="A2334" s="36"/>
      <c r="B2334" s="37"/>
      <c r="C2334" s="37"/>
      <c r="D2334" s="37"/>
    </row>
    <row r="2335" spans="1:4" ht="17.25" x14ac:dyDescent="0.3">
      <c r="A2335" s="36"/>
      <c r="B2335" s="37"/>
      <c r="C2335" s="37"/>
      <c r="D2335" s="37"/>
    </row>
    <row r="2336" spans="1:4" ht="17.25" x14ac:dyDescent="0.3">
      <c r="A2336" s="36"/>
      <c r="B2336" s="37"/>
      <c r="C2336" s="37"/>
      <c r="D2336" s="37"/>
    </row>
    <row r="2337" spans="1:4" ht="17.25" x14ac:dyDescent="0.3">
      <c r="A2337" s="36"/>
      <c r="B2337" s="37"/>
      <c r="C2337" s="37"/>
      <c r="D2337" s="37"/>
    </row>
    <row r="2338" spans="1:4" ht="17.25" x14ac:dyDescent="0.3">
      <c r="A2338" s="36"/>
      <c r="B2338" s="37"/>
      <c r="C2338" s="37"/>
      <c r="D2338" s="37"/>
    </row>
    <row r="2339" spans="1:4" ht="17.25" x14ac:dyDescent="0.3">
      <c r="A2339" s="36"/>
      <c r="B2339" s="37"/>
      <c r="C2339" s="37"/>
      <c r="D2339" s="37"/>
    </row>
    <row r="2340" spans="1:4" ht="17.25" x14ac:dyDescent="0.3">
      <c r="A2340" s="36"/>
      <c r="B2340" s="37"/>
      <c r="C2340" s="37"/>
      <c r="D2340" s="37"/>
    </row>
    <row r="2341" spans="1:4" ht="17.25" x14ac:dyDescent="0.3">
      <c r="A2341" s="36"/>
      <c r="B2341" s="37"/>
      <c r="C2341" s="37"/>
      <c r="D2341" s="37"/>
    </row>
    <row r="2342" spans="1:4" ht="17.25" x14ac:dyDescent="0.3">
      <c r="A2342" s="36"/>
      <c r="B2342" s="37"/>
      <c r="C2342" s="37"/>
      <c r="D2342" s="37"/>
    </row>
    <row r="2343" spans="1:4" ht="17.25" x14ac:dyDescent="0.3">
      <c r="A2343" s="36"/>
      <c r="B2343" s="37"/>
      <c r="C2343" s="37"/>
      <c r="D2343" s="37"/>
    </row>
    <row r="2344" spans="1:4" ht="17.25" x14ac:dyDescent="0.3">
      <c r="A2344" s="36"/>
      <c r="B2344" s="37"/>
      <c r="C2344" s="37"/>
      <c r="D2344" s="37"/>
    </row>
    <row r="2345" spans="1:4" ht="17.25" x14ac:dyDescent="0.3">
      <c r="A2345" s="36"/>
      <c r="B2345" s="37"/>
      <c r="C2345" s="37"/>
      <c r="D2345" s="37"/>
    </row>
    <row r="2346" spans="1:4" ht="17.25" x14ac:dyDescent="0.3">
      <c r="A2346" s="36"/>
      <c r="B2346" s="37"/>
      <c r="C2346" s="37"/>
      <c r="D2346" s="37"/>
    </row>
    <row r="2347" spans="1:4" ht="17.25" x14ac:dyDescent="0.3">
      <c r="A2347" s="36"/>
      <c r="B2347" s="37"/>
      <c r="C2347" s="37"/>
      <c r="D2347" s="37"/>
    </row>
    <row r="2348" spans="1:4" ht="17.25" x14ac:dyDescent="0.3">
      <c r="A2348" s="36"/>
      <c r="B2348" s="37"/>
      <c r="C2348" s="37"/>
      <c r="D2348" s="37"/>
    </row>
    <row r="2349" spans="1:4" ht="17.25" x14ac:dyDescent="0.3">
      <c r="A2349" s="36"/>
      <c r="B2349" s="37"/>
      <c r="C2349" s="37"/>
      <c r="D2349" s="37"/>
    </row>
    <row r="2350" spans="1:4" ht="17.25" x14ac:dyDescent="0.3">
      <c r="A2350" s="36"/>
      <c r="B2350" s="37"/>
      <c r="C2350" s="37"/>
      <c r="D2350" s="37"/>
    </row>
    <row r="2351" spans="1:4" ht="17.25" x14ac:dyDescent="0.3">
      <c r="A2351" s="36"/>
      <c r="B2351" s="37"/>
      <c r="C2351" s="37"/>
      <c r="D2351" s="37"/>
    </row>
    <row r="2352" spans="1:4" ht="17.25" x14ac:dyDescent="0.3">
      <c r="A2352" s="36"/>
      <c r="B2352" s="37"/>
      <c r="C2352" s="37"/>
      <c r="D2352" s="37"/>
    </row>
    <row r="2353" spans="1:4" ht="17.25" x14ac:dyDescent="0.3">
      <c r="A2353" s="36"/>
      <c r="B2353" s="37"/>
      <c r="C2353" s="37"/>
      <c r="D2353" s="37"/>
    </row>
    <row r="2354" spans="1:4" ht="17.25" x14ac:dyDescent="0.3">
      <c r="A2354" s="36"/>
      <c r="B2354" s="37"/>
      <c r="C2354" s="37"/>
      <c r="D2354" s="37"/>
    </row>
    <row r="2355" spans="1:4" ht="17.25" x14ac:dyDescent="0.3">
      <c r="A2355" s="36"/>
      <c r="B2355" s="37"/>
      <c r="C2355" s="37"/>
      <c r="D2355" s="37"/>
    </row>
    <row r="2356" spans="1:4" ht="17.25" x14ac:dyDescent="0.3">
      <c r="A2356" s="36"/>
      <c r="B2356" s="37"/>
      <c r="C2356" s="37"/>
      <c r="D2356" s="37"/>
    </row>
    <row r="2357" spans="1:4" ht="17.25" x14ac:dyDescent="0.3">
      <c r="A2357" s="36"/>
      <c r="B2357" s="37"/>
      <c r="C2357" s="37"/>
      <c r="D2357" s="37"/>
    </row>
    <row r="2358" spans="1:4" ht="17.25" x14ac:dyDescent="0.3">
      <c r="A2358" s="36"/>
      <c r="B2358" s="37"/>
      <c r="C2358" s="37"/>
      <c r="D2358" s="37"/>
    </row>
    <row r="2359" spans="1:4" ht="17.25" x14ac:dyDescent="0.3">
      <c r="A2359" s="36"/>
      <c r="B2359" s="37"/>
      <c r="C2359" s="37"/>
      <c r="D2359" s="37"/>
    </row>
    <row r="2360" spans="1:4" ht="17.25" x14ac:dyDescent="0.3">
      <c r="A2360" s="36"/>
      <c r="B2360" s="37"/>
      <c r="C2360" s="37"/>
      <c r="D2360" s="37"/>
    </row>
    <row r="2361" spans="1:4" ht="17.25" x14ac:dyDescent="0.3">
      <c r="A2361" s="36"/>
      <c r="B2361" s="37"/>
      <c r="C2361" s="37"/>
      <c r="D2361" s="37"/>
    </row>
    <row r="2362" spans="1:4" ht="17.25" x14ac:dyDescent="0.3">
      <c r="A2362" s="36"/>
      <c r="B2362" s="37"/>
      <c r="C2362" s="37"/>
      <c r="D2362" s="37"/>
    </row>
    <row r="2363" spans="1:4" ht="17.25" x14ac:dyDescent="0.3">
      <c r="A2363" s="36"/>
      <c r="B2363" s="37"/>
      <c r="C2363" s="37"/>
      <c r="D2363" s="37"/>
    </row>
    <row r="2364" spans="1:4" ht="17.25" x14ac:dyDescent="0.3">
      <c r="A2364" s="36"/>
      <c r="B2364" s="37"/>
      <c r="C2364" s="37"/>
      <c r="D2364" s="37"/>
    </row>
    <row r="2365" spans="1:4" ht="17.25" x14ac:dyDescent="0.3">
      <c r="A2365" s="36"/>
      <c r="B2365" s="37"/>
      <c r="C2365" s="37"/>
      <c r="D2365" s="37"/>
    </row>
    <row r="2366" spans="1:4" ht="17.25" x14ac:dyDescent="0.3">
      <c r="A2366" s="36"/>
      <c r="B2366" s="37"/>
      <c r="C2366" s="37"/>
      <c r="D2366" s="37"/>
    </row>
    <row r="2367" spans="1:4" ht="17.25" x14ac:dyDescent="0.3">
      <c r="A2367" s="36"/>
      <c r="B2367" s="37"/>
      <c r="C2367" s="37"/>
      <c r="D2367" s="37"/>
    </row>
    <row r="2368" spans="1:4" ht="17.25" x14ac:dyDescent="0.3">
      <c r="A2368" s="36"/>
      <c r="B2368" s="37"/>
      <c r="C2368" s="37"/>
      <c r="D2368" s="37"/>
    </row>
    <row r="2369" spans="1:4" ht="17.25" x14ac:dyDescent="0.3">
      <c r="A2369" s="36"/>
      <c r="B2369" s="37"/>
      <c r="C2369" s="37"/>
      <c r="D2369" s="37"/>
    </row>
    <row r="2370" spans="1:4" ht="17.25" x14ac:dyDescent="0.3">
      <c r="A2370" s="36"/>
      <c r="B2370" s="37"/>
      <c r="C2370" s="37"/>
      <c r="D2370" s="37"/>
    </row>
    <row r="2371" spans="1:4" ht="17.25" x14ac:dyDescent="0.3">
      <c r="A2371" s="36"/>
      <c r="B2371" s="37"/>
      <c r="C2371" s="37"/>
      <c r="D2371" s="37"/>
    </row>
    <row r="2372" spans="1:4" ht="17.25" x14ac:dyDescent="0.3">
      <c r="A2372" s="36"/>
      <c r="B2372" s="37"/>
      <c r="C2372" s="37"/>
      <c r="D2372" s="37"/>
    </row>
    <row r="2373" spans="1:4" ht="17.25" x14ac:dyDescent="0.3">
      <c r="A2373" s="36"/>
      <c r="B2373" s="37"/>
      <c r="C2373" s="37"/>
      <c r="D2373" s="37"/>
    </row>
    <row r="2374" spans="1:4" ht="17.25" x14ac:dyDescent="0.3">
      <c r="A2374" s="36"/>
      <c r="B2374" s="37"/>
      <c r="C2374" s="37"/>
      <c r="D2374" s="37"/>
    </row>
    <row r="2375" spans="1:4" ht="17.25" x14ac:dyDescent="0.3">
      <c r="A2375" s="36"/>
      <c r="B2375" s="37"/>
      <c r="C2375" s="37"/>
      <c r="D2375" s="37"/>
    </row>
    <row r="2376" spans="1:4" ht="17.25" x14ac:dyDescent="0.3">
      <c r="A2376" s="36"/>
      <c r="B2376" s="37"/>
      <c r="C2376" s="37"/>
      <c r="D2376" s="37"/>
    </row>
    <row r="2377" spans="1:4" ht="17.25" x14ac:dyDescent="0.3">
      <c r="A2377" s="36"/>
      <c r="B2377" s="37"/>
      <c r="C2377" s="37"/>
      <c r="D2377" s="37"/>
    </row>
    <row r="2378" spans="1:4" ht="17.25" x14ac:dyDescent="0.3">
      <c r="A2378" s="36"/>
      <c r="B2378" s="37"/>
      <c r="C2378" s="37"/>
      <c r="D2378" s="37"/>
    </row>
    <row r="2379" spans="1:4" ht="17.25" x14ac:dyDescent="0.3">
      <c r="A2379" s="36"/>
      <c r="B2379" s="37"/>
      <c r="C2379" s="37"/>
      <c r="D2379" s="37"/>
    </row>
    <row r="2380" spans="1:4" ht="17.25" x14ac:dyDescent="0.3">
      <c r="A2380" s="36"/>
      <c r="B2380" s="37"/>
      <c r="C2380" s="37"/>
      <c r="D2380" s="37"/>
    </row>
    <row r="2381" spans="1:4" ht="17.25" x14ac:dyDescent="0.3">
      <c r="A2381" s="36"/>
      <c r="B2381" s="37"/>
      <c r="C2381" s="37"/>
      <c r="D2381" s="37"/>
    </row>
    <row r="2382" spans="1:4" ht="17.25" x14ac:dyDescent="0.3">
      <c r="A2382" s="36"/>
      <c r="B2382" s="37"/>
      <c r="C2382" s="37"/>
      <c r="D2382" s="37"/>
    </row>
    <row r="2383" spans="1:4" ht="17.25" x14ac:dyDescent="0.3">
      <c r="A2383" s="36"/>
      <c r="B2383" s="37"/>
      <c r="C2383" s="37"/>
      <c r="D2383" s="37"/>
    </row>
    <row r="2384" spans="1:4" ht="17.25" x14ac:dyDescent="0.3">
      <c r="A2384" s="36"/>
      <c r="B2384" s="37"/>
      <c r="C2384" s="37"/>
      <c r="D2384" s="37"/>
    </row>
    <row r="2385" spans="1:4" ht="17.25" x14ac:dyDescent="0.3">
      <c r="A2385" s="36"/>
      <c r="B2385" s="37"/>
      <c r="C2385" s="37"/>
      <c r="D2385" s="37"/>
    </row>
    <row r="2386" spans="1:4" ht="17.25" x14ac:dyDescent="0.3">
      <c r="A2386" s="36"/>
      <c r="B2386" s="37"/>
      <c r="C2386" s="37"/>
      <c r="D2386" s="37"/>
    </row>
    <row r="2387" spans="1:4" ht="17.25" x14ac:dyDescent="0.3">
      <c r="A2387" s="36"/>
      <c r="B2387" s="37"/>
      <c r="C2387" s="37"/>
      <c r="D2387" s="37"/>
    </row>
    <row r="2388" spans="1:4" ht="17.25" x14ac:dyDescent="0.3">
      <c r="A2388" s="36"/>
      <c r="B2388" s="37"/>
      <c r="C2388" s="37"/>
      <c r="D2388" s="37"/>
    </row>
    <row r="2389" spans="1:4" ht="17.25" x14ac:dyDescent="0.3">
      <c r="A2389" s="36"/>
      <c r="B2389" s="37"/>
      <c r="C2389" s="37"/>
      <c r="D2389" s="37"/>
    </row>
    <row r="2390" spans="1:4" ht="17.25" x14ac:dyDescent="0.3">
      <c r="A2390" s="36"/>
      <c r="B2390" s="37"/>
      <c r="C2390" s="37"/>
      <c r="D2390" s="37"/>
    </row>
    <row r="2391" spans="1:4" ht="17.25" x14ac:dyDescent="0.3">
      <c r="A2391" s="36"/>
      <c r="B2391" s="37"/>
      <c r="C2391" s="37"/>
      <c r="D2391" s="37"/>
    </row>
    <row r="2392" spans="1:4" ht="17.25" x14ac:dyDescent="0.3">
      <c r="A2392" s="36"/>
      <c r="B2392" s="37"/>
      <c r="C2392" s="37"/>
      <c r="D2392" s="37"/>
    </row>
    <row r="2393" spans="1:4" ht="17.25" x14ac:dyDescent="0.3">
      <c r="A2393" s="36"/>
      <c r="B2393" s="37"/>
      <c r="C2393" s="37"/>
      <c r="D2393" s="37"/>
    </row>
    <row r="2394" spans="1:4" ht="17.25" x14ac:dyDescent="0.3">
      <c r="A2394" s="36"/>
      <c r="B2394" s="37"/>
      <c r="C2394" s="37"/>
      <c r="D2394" s="37"/>
    </row>
    <row r="2395" spans="1:4" ht="17.25" x14ac:dyDescent="0.3">
      <c r="A2395" s="36"/>
      <c r="B2395" s="37"/>
      <c r="C2395" s="37"/>
      <c r="D2395" s="37"/>
    </row>
    <row r="2396" spans="1:4" ht="17.25" x14ac:dyDescent="0.3">
      <c r="A2396" s="36"/>
      <c r="B2396" s="37"/>
      <c r="C2396" s="37"/>
      <c r="D2396" s="37"/>
    </row>
    <row r="2397" spans="1:4" ht="17.25" x14ac:dyDescent="0.3">
      <c r="A2397" s="36"/>
      <c r="B2397" s="37"/>
      <c r="C2397" s="37"/>
      <c r="D2397" s="37"/>
    </row>
    <row r="2398" spans="1:4" ht="17.25" x14ac:dyDescent="0.3">
      <c r="A2398" s="36"/>
      <c r="B2398" s="37"/>
      <c r="C2398" s="37"/>
      <c r="D2398" s="37"/>
    </row>
    <row r="2399" spans="1:4" ht="17.25" x14ac:dyDescent="0.3">
      <c r="A2399" s="36"/>
      <c r="B2399" s="37"/>
      <c r="C2399" s="37"/>
      <c r="D2399" s="37"/>
    </row>
    <row r="2400" spans="1:4" ht="17.25" x14ac:dyDescent="0.3">
      <c r="A2400" s="36"/>
      <c r="B2400" s="37"/>
      <c r="C2400" s="37"/>
      <c r="D2400" s="37"/>
    </row>
    <row r="2401" spans="1:4" ht="17.25" x14ac:dyDescent="0.3">
      <c r="A2401" s="36"/>
      <c r="B2401" s="37"/>
      <c r="C2401" s="37"/>
      <c r="D2401" s="37"/>
    </row>
    <row r="2402" spans="1:4" ht="17.25" x14ac:dyDescent="0.3">
      <c r="A2402" s="36"/>
      <c r="B2402" s="37"/>
      <c r="C2402" s="37"/>
      <c r="D2402" s="37"/>
    </row>
    <row r="2403" spans="1:4" ht="17.25" x14ac:dyDescent="0.3">
      <c r="A2403" s="36"/>
      <c r="B2403" s="37"/>
      <c r="C2403" s="37"/>
      <c r="D2403" s="37"/>
    </row>
    <row r="2404" spans="1:4" ht="17.25" x14ac:dyDescent="0.3">
      <c r="A2404" s="36"/>
      <c r="B2404" s="37"/>
      <c r="C2404" s="37"/>
      <c r="D2404" s="37"/>
    </row>
    <row r="2405" spans="1:4" ht="17.25" x14ac:dyDescent="0.3">
      <c r="A2405" s="36"/>
      <c r="B2405" s="37"/>
      <c r="C2405" s="37"/>
      <c r="D2405" s="37"/>
    </row>
    <row r="2406" spans="1:4" ht="17.25" x14ac:dyDescent="0.3">
      <c r="A2406" s="36"/>
      <c r="B2406" s="37"/>
      <c r="C2406" s="37"/>
      <c r="D2406" s="37"/>
    </row>
    <row r="2407" spans="1:4" ht="17.25" x14ac:dyDescent="0.3">
      <c r="A2407" s="36"/>
      <c r="B2407" s="37"/>
      <c r="C2407" s="37"/>
      <c r="D2407" s="37"/>
    </row>
    <row r="2408" spans="1:4" ht="17.25" x14ac:dyDescent="0.3">
      <c r="A2408" s="36"/>
      <c r="B2408" s="37"/>
      <c r="C2408" s="37"/>
      <c r="D2408" s="37"/>
    </row>
    <row r="2409" spans="1:4" ht="17.25" x14ac:dyDescent="0.3">
      <c r="A2409" s="36"/>
      <c r="B2409" s="37"/>
      <c r="C2409" s="37"/>
      <c r="D2409" s="37"/>
    </row>
    <row r="2410" spans="1:4" ht="17.25" x14ac:dyDescent="0.3">
      <c r="A2410" s="36"/>
      <c r="B2410" s="37"/>
      <c r="C2410" s="37"/>
      <c r="D2410" s="37"/>
    </row>
    <row r="2411" spans="1:4" ht="17.25" x14ac:dyDescent="0.3">
      <c r="A2411" s="36"/>
      <c r="B2411" s="37"/>
      <c r="C2411" s="37"/>
      <c r="D2411" s="37"/>
    </row>
    <row r="2412" spans="1:4" ht="17.25" x14ac:dyDescent="0.3">
      <c r="A2412" s="36"/>
      <c r="B2412" s="37"/>
      <c r="C2412" s="37"/>
      <c r="D2412" s="37"/>
    </row>
    <row r="2413" spans="1:4" ht="17.25" x14ac:dyDescent="0.3">
      <c r="A2413" s="36"/>
      <c r="B2413" s="37"/>
      <c r="C2413" s="37"/>
      <c r="D2413" s="37"/>
    </row>
    <row r="2414" spans="1:4" ht="17.25" x14ac:dyDescent="0.3">
      <c r="A2414" s="36"/>
      <c r="B2414" s="37"/>
      <c r="C2414" s="37"/>
      <c r="D2414" s="37"/>
    </row>
    <row r="2415" spans="1:4" ht="17.25" x14ac:dyDescent="0.3">
      <c r="A2415" s="36"/>
      <c r="B2415" s="37"/>
      <c r="C2415" s="37"/>
      <c r="D2415" s="37"/>
    </row>
    <row r="2416" spans="1:4" ht="17.25" x14ac:dyDescent="0.3">
      <c r="A2416" s="36"/>
      <c r="B2416" s="37"/>
      <c r="C2416" s="37"/>
      <c r="D2416" s="37"/>
    </row>
    <row r="2417" spans="1:4" ht="17.25" x14ac:dyDescent="0.3">
      <c r="A2417" s="36"/>
      <c r="B2417" s="37"/>
      <c r="C2417" s="37"/>
      <c r="D2417" s="37"/>
    </row>
    <row r="2418" spans="1:4" ht="17.25" x14ac:dyDescent="0.3">
      <c r="A2418" s="36"/>
      <c r="B2418" s="37"/>
      <c r="C2418" s="37"/>
      <c r="D2418" s="37"/>
    </row>
    <row r="2419" spans="1:4" ht="17.25" x14ac:dyDescent="0.3">
      <c r="A2419" s="36"/>
      <c r="B2419" s="37"/>
      <c r="C2419" s="37"/>
      <c r="D2419" s="37"/>
    </row>
    <row r="2420" spans="1:4" ht="17.25" x14ac:dyDescent="0.3">
      <c r="A2420" s="36"/>
      <c r="B2420" s="37"/>
      <c r="C2420" s="37"/>
      <c r="D2420" s="37"/>
    </row>
    <row r="2421" spans="1:4" ht="17.25" x14ac:dyDescent="0.3">
      <c r="A2421" s="36"/>
      <c r="B2421" s="37"/>
      <c r="C2421" s="37"/>
      <c r="D2421" s="37"/>
    </row>
    <row r="2422" spans="1:4" ht="17.25" x14ac:dyDescent="0.3">
      <c r="A2422" s="36"/>
      <c r="B2422" s="37"/>
      <c r="C2422" s="37"/>
      <c r="D2422" s="37"/>
    </row>
    <row r="2423" spans="1:4" ht="17.25" x14ac:dyDescent="0.3">
      <c r="A2423" s="36"/>
      <c r="B2423" s="37"/>
      <c r="C2423" s="37"/>
      <c r="D2423" s="37"/>
    </row>
    <row r="2424" spans="1:4" ht="17.25" x14ac:dyDescent="0.3">
      <c r="A2424" s="36"/>
      <c r="B2424" s="37"/>
      <c r="C2424" s="37"/>
      <c r="D2424" s="37"/>
    </row>
    <row r="2425" spans="1:4" ht="17.25" x14ac:dyDescent="0.3">
      <c r="A2425" s="36"/>
      <c r="B2425" s="37"/>
      <c r="C2425" s="37"/>
      <c r="D2425" s="37"/>
    </row>
    <row r="2426" spans="1:4" ht="17.25" x14ac:dyDescent="0.3">
      <c r="A2426" s="36"/>
      <c r="B2426" s="37"/>
      <c r="C2426" s="37"/>
      <c r="D2426" s="37"/>
    </row>
    <row r="2427" spans="1:4" ht="17.25" x14ac:dyDescent="0.3">
      <c r="A2427" s="36"/>
      <c r="B2427" s="37"/>
      <c r="C2427" s="37"/>
      <c r="D2427" s="37"/>
    </row>
    <row r="2428" spans="1:4" ht="17.25" x14ac:dyDescent="0.3">
      <c r="A2428" s="36"/>
      <c r="B2428" s="37"/>
      <c r="C2428" s="37"/>
      <c r="D2428" s="37"/>
    </row>
    <row r="2429" spans="1:4" ht="17.25" x14ac:dyDescent="0.3">
      <c r="A2429" s="36"/>
      <c r="B2429" s="37"/>
      <c r="C2429" s="37"/>
      <c r="D2429" s="37"/>
    </row>
    <row r="2430" spans="1:4" ht="17.25" x14ac:dyDescent="0.3">
      <c r="A2430" s="36"/>
      <c r="B2430" s="37"/>
      <c r="C2430" s="37"/>
      <c r="D2430" s="37"/>
    </row>
    <row r="2431" spans="1:4" ht="17.25" x14ac:dyDescent="0.3">
      <c r="A2431" s="36"/>
      <c r="B2431" s="37"/>
      <c r="C2431" s="37"/>
      <c r="D2431" s="37"/>
    </row>
    <row r="2432" spans="1:4" ht="17.25" x14ac:dyDescent="0.3">
      <c r="A2432" s="36"/>
      <c r="B2432" s="37"/>
      <c r="C2432" s="37"/>
      <c r="D2432" s="37"/>
    </row>
    <row r="2433" spans="1:4" ht="17.25" x14ac:dyDescent="0.3">
      <c r="A2433" s="36"/>
      <c r="B2433" s="37"/>
      <c r="C2433" s="37"/>
      <c r="D2433" s="37"/>
    </row>
    <row r="2434" spans="1:4" ht="17.25" x14ac:dyDescent="0.3">
      <c r="A2434" s="36"/>
      <c r="B2434" s="37"/>
      <c r="C2434" s="37"/>
      <c r="D2434" s="37"/>
    </row>
    <row r="2435" spans="1:4" ht="17.25" x14ac:dyDescent="0.3">
      <c r="A2435" s="36"/>
      <c r="B2435" s="37"/>
      <c r="C2435" s="37"/>
      <c r="D2435" s="37"/>
    </row>
    <row r="2436" spans="1:4" ht="17.25" x14ac:dyDescent="0.3">
      <c r="A2436" s="36"/>
      <c r="B2436" s="37"/>
      <c r="C2436" s="37"/>
      <c r="D2436" s="37"/>
    </row>
    <row r="2437" spans="1:4" ht="17.25" x14ac:dyDescent="0.3">
      <c r="A2437" s="36"/>
      <c r="B2437" s="37"/>
      <c r="C2437" s="37"/>
      <c r="D2437" s="37"/>
    </row>
    <row r="2438" spans="1:4" ht="17.25" x14ac:dyDescent="0.3">
      <c r="A2438" s="36"/>
      <c r="B2438" s="37"/>
      <c r="C2438" s="37"/>
      <c r="D2438" s="37"/>
    </row>
    <row r="2439" spans="1:4" ht="17.25" x14ac:dyDescent="0.3">
      <c r="A2439" s="36"/>
      <c r="B2439" s="37"/>
      <c r="C2439" s="37"/>
      <c r="D2439" s="37"/>
    </row>
    <row r="2440" spans="1:4" ht="17.25" x14ac:dyDescent="0.3">
      <c r="A2440" s="36"/>
      <c r="B2440" s="37"/>
      <c r="C2440" s="37"/>
      <c r="D2440" s="37"/>
    </row>
    <row r="2441" spans="1:4" ht="17.25" x14ac:dyDescent="0.3">
      <c r="A2441" s="36"/>
      <c r="B2441" s="37"/>
      <c r="C2441" s="37"/>
      <c r="D2441" s="37"/>
    </row>
    <row r="2442" spans="1:4" ht="17.25" x14ac:dyDescent="0.3">
      <c r="A2442" s="36"/>
      <c r="B2442" s="37"/>
      <c r="C2442" s="37"/>
      <c r="D2442" s="37"/>
    </row>
    <row r="2443" spans="1:4" ht="17.25" x14ac:dyDescent="0.3">
      <c r="A2443" s="36"/>
      <c r="B2443" s="37"/>
      <c r="C2443" s="37"/>
      <c r="D2443" s="37"/>
    </row>
    <row r="2444" spans="1:4" ht="17.25" x14ac:dyDescent="0.3">
      <c r="A2444" s="36"/>
      <c r="B2444" s="37"/>
      <c r="C2444" s="37"/>
      <c r="D2444" s="37"/>
    </row>
    <row r="2445" spans="1:4" ht="17.25" x14ac:dyDescent="0.3">
      <c r="A2445" s="36"/>
      <c r="B2445" s="37"/>
      <c r="C2445" s="37"/>
      <c r="D2445" s="37"/>
    </row>
    <row r="2446" spans="1:4" ht="17.25" x14ac:dyDescent="0.3">
      <c r="A2446" s="36"/>
      <c r="B2446" s="37"/>
      <c r="C2446" s="37"/>
      <c r="D2446" s="37"/>
    </row>
    <row r="2447" spans="1:4" ht="17.25" x14ac:dyDescent="0.3">
      <c r="A2447" s="36"/>
      <c r="B2447" s="37"/>
      <c r="C2447" s="37"/>
      <c r="D2447" s="37"/>
    </row>
    <row r="2448" spans="1:4" ht="17.25" x14ac:dyDescent="0.3">
      <c r="A2448" s="36"/>
      <c r="B2448" s="37"/>
      <c r="C2448" s="37"/>
      <c r="D2448" s="37"/>
    </row>
    <row r="2449" spans="1:4" ht="17.25" x14ac:dyDescent="0.3">
      <c r="A2449" s="36"/>
      <c r="B2449" s="37"/>
      <c r="C2449" s="37"/>
      <c r="D2449" s="37"/>
    </row>
    <row r="2450" spans="1:4" ht="17.25" x14ac:dyDescent="0.3">
      <c r="A2450" s="36"/>
      <c r="B2450" s="37"/>
      <c r="C2450" s="37"/>
      <c r="D2450" s="37"/>
    </row>
    <row r="2451" spans="1:4" ht="17.25" x14ac:dyDescent="0.3">
      <c r="A2451" s="36"/>
      <c r="B2451" s="37"/>
      <c r="C2451" s="37"/>
      <c r="D2451" s="37"/>
    </row>
    <row r="2452" spans="1:4" ht="17.25" x14ac:dyDescent="0.3">
      <c r="A2452" s="36"/>
      <c r="B2452" s="37"/>
      <c r="C2452" s="37"/>
      <c r="D2452" s="37"/>
    </row>
    <row r="2453" spans="1:4" ht="17.25" x14ac:dyDescent="0.3">
      <c r="A2453" s="36"/>
      <c r="B2453" s="37"/>
      <c r="C2453" s="37"/>
      <c r="D2453" s="37"/>
    </row>
    <row r="2454" spans="1:4" ht="17.25" x14ac:dyDescent="0.3">
      <c r="A2454" s="36"/>
      <c r="B2454" s="37"/>
      <c r="C2454" s="37"/>
      <c r="D2454" s="37"/>
    </row>
    <row r="2455" spans="1:4" ht="17.25" x14ac:dyDescent="0.3">
      <c r="A2455" s="36"/>
      <c r="B2455" s="37"/>
      <c r="C2455" s="37"/>
      <c r="D2455" s="37"/>
    </row>
    <row r="2456" spans="1:4" ht="17.25" x14ac:dyDescent="0.3">
      <c r="A2456" s="36"/>
      <c r="B2456" s="37"/>
      <c r="C2456" s="37"/>
      <c r="D2456" s="37"/>
    </row>
    <row r="2457" spans="1:4" ht="17.25" x14ac:dyDescent="0.3">
      <c r="A2457" s="36"/>
      <c r="B2457" s="37"/>
      <c r="C2457" s="37"/>
      <c r="D2457" s="37"/>
    </row>
    <row r="2458" spans="1:4" ht="17.25" x14ac:dyDescent="0.3">
      <c r="A2458" s="36"/>
      <c r="B2458" s="37"/>
      <c r="C2458" s="37"/>
      <c r="D2458" s="37"/>
    </row>
    <row r="2459" spans="1:4" ht="17.25" x14ac:dyDescent="0.3">
      <c r="A2459" s="36"/>
      <c r="B2459" s="37"/>
      <c r="C2459" s="37"/>
      <c r="D2459" s="37"/>
    </row>
    <row r="2460" spans="1:4" ht="17.25" x14ac:dyDescent="0.3">
      <c r="A2460" s="36"/>
      <c r="B2460" s="37"/>
      <c r="C2460" s="37"/>
      <c r="D2460" s="37"/>
    </row>
    <row r="2461" spans="1:4" ht="17.25" x14ac:dyDescent="0.3">
      <c r="A2461" s="36"/>
      <c r="B2461" s="37"/>
      <c r="C2461" s="37"/>
      <c r="D2461" s="37"/>
    </row>
    <row r="2462" spans="1:4" ht="17.25" x14ac:dyDescent="0.3">
      <c r="A2462" s="36"/>
      <c r="B2462" s="37"/>
      <c r="C2462" s="37"/>
      <c r="D2462" s="37"/>
    </row>
    <row r="2463" spans="1:4" ht="17.25" x14ac:dyDescent="0.3">
      <c r="A2463" s="36"/>
      <c r="B2463" s="37"/>
      <c r="C2463" s="37"/>
      <c r="D2463" s="37"/>
    </row>
    <row r="2464" spans="1:4" ht="17.25" x14ac:dyDescent="0.3">
      <c r="A2464" s="36"/>
      <c r="B2464" s="37"/>
      <c r="C2464" s="37"/>
      <c r="D2464" s="37"/>
    </row>
    <row r="2465" spans="1:4" ht="17.25" x14ac:dyDescent="0.3">
      <c r="A2465" s="36"/>
      <c r="B2465" s="37"/>
      <c r="C2465" s="37"/>
      <c r="D2465" s="37"/>
    </row>
    <row r="2466" spans="1:4" ht="17.25" x14ac:dyDescent="0.3">
      <c r="A2466" s="36"/>
      <c r="B2466" s="37"/>
      <c r="C2466" s="37"/>
      <c r="D2466" s="37"/>
    </row>
    <row r="2467" spans="1:4" ht="17.25" x14ac:dyDescent="0.3">
      <c r="A2467" s="36"/>
      <c r="B2467" s="37"/>
      <c r="C2467" s="37"/>
      <c r="D2467" s="37"/>
    </row>
    <row r="2468" spans="1:4" ht="17.25" x14ac:dyDescent="0.3">
      <c r="A2468" s="36"/>
      <c r="B2468" s="37"/>
      <c r="C2468" s="37"/>
      <c r="D2468" s="37"/>
    </row>
    <row r="2469" spans="1:4" ht="17.25" x14ac:dyDescent="0.3">
      <c r="A2469" s="36"/>
      <c r="B2469" s="37"/>
      <c r="C2469" s="37"/>
      <c r="D2469" s="37"/>
    </row>
    <row r="2470" spans="1:4" ht="17.25" x14ac:dyDescent="0.3">
      <c r="A2470" s="36"/>
      <c r="B2470" s="37"/>
      <c r="C2470" s="37"/>
      <c r="D2470" s="37"/>
    </row>
    <row r="2471" spans="1:4" ht="17.25" x14ac:dyDescent="0.3">
      <c r="A2471" s="36"/>
      <c r="B2471" s="37"/>
      <c r="C2471" s="37"/>
      <c r="D2471" s="37"/>
    </row>
    <row r="2472" spans="1:4" ht="17.25" x14ac:dyDescent="0.3">
      <c r="A2472" s="36"/>
      <c r="B2472" s="37"/>
      <c r="C2472" s="37"/>
      <c r="D2472" s="37"/>
    </row>
    <row r="2473" spans="1:4" ht="17.25" x14ac:dyDescent="0.3">
      <c r="A2473" s="36"/>
      <c r="B2473" s="37"/>
      <c r="C2473" s="37"/>
      <c r="D2473" s="37"/>
    </row>
    <row r="2474" spans="1:4" ht="17.25" x14ac:dyDescent="0.3">
      <c r="A2474" s="36"/>
      <c r="B2474" s="37"/>
      <c r="C2474" s="37"/>
      <c r="D2474" s="37"/>
    </row>
    <row r="2475" spans="1:4" ht="17.25" x14ac:dyDescent="0.3">
      <c r="A2475" s="36"/>
      <c r="B2475" s="37"/>
      <c r="C2475" s="37"/>
      <c r="D2475" s="37"/>
    </row>
    <row r="2476" spans="1:4" ht="17.25" x14ac:dyDescent="0.3">
      <c r="A2476" s="36"/>
      <c r="B2476" s="37"/>
      <c r="C2476" s="37"/>
      <c r="D2476" s="37"/>
    </row>
    <row r="2477" spans="1:4" ht="17.25" x14ac:dyDescent="0.3">
      <c r="A2477" s="36"/>
      <c r="B2477" s="37"/>
      <c r="C2477" s="37"/>
      <c r="D2477" s="37"/>
    </row>
    <row r="2478" spans="1:4" ht="17.25" x14ac:dyDescent="0.3">
      <c r="A2478" s="36"/>
      <c r="B2478" s="37"/>
      <c r="C2478" s="37"/>
      <c r="D2478" s="37"/>
    </row>
    <row r="2479" spans="1:4" ht="17.25" x14ac:dyDescent="0.3">
      <c r="A2479" s="36"/>
      <c r="B2479" s="37"/>
      <c r="C2479" s="37"/>
      <c r="D2479" s="37"/>
    </row>
    <row r="2480" spans="1:4" ht="17.25" x14ac:dyDescent="0.3">
      <c r="A2480" s="36"/>
      <c r="B2480" s="37"/>
      <c r="C2480" s="37"/>
      <c r="D2480" s="37"/>
    </row>
    <row r="2481" spans="1:4" ht="17.25" x14ac:dyDescent="0.3">
      <c r="A2481" s="36"/>
      <c r="B2481" s="37"/>
      <c r="C2481" s="37"/>
      <c r="D2481" s="37"/>
    </row>
    <row r="2482" spans="1:4" ht="17.25" x14ac:dyDescent="0.3">
      <c r="A2482" s="36"/>
      <c r="B2482" s="37"/>
      <c r="C2482" s="37"/>
      <c r="D2482" s="37"/>
    </row>
    <row r="2483" spans="1:4" ht="17.25" x14ac:dyDescent="0.3">
      <c r="A2483" s="36"/>
      <c r="B2483" s="37"/>
      <c r="C2483" s="37"/>
      <c r="D2483" s="37"/>
    </row>
    <row r="2484" spans="1:4" ht="17.25" x14ac:dyDescent="0.3">
      <c r="A2484" s="36"/>
      <c r="B2484" s="37"/>
      <c r="C2484" s="37"/>
      <c r="D2484" s="37"/>
    </row>
    <row r="2485" spans="1:4" ht="17.25" x14ac:dyDescent="0.3">
      <c r="A2485" s="36"/>
      <c r="B2485" s="37"/>
      <c r="C2485" s="37"/>
      <c r="D2485" s="37"/>
    </row>
    <row r="2486" spans="1:4" ht="17.25" x14ac:dyDescent="0.3">
      <c r="A2486" s="36"/>
      <c r="B2486" s="37"/>
      <c r="C2486" s="37"/>
      <c r="D2486" s="37"/>
    </row>
    <row r="2487" spans="1:4" ht="17.25" x14ac:dyDescent="0.3">
      <c r="A2487" s="36"/>
      <c r="B2487" s="37"/>
      <c r="C2487" s="37"/>
      <c r="D2487" s="37"/>
    </row>
    <row r="2488" spans="1:4" ht="17.25" x14ac:dyDescent="0.3">
      <c r="A2488" s="36"/>
      <c r="B2488" s="37"/>
      <c r="C2488" s="37"/>
      <c r="D2488" s="37"/>
    </row>
    <row r="2489" spans="1:4" ht="17.25" x14ac:dyDescent="0.3">
      <c r="A2489" s="36"/>
      <c r="B2489" s="37"/>
      <c r="C2489" s="37"/>
      <c r="D2489" s="37"/>
    </row>
    <row r="2490" spans="1:4" ht="17.25" x14ac:dyDescent="0.3">
      <c r="A2490" s="36"/>
      <c r="B2490" s="37"/>
      <c r="C2490" s="37"/>
      <c r="D2490" s="37"/>
    </row>
    <row r="2491" spans="1:4" ht="17.25" x14ac:dyDescent="0.3">
      <c r="A2491" s="36"/>
      <c r="B2491" s="37"/>
      <c r="C2491" s="37"/>
      <c r="D2491" s="37"/>
    </row>
    <row r="2492" spans="1:4" ht="17.25" x14ac:dyDescent="0.3">
      <c r="A2492" s="36"/>
      <c r="B2492" s="37"/>
      <c r="C2492" s="37"/>
      <c r="D2492" s="37"/>
    </row>
    <row r="2493" spans="1:4" ht="17.25" x14ac:dyDescent="0.3">
      <c r="A2493" s="36"/>
      <c r="B2493" s="37"/>
      <c r="C2493" s="37"/>
      <c r="D2493" s="37"/>
    </row>
    <row r="2494" spans="1:4" ht="17.25" x14ac:dyDescent="0.3">
      <c r="A2494" s="36"/>
      <c r="B2494" s="37"/>
      <c r="C2494" s="37"/>
      <c r="D2494" s="37"/>
    </row>
    <row r="2495" spans="1:4" ht="17.25" x14ac:dyDescent="0.3">
      <c r="A2495" s="36"/>
      <c r="B2495" s="37"/>
      <c r="C2495" s="37"/>
      <c r="D2495" s="37"/>
    </row>
    <row r="2496" spans="1:4" ht="17.25" x14ac:dyDescent="0.3">
      <c r="A2496" s="36"/>
      <c r="B2496" s="37"/>
      <c r="C2496" s="37"/>
      <c r="D2496" s="37"/>
    </row>
    <row r="2497" spans="1:4" ht="17.25" x14ac:dyDescent="0.3">
      <c r="A2497" s="36"/>
      <c r="B2497" s="37"/>
      <c r="C2497" s="37"/>
      <c r="D2497" s="37"/>
    </row>
    <row r="2498" spans="1:4" ht="17.25" x14ac:dyDescent="0.3">
      <c r="A2498" s="36"/>
      <c r="B2498" s="37"/>
      <c r="C2498" s="37"/>
      <c r="D2498" s="37"/>
    </row>
    <row r="2499" spans="1:4" ht="17.25" x14ac:dyDescent="0.3">
      <c r="A2499" s="36"/>
      <c r="B2499" s="37"/>
      <c r="C2499" s="37"/>
      <c r="D2499" s="37"/>
    </row>
    <row r="2500" spans="1:4" ht="17.25" x14ac:dyDescent="0.3">
      <c r="A2500" s="36"/>
      <c r="B2500" s="37"/>
      <c r="C2500" s="37"/>
      <c r="D2500" s="37"/>
    </row>
    <row r="2501" spans="1:4" ht="17.25" x14ac:dyDescent="0.3">
      <c r="A2501" s="36"/>
      <c r="B2501" s="37"/>
      <c r="C2501" s="37"/>
      <c r="D2501" s="37"/>
    </row>
    <row r="2502" spans="1:4" ht="17.25" x14ac:dyDescent="0.3">
      <c r="A2502" s="36"/>
      <c r="B2502" s="37"/>
      <c r="C2502" s="37"/>
      <c r="D2502" s="37"/>
    </row>
    <row r="2503" spans="1:4" ht="17.25" x14ac:dyDescent="0.3">
      <c r="A2503" s="36"/>
      <c r="B2503" s="37"/>
      <c r="C2503" s="37"/>
      <c r="D2503" s="37"/>
    </row>
    <row r="2504" spans="1:4" ht="17.25" x14ac:dyDescent="0.3">
      <c r="A2504" s="36"/>
      <c r="B2504" s="37"/>
      <c r="C2504" s="37"/>
      <c r="D2504" s="37"/>
    </row>
    <row r="2505" spans="1:4" ht="17.25" x14ac:dyDescent="0.3">
      <c r="A2505" s="36"/>
      <c r="B2505" s="37"/>
      <c r="C2505" s="37"/>
      <c r="D2505" s="37"/>
    </row>
    <row r="2506" spans="1:4" ht="17.25" x14ac:dyDescent="0.3">
      <c r="A2506" s="36"/>
      <c r="B2506" s="37"/>
      <c r="C2506" s="37"/>
      <c r="D2506" s="37"/>
    </row>
    <row r="2507" spans="1:4" ht="17.25" x14ac:dyDescent="0.3">
      <c r="A2507" s="36"/>
      <c r="B2507" s="37"/>
      <c r="C2507" s="37"/>
      <c r="D2507" s="37"/>
    </row>
    <row r="2508" spans="1:4" ht="17.25" x14ac:dyDescent="0.3">
      <c r="A2508" s="36"/>
      <c r="B2508" s="37"/>
      <c r="C2508" s="37"/>
      <c r="D2508" s="37"/>
    </row>
    <row r="2509" spans="1:4" ht="17.25" x14ac:dyDescent="0.3">
      <c r="A2509" s="36"/>
      <c r="B2509" s="37"/>
      <c r="C2509" s="37"/>
      <c r="D2509" s="37"/>
    </row>
    <row r="2510" spans="1:4" ht="17.25" x14ac:dyDescent="0.3">
      <c r="A2510" s="36"/>
      <c r="B2510" s="37"/>
      <c r="C2510" s="37"/>
      <c r="D2510" s="37"/>
    </row>
    <row r="2511" spans="1:4" ht="17.25" x14ac:dyDescent="0.3">
      <c r="A2511" s="36"/>
      <c r="B2511" s="37"/>
      <c r="C2511" s="37"/>
      <c r="D2511" s="37"/>
    </row>
    <row r="2512" spans="1:4" ht="17.25" x14ac:dyDescent="0.3">
      <c r="A2512" s="36"/>
      <c r="B2512" s="37"/>
      <c r="C2512" s="37"/>
      <c r="D2512" s="37"/>
    </row>
    <row r="2513" spans="1:4" ht="17.25" x14ac:dyDescent="0.3">
      <c r="A2513" s="36"/>
      <c r="B2513" s="37"/>
      <c r="C2513" s="37"/>
      <c r="D2513" s="37"/>
    </row>
    <row r="2514" spans="1:4" ht="17.25" x14ac:dyDescent="0.3">
      <c r="A2514" s="36"/>
      <c r="B2514" s="37"/>
      <c r="C2514" s="37"/>
      <c r="D2514" s="37"/>
    </row>
    <row r="2515" spans="1:4" ht="17.25" x14ac:dyDescent="0.3">
      <c r="A2515" s="36"/>
      <c r="B2515" s="37"/>
      <c r="C2515" s="37"/>
      <c r="D2515" s="37"/>
    </row>
    <row r="2516" spans="1:4" ht="17.25" x14ac:dyDescent="0.3">
      <c r="A2516" s="36"/>
      <c r="B2516" s="37"/>
      <c r="C2516" s="37"/>
      <c r="D2516" s="37"/>
    </row>
    <row r="2517" spans="1:4" ht="17.25" x14ac:dyDescent="0.3">
      <c r="A2517" s="36"/>
      <c r="B2517" s="37"/>
      <c r="C2517" s="37"/>
      <c r="D2517" s="37"/>
    </row>
    <row r="2518" spans="1:4" ht="17.25" x14ac:dyDescent="0.3">
      <c r="A2518" s="36"/>
      <c r="B2518" s="37"/>
      <c r="C2518" s="37"/>
      <c r="D2518" s="37"/>
    </row>
    <row r="2519" spans="1:4" ht="17.25" x14ac:dyDescent="0.3">
      <c r="A2519" s="36"/>
      <c r="B2519" s="37"/>
      <c r="C2519" s="37"/>
      <c r="D2519" s="37"/>
    </row>
    <row r="2520" spans="1:4" ht="17.25" x14ac:dyDescent="0.3">
      <c r="A2520" s="36"/>
      <c r="B2520" s="37"/>
      <c r="C2520" s="37"/>
      <c r="D2520" s="37"/>
    </row>
    <row r="2521" spans="1:4" ht="17.25" x14ac:dyDescent="0.3">
      <c r="A2521" s="36"/>
      <c r="B2521" s="37"/>
      <c r="C2521" s="37"/>
      <c r="D2521" s="37"/>
    </row>
    <row r="2522" spans="1:4" ht="17.25" x14ac:dyDescent="0.3">
      <c r="A2522" s="36"/>
      <c r="B2522" s="37"/>
      <c r="C2522" s="37"/>
      <c r="D2522" s="37"/>
    </row>
    <row r="2523" spans="1:4" ht="17.25" x14ac:dyDescent="0.3">
      <c r="A2523" s="36"/>
      <c r="B2523" s="37"/>
      <c r="C2523" s="37"/>
      <c r="D2523" s="37"/>
    </row>
    <row r="2524" spans="1:4" ht="17.25" x14ac:dyDescent="0.3">
      <c r="A2524" s="36"/>
      <c r="B2524" s="37"/>
      <c r="C2524" s="37"/>
      <c r="D2524" s="37"/>
    </row>
    <row r="2525" spans="1:4" ht="17.25" x14ac:dyDescent="0.3">
      <c r="A2525" s="36"/>
      <c r="B2525" s="37"/>
      <c r="C2525" s="37"/>
      <c r="D2525" s="37"/>
    </row>
    <row r="2526" spans="1:4" ht="17.25" x14ac:dyDescent="0.3">
      <c r="A2526" s="36"/>
      <c r="B2526" s="37"/>
      <c r="C2526" s="37"/>
      <c r="D2526" s="37"/>
    </row>
    <row r="2527" spans="1:4" ht="17.25" x14ac:dyDescent="0.3">
      <c r="A2527" s="36"/>
      <c r="B2527" s="37"/>
      <c r="C2527" s="37"/>
      <c r="D2527" s="37"/>
    </row>
    <row r="2528" spans="1:4" ht="17.25" x14ac:dyDescent="0.3">
      <c r="A2528" s="36"/>
      <c r="B2528" s="37"/>
      <c r="C2528" s="37"/>
      <c r="D2528" s="37"/>
    </row>
    <row r="2529" spans="1:4" ht="17.25" x14ac:dyDescent="0.3">
      <c r="A2529" s="36"/>
      <c r="B2529" s="37"/>
      <c r="C2529" s="37"/>
      <c r="D2529" s="37"/>
    </row>
    <row r="2530" spans="1:4" ht="17.25" x14ac:dyDescent="0.3">
      <c r="A2530" s="36"/>
      <c r="B2530" s="37"/>
      <c r="C2530" s="37"/>
      <c r="D2530" s="37"/>
    </row>
    <row r="2531" spans="1:4" ht="17.25" x14ac:dyDescent="0.3">
      <c r="A2531" s="36"/>
      <c r="B2531" s="37"/>
      <c r="C2531" s="37"/>
      <c r="D2531" s="37"/>
    </row>
    <row r="2532" spans="1:4" ht="17.25" x14ac:dyDescent="0.3">
      <c r="A2532" s="36"/>
      <c r="B2532" s="37"/>
      <c r="C2532" s="37"/>
      <c r="D2532" s="37"/>
    </row>
    <row r="2533" spans="1:4" ht="17.25" x14ac:dyDescent="0.3">
      <c r="A2533" s="36"/>
      <c r="B2533" s="37"/>
      <c r="C2533" s="37"/>
      <c r="D2533" s="37"/>
    </row>
    <row r="2534" spans="1:4" ht="17.25" x14ac:dyDescent="0.3">
      <c r="A2534" s="36"/>
      <c r="B2534" s="37"/>
      <c r="C2534" s="37"/>
      <c r="D2534" s="37"/>
    </row>
    <row r="2535" spans="1:4" ht="17.25" x14ac:dyDescent="0.3">
      <c r="A2535" s="36"/>
      <c r="B2535" s="37"/>
      <c r="C2535" s="37"/>
      <c r="D2535" s="37"/>
    </row>
    <row r="2536" spans="1:4" ht="17.25" x14ac:dyDescent="0.3">
      <c r="A2536" s="36"/>
      <c r="B2536" s="37"/>
      <c r="C2536" s="37"/>
      <c r="D2536" s="37"/>
    </row>
    <row r="2537" spans="1:4" ht="17.25" x14ac:dyDescent="0.3">
      <c r="A2537" s="36"/>
      <c r="B2537" s="37"/>
      <c r="C2537" s="37"/>
      <c r="D2537" s="37"/>
    </row>
    <row r="2538" spans="1:4" ht="17.25" x14ac:dyDescent="0.3">
      <c r="A2538" s="36"/>
      <c r="B2538" s="37"/>
      <c r="C2538" s="37"/>
      <c r="D2538" s="37"/>
    </row>
    <row r="2539" spans="1:4" ht="17.25" x14ac:dyDescent="0.3">
      <c r="A2539" s="36"/>
      <c r="B2539" s="37"/>
      <c r="C2539" s="37"/>
      <c r="D2539" s="37"/>
    </row>
    <row r="2540" spans="1:4" ht="17.25" x14ac:dyDescent="0.3">
      <c r="A2540" s="36"/>
      <c r="B2540" s="37"/>
      <c r="C2540" s="37"/>
      <c r="D2540" s="37"/>
    </row>
    <row r="2541" spans="1:4" ht="17.25" x14ac:dyDescent="0.3">
      <c r="A2541" s="36"/>
      <c r="B2541" s="37"/>
      <c r="C2541" s="37"/>
      <c r="D2541" s="37"/>
    </row>
    <row r="2542" spans="1:4" ht="17.25" x14ac:dyDescent="0.3">
      <c r="A2542" s="36"/>
      <c r="B2542" s="37"/>
      <c r="C2542" s="37"/>
      <c r="D2542" s="37"/>
    </row>
    <row r="2543" spans="1:4" ht="17.25" x14ac:dyDescent="0.3">
      <c r="A2543" s="36"/>
      <c r="B2543" s="37"/>
      <c r="C2543" s="37"/>
      <c r="D2543" s="37"/>
    </row>
    <row r="2544" spans="1:4" ht="17.25" x14ac:dyDescent="0.3">
      <c r="A2544" s="36"/>
      <c r="B2544" s="37"/>
      <c r="C2544" s="37"/>
      <c r="D2544" s="37"/>
    </row>
    <row r="2545" spans="1:4" ht="17.25" x14ac:dyDescent="0.3">
      <c r="A2545" s="36"/>
      <c r="B2545" s="37"/>
      <c r="C2545" s="37"/>
      <c r="D2545" s="37"/>
    </row>
    <row r="2546" spans="1:4" ht="17.25" x14ac:dyDescent="0.3">
      <c r="A2546" s="36"/>
      <c r="B2546" s="37"/>
      <c r="C2546" s="37"/>
      <c r="D2546" s="37"/>
    </row>
    <row r="2547" spans="1:4" ht="17.25" x14ac:dyDescent="0.3">
      <c r="A2547" s="36"/>
      <c r="B2547" s="37"/>
      <c r="C2547" s="37"/>
      <c r="D2547" s="37"/>
    </row>
    <row r="2548" spans="1:4" ht="17.25" x14ac:dyDescent="0.3">
      <c r="A2548" s="36"/>
      <c r="B2548" s="37"/>
      <c r="C2548" s="37"/>
      <c r="D2548" s="37"/>
    </row>
    <row r="2549" spans="1:4" ht="17.25" x14ac:dyDescent="0.3">
      <c r="A2549" s="36"/>
      <c r="B2549" s="37"/>
      <c r="C2549" s="37"/>
      <c r="D2549" s="37"/>
    </row>
    <row r="2550" spans="1:4" ht="17.25" x14ac:dyDescent="0.3">
      <c r="A2550" s="36"/>
      <c r="B2550" s="37"/>
      <c r="C2550" s="37"/>
      <c r="D2550" s="37"/>
    </row>
    <row r="2551" spans="1:4" ht="17.25" x14ac:dyDescent="0.3">
      <c r="A2551" s="36"/>
      <c r="B2551" s="37"/>
      <c r="C2551" s="37"/>
      <c r="D2551" s="37"/>
    </row>
    <row r="2552" spans="1:4" ht="17.25" x14ac:dyDescent="0.3">
      <c r="A2552" s="36"/>
      <c r="B2552" s="37"/>
      <c r="C2552" s="37"/>
      <c r="D2552" s="37"/>
    </row>
    <row r="2553" spans="1:4" ht="17.25" x14ac:dyDescent="0.3">
      <c r="A2553" s="36"/>
      <c r="B2553" s="37"/>
      <c r="C2553" s="37"/>
      <c r="D2553" s="37"/>
    </row>
    <row r="2554" spans="1:4" ht="17.25" x14ac:dyDescent="0.3">
      <c r="A2554" s="36"/>
      <c r="B2554" s="37"/>
      <c r="C2554" s="37"/>
      <c r="D2554" s="37"/>
    </row>
    <row r="2555" spans="1:4" ht="17.25" x14ac:dyDescent="0.3">
      <c r="A2555" s="36"/>
      <c r="B2555" s="37"/>
      <c r="C2555" s="37"/>
      <c r="D2555" s="37"/>
    </row>
    <row r="2556" spans="1:4" ht="17.25" x14ac:dyDescent="0.3">
      <c r="A2556" s="36"/>
      <c r="B2556" s="37"/>
      <c r="C2556" s="37"/>
      <c r="D2556" s="37"/>
    </row>
    <row r="2557" spans="1:4" ht="17.25" x14ac:dyDescent="0.3">
      <c r="A2557" s="36"/>
      <c r="B2557" s="37"/>
      <c r="C2557" s="37"/>
      <c r="D2557" s="37"/>
    </row>
    <row r="2558" spans="1:4" ht="17.25" x14ac:dyDescent="0.3">
      <c r="A2558" s="36"/>
      <c r="B2558" s="37"/>
      <c r="C2558" s="37"/>
      <c r="D2558" s="37"/>
    </row>
    <row r="2559" spans="1:4" ht="17.25" x14ac:dyDescent="0.3">
      <c r="A2559" s="36"/>
      <c r="B2559" s="37"/>
      <c r="C2559" s="37"/>
      <c r="D2559" s="37"/>
    </row>
    <row r="2560" spans="1:4" ht="17.25" x14ac:dyDescent="0.3">
      <c r="A2560" s="36"/>
      <c r="B2560" s="37"/>
      <c r="C2560" s="37"/>
      <c r="D2560" s="37"/>
    </row>
    <row r="2561" spans="1:4" ht="17.25" x14ac:dyDescent="0.3">
      <c r="A2561" s="36"/>
      <c r="B2561" s="37"/>
      <c r="C2561" s="37"/>
      <c r="D2561" s="37"/>
    </row>
    <row r="2562" spans="1:4" ht="17.25" x14ac:dyDescent="0.3">
      <c r="A2562" s="36"/>
      <c r="B2562" s="37"/>
      <c r="C2562" s="37"/>
      <c r="D2562" s="37"/>
    </row>
    <row r="2563" spans="1:4" ht="17.25" x14ac:dyDescent="0.3">
      <c r="A2563" s="36"/>
      <c r="B2563" s="37"/>
      <c r="C2563" s="37"/>
      <c r="D2563" s="37"/>
    </row>
    <row r="2564" spans="1:4" ht="17.25" x14ac:dyDescent="0.3">
      <c r="A2564" s="36"/>
      <c r="B2564" s="37"/>
      <c r="C2564" s="37"/>
      <c r="D2564" s="37"/>
    </row>
    <row r="2565" spans="1:4" ht="17.25" x14ac:dyDescent="0.3">
      <c r="A2565" s="36"/>
      <c r="B2565" s="37"/>
      <c r="C2565" s="37"/>
      <c r="D2565" s="37"/>
    </row>
    <row r="2566" spans="1:4" ht="17.25" x14ac:dyDescent="0.3">
      <c r="A2566" s="36"/>
      <c r="B2566" s="37"/>
      <c r="C2566" s="37"/>
      <c r="D2566" s="37"/>
    </row>
    <row r="2567" spans="1:4" ht="17.25" x14ac:dyDescent="0.3">
      <c r="A2567" s="36"/>
      <c r="B2567" s="37"/>
      <c r="C2567" s="37"/>
      <c r="D2567" s="37"/>
    </row>
    <row r="2568" spans="1:4" ht="17.25" x14ac:dyDescent="0.3">
      <c r="A2568" s="36"/>
      <c r="B2568" s="37"/>
      <c r="C2568" s="37"/>
      <c r="D2568" s="37"/>
    </row>
    <row r="2569" spans="1:4" ht="17.25" x14ac:dyDescent="0.3">
      <c r="A2569" s="36"/>
      <c r="B2569" s="37"/>
      <c r="C2569" s="37"/>
      <c r="D2569" s="37"/>
    </row>
    <row r="2570" spans="1:4" ht="17.25" x14ac:dyDescent="0.3">
      <c r="A2570" s="36"/>
      <c r="B2570" s="37"/>
      <c r="C2570" s="37"/>
      <c r="D2570" s="37"/>
    </row>
    <row r="2571" spans="1:4" ht="17.25" x14ac:dyDescent="0.3">
      <c r="A2571" s="36"/>
      <c r="B2571" s="37"/>
      <c r="C2571" s="37"/>
      <c r="D2571" s="37"/>
    </row>
    <row r="2572" spans="1:4" ht="17.25" x14ac:dyDescent="0.3">
      <c r="A2572" s="36"/>
      <c r="B2572" s="37"/>
      <c r="C2572" s="37"/>
      <c r="D2572" s="37"/>
    </row>
    <row r="2573" spans="1:4" ht="17.25" x14ac:dyDescent="0.3">
      <c r="A2573" s="36"/>
      <c r="B2573" s="37"/>
      <c r="C2573" s="37"/>
      <c r="D2573" s="37"/>
    </row>
    <row r="2574" spans="1:4" ht="17.25" x14ac:dyDescent="0.3">
      <c r="A2574" s="36"/>
      <c r="B2574" s="37"/>
      <c r="C2574" s="37"/>
      <c r="D2574" s="37"/>
    </row>
    <row r="2575" spans="1:4" ht="17.25" x14ac:dyDescent="0.3">
      <c r="A2575" s="36"/>
      <c r="B2575" s="37"/>
      <c r="C2575" s="37"/>
      <c r="D2575" s="37"/>
    </row>
    <row r="2576" spans="1:4" ht="17.25" x14ac:dyDescent="0.3">
      <c r="A2576" s="36"/>
      <c r="B2576" s="37"/>
      <c r="C2576" s="37"/>
      <c r="D2576" s="37"/>
    </row>
    <row r="2577" spans="1:4" ht="17.25" x14ac:dyDescent="0.3">
      <c r="A2577" s="36"/>
      <c r="B2577" s="37"/>
      <c r="C2577" s="37"/>
      <c r="D2577" s="37"/>
    </row>
    <row r="2578" spans="1:4" ht="17.25" x14ac:dyDescent="0.3">
      <c r="A2578" s="36"/>
      <c r="B2578" s="37"/>
      <c r="C2578" s="37"/>
      <c r="D2578" s="37"/>
    </row>
    <row r="2579" spans="1:4" ht="17.25" x14ac:dyDescent="0.3">
      <c r="A2579" s="36"/>
      <c r="B2579" s="37"/>
      <c r="C2579" s="37"/>
      <c r="D2579" s="37"/>
    </row>
    <row r="2580" spans="1:4" ht="17.25" x14ac:dyDescent="0.3">
      <c r="A2580" s="36"/>
      <c r="B2580" s="37"/>
      <c r="C2580" s="37"/>
      <c r="D2580" s="37"/>
    </row>
    <row r="2581" spans="1:4" ht="17.25" x14ac:dyDescent="0.3">
      <c r="A2581" s="36"/>
      <c r="B2581" s="37"/>
      <c r="C2581" s="37"/>
      <c r="D2581" s="37"/>
    </row>
    <row r="2582" spans="1:4" ht="17.25" x14ac:dyDescent="0.3">
      <c r="A2582" s="36"/>
      <c r="B2582" s="37"/>
      <c r="C2582" s="37"/>
      <c r="D2582" s="37"/>
    </row>
    <row r="2583" spans="1:4" ht="17.25" x14ac:dyDescent="0.3">
      <c r="A2583" s="36"/>
      <c r="B2583" s="37"/>
      <c r="C2583" s="37"/>
      <c r="D2583" s="37"/>
    </row>
    <row r="2584" spans="1:4" ht="17.25" x14ac:dyDescent="0.3">
      <c r="A2584" s="36"/>
      <c r="B2584" s="37"/>
      <c r="C2584" s="37"/>
      <c r="D2584" s="37"/>
    </row>
    <row r="2585" spans="1:4" ht="17.25" x14ac:dyDescent="0.3">
      <c r="A2585" s="36"/>
      <c r="B2585" s="37"/>
      <c r="C2585" s="37"/>
      <c r="D2585" s="37"/>
    </row>
    <row r="2586" spans="1:4" ht="17.25" x14ac:dyDescent="0.3">
      <c r="A2586" s="36"/>
      <c r="B2586" s="37"/>
      <c r="C2586" s="37"/>
      <c r="D2586" s="37"/>
    </row>
    <row r="2587" spans="1:4" ht="17.25" x14ac:dyDescent="0.3">
      <c r="A2587" s="36"/>
      <c r="B2587" s="37"/>
      <c r="C2587" s="37"/>
      <c r="D2587" s="37"/>
    </row>
    <row r="2588" spans="1:4" ht="17.25" x14ac:dyDescent="0.3">
      <c r="A2588" s="36"/>
      <c r="B2588" s="37"/>
      <c r="C2588" s="37"/>
      <c r="D2588" s="37"/>
    </row>
    <row r="2589" spans="1:4" ht="17.25" x14ac:dyDescent="0.3">
      <c r="A2589" s="36"/>
      <c r="B2589" s="37"/>
      <c r="C2589" s="37"/>
      <c r="D2589" s="37"/>
    </row>
    <row r="2590" spans="1:4" ht="17.25" x14ac:dyDescent="0.3">
      <c r="A2590" s="36"/>
      <c r="B2590" s="37"/>
      <c r="C2590" s="37"/>
      <c r="D2590" s="37"/>
    </row>
    <row r="2591" spans="1:4" ht="17.25" x14ac:dyDescent="0.3">
      <c r="A2591" s="36"/>
      <c r="B2591" s="37"/>
      <c r="C2591" s="37"/>
      <c r="D2591" s="37"/>
    </row>
    <row r="2592" spans="1:4" ht="17.25" x14ac:dyDescent="0.3">
      <c r="A2592" s="36"/>
      <c r="B2592" s="37"/>
      <c r="C2592" s="37"/>
      <c r="D2592" s="37"/>
    </row>
    <row r="2593" spans="1:4" ht="17.25" x14ac:dyDescent="0.3">
      <c r="A2593" s="36"/>
      <c r="B2593" s="37"/>
      <c r="C2593" s="37"/>
      <c r="D2593" s="37"/>
    </row>
    <row r="2594" spans="1:4" ht="17.25" x14ac:dyDescent="0.3">
      <c r="A2594" s="36"/>
      <c r="B2594" s="37"/>
      <c r="C2594" s="37"/>
      <c r="D2594" s="37"/>
    </row>
    <row r="2595" spans="1:4" ht="17.25" x14ac:dyDescent="0.3">
      <c r="A2595" s="36"/>
      <c r="B2595" s="37"/>
      <c r="C2595" s="37"/>
      <c r="D2595" s="37"/>
    </row>
    <row r="2596" spans="1:4" ht="17.25" x14ac:dyDescent="0.3">
      <c r="A2596" s="36"/>
      <c r="B2596" s="37"/>
      <c r="C2596" s="37"/>
      <c r="D2596" s="37"/>
    </row>
    <row r="2597" spans="1:4" ht="17.25" x14ac:dyDescent="0.3">
      <c r="A2597" s="36"/>
      <c r="B2597" s="37"/>
      <c r="C2597" s="37"/>
      <c r="D2597" s="37"/>
    </row>
    <row r="2598" spans="1:4" ht="17.25" x14ac:dyDescent="0.3">
      <c r="A2598" s="36"/>
      <c r="B2598" s="37"/>
      <c r="C2598" s="37"/>
      <c r="D2598" s="37"/>
    </row>
    <row r="2599" spans="1:4" ht="17.25" x14ac:dyDescent="0.3">
      <c r="A2599" s="36"/>
      <c r="B2599" s="37"/>
      <c r="C2599" s="37"/>
      <c r="D2599" s="37"/>
    </row>
    <row r="2600" spans="1:4" ht="17.25" x14ac:dyDescent="0.3">
      <c r="A2600" s="36"/>
      <c r="B2600" s="37"/>
      <c r="C2600" s="37"/>
      <c r="D2600" s="37"/>
    </row>
    <row r="2601" spans="1:4" ht="17.25" x14ac:dyDescent="0.3">
      <c r="A2601" s="36"/>
      <c r="B2601" s="37"/>
      <c r="C2601" s="37"/>
      <c r="D2601" s="37"/>
    </row>
    <row r="2602" spans="1:4" ht="17.25" x14ac:dyDescent="0.3">
      <c r="A2602" s="36"/>
      <c r="B2602" s="37"/>
      <c r="C2602" s="37"/>
      <c r="D2602" s="37"/>
    </row>
    <row r="2603" spans="1:4" ht="17.25" x14ac:dyDescent="0.3">
      <c r="A2603" s="36"/>
      <c r="B2603" s="37"/>
      <c r="C2603" s="37"/>
      <c r="D2603" s="37"/>
    </row>
    <row r="2604" spans="1:4" ht="17.25" x14ac:dyDescent="0.3">
      <c r="A2604" s="36"/>
      <c r="B2604" s="37"/>
      <c r="C2604" s="37"/>
      <c r="D2604" s="37"/>
    </row>
    <row r="2605" spans="1:4" ht="17.25" x14ac:dyDescent="0.3">
      <c r="A2605" s="36"/>
      <c r="B2605" s="37"/>
      <c r="C2605" s="37"/>
      <c r="D2605" s="37"/>
    </row>
    <row r="2606" spans="1:4" ht="17.25" x14ac:dyDescent="0.3">
      <c r="A2606" s="36"/>
      <c r="B2606" s="37"/>
      <c r="C2606" s="37"/>
      <c r="D2606" s="37"/>
    </row>
    <row r="2607" spans="1:4" ht="17.25" x14ac:dyDescent="0.3">
      <c r="A2607" s="36"/>
      <c r="B2607" s="37"/>
      <c r="C2607" s="37"/>
      <c r="D2607" s="37"/>
    </row>
    <row r="2608" spans="1:4" ht="17.25" x14ac:dyDescent="0.3">
      <c r="A2608" s="36"/>
      <c r="B2608" s="37"/>
      <c r="C2608" s="37"/>
      <c r="D2608" s="37"/>
    </row>
    <row r="2609" spans="1:4" ht="17.25" x14ac:dyDescent="0.3">
      <c r="A2609" s="36"/>
      <c r="B2609" s="37"/>
      <c r="C2609" s="37"/>
      <c r="D2609" s="37"/>
    </row>
    <row r="2610" spans="1:4" ht="17.25" x14ac:dyDescent="0.3">
      <c r="A2610" s="36"/>
      <c r="B2610" s="37"/>
      <c r="C2610" s="37"/>
      <c r="D2610" s="37"/>
    </row>
    <row r="2611" spans="1:4" ht="17.25" x14ac:dyDescent="0.3">
      <c r="A2611" s="36"/>
      <c r="B2611" s="37"/>
      <c r="C2611" s="37"/>
      <c r="D2611" s="37"/>
    </row>
    <row r="2612" spans="1:4" ht="17.25" x14ac:dyDescent="0.3">
      <c r="A2612" s="36"/>
      <c r="B2612" s="37"/>
      <c r="C2612" s="37"/>
      <c r="D2612" s="37"/>
    </row>
    <row r="2613" spans="1:4" ht="17.25" x14ac:dyDescent="0.3">
      <c r="A2613" s="36"/>
      <c r="B2613" s="37"/>
      <c r="C2613" s="37"/>
      <c r="D2613" s="37"/>
    </row>
    <row r="2614" spans="1:4" ht="17.25" x14ac:dyDescent="0.3">
      <c r="A2614" s="36"/>
      <c r="B2614" s="37"/>
      <c r="C2614" s="37"/>
      <c r="D2614" s="37"/>
    </row>
    <row r="2615" spans="1:4" ht="17.25" x14ac:dyDescent="0.3">
      <c r="A2615" s="36"/>
      <c r="B2615" s="37"/>
      <c r="C2615" s="37"/>
      <c r="D2615" s="37"/>
    </row>
    <row r="2616" spans="1:4" ht="17.25" x14ac:dyDescent="0.3">
      <c r="A2616" s="36"/>
      <c r="B2616" s="37"/>
      <c r="C2616" s="37"/>
      <c r="D2616" s="37"/>
    </row>
    <row r="2617" spans="1:4" ht="17.25" x14ac:dyDescent="0.3">
      <c r="A2617" s="36"/>
      <c r="B2617" s="37"/>
      <c r="C2617" s="37"/>
      <c r="D2617" s="37"/>
    </row>
    <row r="2618" spans="1:4" ht="17.25" x14ac:dyDescent="0.3">
      <c r="A2618" s="36"/>
      <c r="B2618" s="37"/>
      <c r="C2618" s="37"/>
      <c r="D2618" s="37"/>
    </row>
    <row r="2619" spans="1:4" ht="17.25" x14ac:dyDescent="0.3">
      <c r="A2619" s="36"/>
      <c r="B2619" s="37"/>
      <c r="C2619" s="37"/>
      <c r="D2619" s="37"/>
    </row>
    <row r="2620" spans="1:4" ht="17.25" x14ac:dyDescent="0.3">
      <c r="A2620" s="36"/>
      <c r="B2620" s="37"/>
      <c r="C2620" s="37"/>
      <c r="D2620" s="37"/>
    </row>
    <row r="2621" spans="1:4" ht="17.25" x14ac:dyDescent="0.3">
      <c r="A2621" s="36"/>
      <c r="B2621" s="37"/>
      <c r="C2621" s="37"/>
      <c r="D2621" s="37"/>
    </row>
    <row r="2622" spans="1:4" ht="17.25" x14ac:dyDescent="0.3">
      <c r="A2622" s="36"/>
      <c r="B2622" s="37"/>
      <c r="C2622" s="37"/>
      <c r="D2622" s="37"/>
    </row>
    <row r="2623" spans="1:4" ht="17.25" x14ac:dyDescent="0.3">
      <c r="A2623" s="36"/>
      <c r="B2623" s="37"/>
      <c r="C2623" s="37"/>
      <c r="D2623" s="37"/>
    </row>
    <row r="2624" spans="1:4" ht="17.25" x14ac:dyDescent="0.3">
      <c r="A2624" s="36"/>
      <c r="B2624" s="37"/>
      <c r="C2624" s="37"/>
      <c r="D2624" s="37"/>
    </row>
    <row r="2625" spans="1:4" ht="17.25" x14ac:dyDescent="0.3">
      <c r="A2625" s="36"/>
      <c r="B2625" s="37"/>
      <c r="C2625" s="37"/>
      <c r="D2625" s="37"/>
    </row>
    <row r="2626" spans="1:4" ht="17.25" x14ac:dyDescent="0.3">
      <c r="A2626" s="36"/>
      <c r="B2626" s="37"/>
      <c r="C2626" s="37"/>
      <c r="D2626" s="37"/>
    </row>
    <row r="2627" spans="1:4" ht="17.25" x14ac:dyDescent="0.3">
      <c r="A2627" s="36"/>
      <c r="B2627" s="37"/>
      <c r="C2627" s="37"/>
      <c r="D2627" s="37"/>
    </row>
    <row r="2628" spans="1:4" ht="17.25" x14ac:dyDescent="0.3">
      <c r="A2628" s="36"/>
      <c r="B2628" s="37"/>
      <c r="C2628" s="37"/>
      <c r="D2628" s="37"/>
    </row>
    <row r="2629" spans="1:4" ht="17.25" x14ac:dyDescent="0.3">
      <c r="A2629" s="36"/>
      <c r="B2629" s="37"/>
      <c r="C2629" s="37"/>
      <c r="D2629" s="37"/>
    </row>
    <row r="2630" spans="1:4" ht="17.25" x14ac:dyDescent="0.3">
      <c r="A2630" s="36"/>
      <c r="B2630" s="37"/>
      <c r="C2630" s="37"/>
      <c r="D2630" s="37"/>
    </row>
    <row r="2631" spans="1:4" ht="17.25" x14ac:dyDescent="0.3">
      <c r="A2631" s="36"/>
      <c r="B2631" s="37"/>
      <c r="C2631" s="37"/>
      <c r="D2631" s="37"/>
    </row>
    <row r="2632" spans="1:4" ht="17.25" x14ac:dyDescent="0.3">
      <c r="A2632" s="36"/>
      <c r="B2632" s="37"/>
      <c r="C2632" s="37"/>
      <c r="D2632" s="37"/>
    </row>
    <row r="2633" spans="1:4" ht="17.25" x14ac:dyDescent="0.3">
      <c r="A2633" s="36"/>
      <c r="B2633" s="37"/>
      <c r="C2633" s="37"/>
      <c r="D2633" s="37"/>
    </row>
    <row r="2634" spans="1:4" ht="17.25" x14ac:dyDescent="0.3">
      <c r="A2634" s="36"/>
      <c r="B2634" s="37"/>
      <c r="C2634" s="37"/>
      <c r="D2634" s="37"/>
    </row>
    <row r="2635" spans="1:4" ht="17.25" x14ac:dyDescent="0.3">
      <c r="A2635" s="36"/>
      <c r="B2635" s="37"/>
      <c r="C2635" s="37"/>
      <c r="D2635" s="37"/>
    </row>
    <row r="2636" spans="1:4" ht="17.100000000000001" customHeight="1" x14ac:dyDescent="0.25">
      <c r="A2636" s="39"/>
      <c r="B2636" s="37"/>
      <c r="C2636" s="37"/>
      <c r="D2636" s="37"/>
    </row>
    <row r="2637" spans="1:4" ht="17.25" x14ac:dyDescent="0.3">
      <c r="A2637" s="36"/>
      <c r="B2637" s="37"/>
      <c r="C2637" s="37"/>
      <c r="D2637" s="37"/>
    </row>
    <row r="2638" spans="1:4" ht="17.25" x14ac:dyDescent="0.3">
      <c r="A2638" s="36"/>
      <c r="B2638" s="37"/>
      <c r="C2638" s="37"/>
      <c r="D2638" s="37"/>
    </row>
    <row r="2639" spans="1:4" ht="17.25" x14ac:dyDescent="0.3">
      <c r="A2639" s="36"/>
      <c r="B2639" s="37"/>
      <c r="C2639" s="37"/>
      <c r="D2639" s="37"/>
    </row>
    <row r="2640" spans="1:4" ht="17.25" x14ac:dyDescent="0.3">
      <c r="A2640" s="36"/>
      <c r="B2640" s="37"/>
      <c r="C2640" s="37"/>
      <c r="D2640" s="37"/>
    </row>
    <row r="2641" spans="1:4" ht="17.25" x14ac:dyDescent="0.3">
      <c r="A2641" s="36"/>
      <c r="B2641" s="37"/>
      <c r="C2641" s="37"/>
      <c r="D2641" s="37"/>
    </row>
    <row r="2642" spans="1:4" ht="17.25" x14ac:dyDescent="0.3">
      <c r="A2642" s="36"/>
      <c r="B2642" s="37"/>
      <c r="C2642" s="37"/>
      <c r="D2642" s="37"/>
    </row>
    <row r="2643" spans="1:4" ht="17.25" x14ac:dyDescent="0.3">
      <c r="A2643" s="36"/>
      <c r="B2643" s="37"/>
      <c r="C2643" s="37"/>
      <c r="D2643" s="37"/>
    </row>
    <row r="2644" spans="1:4" ht="17.25" x14ac:dyDescent="0.3">
      <c r="A2644" s="36"/>
      <c r="B2644" s="37"/>
      <c r="C2644" s="37"/>
      <c r="D2644" s="37"/>
    </row>
    <row r="2645" spans="1:4" ht="17.25" x14ac:dyDescent="0.3">
      <c r="A2645" s="36"/>
      <c r="B2645" s="37"/>
      <c r="C2645" s="37"/>
      <c r="D2645" s="37"/>
    </row>
    <row r="2646" spans="1:4" ht="17.25" x14ac:dyDescent="0.3">
      <c r="A2646" s="36"/>
      <c r="B2646" s="37"/>
      <c r="C2646" s="37"/>
      <c r="D2646" s="37"/>
    </row>
    <row r="2647" spans="1:4" ht="17.25" x14ac:dyDescent="0.3">
      <c r="A2647" s="36"/>
      <c r="B2647" s="37"/>
      <c r="C2647" s="37"/>
      <c r="D2647" s="37"/>
    </row>
    <row r="2648" spans="1:4" ht="17.25" x14ac:dyDescent="0.3">
      <c r="A2648" s="36"/>
      <c r="B2648" s="37"/>
      <c r="C2648" s="37"/>
      <c r="D2648" s="37"/>
    </row>
    <row r="2649" spans="1:4" ht="17.25" x14ac:dyDescent="0.3">
      <c r="A2649" s="36"/>
      <c r="B2649" s="37"/>
      <c r="C2649" s="37"/>
      <c r="D2649" s="37"/>
    </row>
    <row r="2650" spans="1:4" ht="17.25" x14ac:dyDescent="0.3">
      <c r="A2650" s="36"/>
      <c r="B2650" s="37"/>
      <c r="C2650" s="37"/>
      <c r="D2650" s="37"/>
    </row>
    <row r="2651" spans="1:4" ht="17.25" x14ac:dyDescent="0.3">
      <c r="A2651" s="36"/>
      <c r="B2651" s="37"/>
      <c r="C2651" s="37"/>
      <c r="D2651" s="37"/>
    </row>
    <row r="2652" spans="1:4" ht="17.25" x14ac:dyDescent="0.3">
      <c r="A2652" s="36"/>
      <c r="B2652" s="37"/>
      <c r="C2652" s="37"/>
      <c r="D2652" s="37"/>
    </row>
    <row r="2653" spans="1:4" ht="17.25" x14ac:dyDescent="0.3">
      <c r="A2653" s="36"/>
      <c r="B2653" s="37"/>
      <c r="C2653" s="37"/>
      <c r="D2653" s="37"/>
    </row>
    <row r="2654" spans="1:4" ht="17.25" x14ac:dyDescent="0.3">
      <c r="A2654" s="36"/>
      <c r="B2654" s="37"/>
      <c r="C2654" s="37"/>
      <c r="D2654" s="37"/>
    </row>
    <row r="2655" spans="1:4" ht="17.25" x14ac:dyDescent="0.3">
      <c r="A2655" s="36"/>
      <c r="B2655" s="37"/>
      <c r="C2655" s="37"/>
      <c r="D2655" s="37"/>
    </row>
    <row r="2656" spans="1:4" ht="17.25" x14ac:dyDescent="0.3">
      <c r="A2656" s="36"/>
      <c r="B2656" s="37"/>
      <c r="C2656" s="37"/>
      <c r="D2656" s="37"/>
    </row>
    <row r="2657" spans="1:4" ht="17.25" x14ac:dyDescent="0.3">
      <c r="A2657" s="36"/>
      <c r="B2657" s="37"/>
      <c r="C2657" s="37"/>
      <c r="D2657" s="37"/>
    </row>
    <row r="2658" spans="1:4" ht="17.25" x14ac:dyDescent="0.3">
      <c r="A2658" s="36"/>
      <c r="B2658" s="37"/>
      <c r="C2658" s="37"/>
      <c r="D2658" s="37"/>
    </row>
    <row r="2659" spans="1:4" ht="17.25" x14ac:dyDescent="0.3">
      <c r="A2659" s="36"/>
      <c r="B2659" s="37"/>
      <c r="C2659" s="37"/>
      <c r="D2659" s="37"/>
    </row>
    <row r="2660" spans="1:4" ht="17.25" x14ac:dyDescent="0.3">
      <c r="A2660" s="36"/>
      <c r="B2660" s="37"/>
      <c r="C2660" s="37"/>
      <c r="D2660" s="37"/>
    </row>
    <row r="2661" spans="1:4" ht="17.25" x14ac:dyDescent="0.3">
      <c r="A2661" s="36"/>
      <c r="B2661" s="37"/>
      <c r="C2661" s="37"/>
      <c r="D2661" s="37"/>
    </row>
    <row r="2662" spans="1:4" ht="17.25" x14ac:dyDescent="0.3">
      <c r="A2662" s="36"/>
      <c r="B2662" s="37"/>
      <c r="C2662" s="37"/>
      <c r="D2662" s="37"/>
    </row>
    <row r="2663" spans="1:4" ht="17.25" x14ac:dyDescent="0.3">
      <c r="A2663" s="36"/>
      <c r="B2663" s="37"/>
      <c r="C2663" s="37"/>
      <c r="D2663" s="37"/>
    </row>
    <row r="2664" spans="1:4" ht="17.25" x14ac:dyDescent="0.3">
      <c r="A2664" s="36"/>
      <c r="B2664" s="37"/>
      <c r="C2664" s="37"/>
      <c r="D2664" s="37"/>
    </row>
    <row r="2665" spans="1:4" ht="17.25" x14ac:dyDescent="0.3">
      <c r="A2665" s="36"/>
      <c r="B2665" s="37"/>
      <c r="C2665" s="37"/>
      <c r="D2665" s="37"/>
    </row>
    <row r="2666" spans="1:4" ht="17.25" x14ac:dyDescent="0.3">
      <c r="A2666" s="36"/>
      <c r="B2666" s="37"/>
      <c r="C2666" s="37"/>
      <c r="D2666" s="37"/>
    </row>
    <row r="2667" spans="1:4" ht="17.25" x14ac:dyDescent="0.3">
      <c r="A2667" s="36"/>
      <c r="B2667" s="37"/>
      <c r="C2667" s="37"/>
      <c r="D2667" s="37"/>
    </row>
    <row r="2668" spans="1:4" ht="17.25" x14ac:dyDescent="0.3">
      <c r="A2668" s="36"/>
      <c r="B2668" s="37"/>
      <c r="C2668" s="37"/>
      <c r="D2668" s="37"/>
    </row>
    <row r="2669" spans="1:4" ht="17.25" x14ac:dyDescent="0.3">
      <c r="A2669" s="36"/>
      <c r="B2669" s="37"/>
      <c r="C2669" s="37"/>
      <c r="D2669" s="37"/>
    </row>
    <row r="2670" spans="1:4" ht="17.25" x14ac:dyDescent="0.3">
      <c r="A2670" s="36"/>
      <c r="B2670" s="37"/>
      <c r="C2670" s="37"/>
      <c r="D2670" s="37"/>
    </row>
    <row r="2671" spans="1:4" ht="17.25" x14ac:dyDescent="0.3">
      <c r="A2671" s="36"/>
      <c r="B2671" s="37"/>
      <c r="C2671" s="37"/>
      <c r="D2671" s="37"/>
    </row>
    <row r="2672" spans="1:4" ht="17.25" x14ac:dyDescent="0.3">
      <c r="A2672" s="36"/>
      <c r="B2672" s="37"/>
      <c r="C2672" s="37"/>
      <c r="D2672" s="37"/>
    </row>
    <row r="2673" spans="1:4" ht="17.25" x14ac:dyDescent="0.3">
      <c r="A2673" s="36"/>
      <c r="B2673" s="37"/>
      <c r="C2673" s="37"/>
      <c r="D2673" s="37"/>
    </row>
    <row r="2674" spans="1:4" ht="17.25" x14ac:dyDescent="0.3">
      <c r="A2674" s="36"/>
      <c r="B2674" s="37"/>
      <c r="C2674" s="37"/>
      <c r="D2674" s="37"/>
    </row>
    <row r="2675" spans="1:4" ht="17.25" x14ac:dyDescent="0.3">
      <c r="A2675" s="36"/>
      <c r="B2675" s="37"/>
      <c r="C2675" s="37"/>
      <c r="D2675" s="37"/>
    </row>
    <row r="2676" spans="1:4" ht="17.25" x14ac:dyDescent="0.3">
      <c r="A2676" s="36"/>
      <c r="B2676" s="37"/>
      <c r="C2676" s="37"/>
      <c r="D2676" s="37"/>
    </row>
    <row r="2677" spans="1:4" ht="17.25" x14ac:dyDescent="0.3">
      <c r="A2677" s="36"/>
      <c r="B2677" s="37"/>
      <c r="C2677" s="37"/>
      <c r="D2677" s="37"/>
    </row>
    <row r="2678" spans="1:4" ht="17.25" x14ac:dyDescent="0.3">
      <c r="A2678" s="36"/>
      <c r="B2678" s="37"/>
      <c r="C2678" s="37"/>
      <c r="D2678" s="37"/>
    </row>
    <row r="2679" spans="1:4" ht="17.25" x14ac:dyDescent="0.3">
      <c r="A2679" s="36"/>
      <c r="B2679" s="37"/>
      <c r="C2679" s="37"/>
      <c r="D2679" s="37"/>
    </row>
    <row r="2680" spans="1:4" ht="17.25" x14ac:dyDescent="0.3">
      <c r="A2680" s="36"/>
      <c r="B2680" s="37"/>
      <c r="C2680" s="37"/>
      <c r="D2680" s="37"/>
    </row>
    <row r="2681" spans="1:4" ht="17.25" x14ac:dyDescent="0.3">
      <c r="A2681" s="36"/>
      <c r="B2681" s="37"/>
      <c r="C2681" s="37"/>
      <c r="D2681" s="37"/>
    </row>
    <row r="2682" spans="1:4" ht="17.25" x14ac:dyDescent="0.3">
      <c r="A2682" s="36"/>
      <c r="B2682" s="37"/>
      <c r="C2682" s="37"/>
      <c r="D2682" s="37"/>
    </row>
    <row r="2683" spans="1:4" ht="17.25" x14ac:dyDescent="0.3">
      <c r="A2683" s="36"/>
      <c r="B2683" s="37"/>
      <c r="C2683" s="37"/>
      <c r="D2683" s="37"/>
    </row>
    <row r="2684" spans="1:4" ht="17.25" x14ac:dyDescent="0.3">
      <c r="A2684" s="36"/>
      <c r="B2684" s="37"/>
      <c r="C2684" s="37"/>
      <c r="D2684" s="37"/>
    </row>
    <row r="2685" spans="1:4" ht="17.25" x14ac:dyDescent="0.3">
      <c r="A2685" s="36"/>
      <c r="B2685" s="37"/>
      <c r="C2685" s="37"/>
      <c r="D2685" s="37"/>
    </row>
    <row r="2686" spans="1:4" ht="17.25" x14ac:dyDescent="0.3">
      <c r="A2686" s="36"/>
      <c r="B2686" s="37"/>
      <c r="C2686" s="37"/>
      <c r="D2686" s="37"/>
    </row>
    <row r="2687" spans="1:4" ht="17.25" x14ac:dyDescent="0.3">
      <c r="A2687" s="36"/>
      <c r="B2687" s="37"/>
      <c r="C2687" s="37"/>
      <c r="D2687" s="37"/>
    </row>
    <row r="2688" spans="1:4" ht="17.25" x14ac:dyDescent="0.3">
      <c r="A2688" s="36"/>
      <c r="B2688" s="37"/>
      <c r="C2688" s="37"/>
      <c r="D2688" s="37"/>
    </row>
    <row r="2689" spans="1:4" ht="17.25" x14ac:dyDescent="0.3">
      <c r="A2689" s="36"/>
      <c r="B2689" s="37"/>
      <c r="C2689" s="37"/>
      <c r="D2689" s="37"/>
    </row>
    <row r="2690" spans="1:4" ht="17.25" x14ac:dyDescent="0.3">
      <c r="A2690" s="36"/>
      <c r="B2690" s="37"/>
      <c r="C2690" s="37"/>
      <c r="D2690" s="37"/>
    </row>
    <row r="2691" spans="1:4" ht="17.25" x14ac:dyDescent="0.3">
      <c r="A2691" s="36"/>
      <c r="B2691" s="37"/>
      <c r="C2691" s="37"/>
      <c r="D2691" s="37"/>
    </row>
    <row r="2692" spans="1:4" ht="17.25" x14ac:dyDescent="0.3">
      <c r="A2692" s="36"/>
      <c r="B2692" s="37"/>
      <c r="C2692" s="37"/>
      <c r="D2692" s="37"/>
    </row>
    <row r="2693" spans="1:4" ht="17.25" x14ac:dyDescent="0.3">
      <c r="A2693" s="36"/>
      <c r="B2693" s="37"/>
      <c r="C2693" s="37"/>
      <c r="D2693" s="37"/>
    </row>
    <row r="2694" spans="1:4" ht="17.25" x14ac:dyDescent="0.3">
      <c r="A2694" s="36"/>
      <c r="B2694" s="37"/>
      <c r="C2694" s="37"/>
      <c r="D2694" s="37"/>
    </row>
    <row r="2695" spans="1:4" ht="17.25" x14ac:dyDescent="0.3">
      <c r="A2695" s="36"/>
      <c r="B2695" s="37"/>
      <c r="C2695" s="37"/>
      <c r="D2695" s="37"/>
    </row>
    <row r="2696" spans="1:4" ht="17.25" x14ac:dyDescent="0.3">
      <c r="A2696" s="36"/>
      <c r="B2696" s="37"/>
      <c r="C2696" s="37"/>
      <c r="D2696" s="37"/>
    </row>
    <row r="2697" spans="1:4" ht="17.25" x14ac:dyDescent="0.3">
      <c r="A2697" s="36"/>
      <c r="B2697" s="37"/>
      <c r="C2697" s="37"/>
      <c r="D2697" s="37"/>
    </row>
    <row r="2698" spans="1:4" ht="17.25" x14ac:dyDescent="0.3">
      <c r="A2698" s="36"/>
      <c r="B2698" s="37"/>
      <c r="C2698" s="37"/>
      <c r="D2698" s="37"/>
    </row>
    <row r="2699" spans="1:4" ht="17.25" x14ac:dyDescent="0.3">
      <c r="A2699" s="36"/>
      <c r="B2699" s="37"/>
      <c r="C2699" s="37"/>
      <c r="D2699" s="37"/>
    </row>
    <row r="2700" spans="1:4" ht="17.25" x14ac:dyDescent="0.3">
      <c r="A2700" s="36"/>
      <c r="B2700" s="37"/>
      <c r="C2700" s="37"/>
      <c r="D2700" s="37"/>
    </row>
    <row r="2701" spans="1:4" ht="17.25" x14ac:dyDescent="0.3">
      <c r="A2701" s="36"/>
      <c r="B2701" s="37"/>
      <c r="C2701" s="37"/>
      <c r="D2701" s="37"/>
    </row>
    <row r="2702" spans="1:4" ht="17.25" x14ac:dyDescent="0.3">
      <c r="A2702" s="36"/>
      <c r="B2702" s="37"/>
      <c r="C2702" s="37"/>
      <c r="D2702" s="37"/>
    </row>
    <row r="2703" spans="1:4" ht="17.25" x14ac:dyDescent="0.3">
      <c r="A2703" s="36"/>
      <c r="B2703" s="37"/>
      <c r="C2703" s="37"/>
      <c r="D2703" s="37"/>
    </row>
    <row r="2704" spans="1:4" ht="17.25" x14ac:dyDescent="0.3">
      <c r="A2704" s="36"/>
      <c r="B2704" s="37"/>
      <c r="C2704" s="37"/>
      <c r="D2704" s="37"/>
    </row>
    <row r="2705" spans="1:4" ht="17.25" x14ac:dyDescent="0.3">
      <c r="A2705" s="36"/>
      <c r="B2705" s="37"/>
      <c r="C2705" s="37"/>
      <c r="D2705" s="37"/>
    </row>
    <row r="2706" spans="1:4" ht="17.25" x14ac:dyDescent="0.3">
      <c r="A2706" s="36"/>
      <c r="B2706" s="37"/>
      <c r="C2706" s="37"/>
      <c r="D2706" s="37"/>
    </row>
    <row r="2707" spans="1:4" ht="17.25" x14ac:dyDescent="0.3">
      <c r="A2707" s="36"/>
      <c r="B2707" s="37"/>
      <c r="C2707" s="37"/>
      <c r="D2707" s="37"/>
    </row>
    <row r="2708" spans="1:4" ht="17.25" x14ac:dyDescent="0.3">
      <c r="A2708" s="36"/>
      <c r="B2708" s="37"/>
      <c r="C2708" s="37"/>
      <c r="D2708" s="37"/>
    </row>
    <row r="2709" spans="1:4" ht="17.25" x14ac:dyDescent="0.3">
      <c r="A2709" s="36"/>
      <c r="B2709" s="37"/>
      <c r="C2709" s="37"/>
      <c r="D2709" s="37"/>
    </row>
    <row r="2710" spans="1:4" ht="17.25" x14ac:dyDescent="0.3">
      <c r="A2710" s="36"/>
      <c r="B2710" s="37"/>
      <c r="C2710" s="37"/>
      <c r="D2710" s="37"/>
    </row>
    <row r="2711" spans="1:4" ht="17.25" x14ac:dyDescent="0.3">
      <c r="A2711" s="36"/>
      <c r="B2711" s="37"/>
      <c r="C2711" s="37"/>
      <c r="D2711" s="37"/>
    </row>
    <row r="2712" spans="1:4" ht="17.25" x14ac:dyDescent="0.3">
      <c r="A2712" s="36"/>
      <c r="B2712" s="37"/>
      <c r="C2712" s="37"/>
      <c r="D2712" s="37"/>
    </row>
    <row r="2713" spans="1:4" ht="17.25" x14ac:dyDescent="0.3">
      <c r="A2713" s="36"/>
      <c r="B2713" s="37"/>
      <c r="C2713" s="37"/>
      <c r="D2713" s="37"/>
    </row>
    <row r="2714" spans="1:4" ht="17.25" x14ac:dyDescent="0.3">
      <c r="A2714" s="36"/>
      <c r="B2714" s="37"/>
      <c r="C2714" s="37"/>
      <c r="D2714" s="37"/>
    </row>
    <row r="2715" spans="1:4" ht="17.25" x14ac:dyDescent="0.3">
      <c r="A2715" s="36"/>
      <c r="B2715" s="37"/>
      <c r="C2715" s="37"/>
      <c r="D2715" s="37"/>
    </row>
    <row r="2716" spans="1:4" ht="17.25" x14ac:dyDescent="0.3">
      <c r="A2716" s="36"/>
      <c r="B2716" s="37"/>
      <c r="C2716" s="37"/>
      <c r="D2716" s="37"/>
    </row>
    <row r="2717" spans="1:4" ht="17.25" x14ac:dyDescent="0.3">
      <c r="A2717" s="36"/>
      <c r="B2717" s="37"/>
      <c r="C2717" s="37"/>
      <c r="D2717" s="37"/>
    </row>
    <row r="2718" spans="1:4" ht="17.25" x14ac:dyDescent="0.3">
      <c r="A2718" s="36"/>
      <c r="B2718" s="37"/>
      <c r="C2718" s="37"/>
      <c r="D2718" s="37"/>
    </row>
    <row r="2719" spans="1:4" ht="17.25" x14ac:dyDescent="0.3">
      <c r="A2719" s="36"/>
      <c r="B2719" s="37"/>
      <c r="C2719" s="37"/>
      <c r="D2719" s="37"/>
    </row>
    <row r="2720" spans="1:4" ht="17.25" x14ac:dyDescent="0.3">
      <c r="A2720" s="36"/>
      <c r="B2720" s="37"/>
      <c r="C2720" s="37"/>
      <c r="D2720" s="37"/>
    </row>
    <row r="2721" spans="1:4" ht="17.25" x14ac:dyDescent="0.3">
      <c r="A2721" s="36"/>
      <c r="B2721" s="37"/>
      <c r="C2721" s="37"/>
      <c r="D2721" s="37"/>
    </row>
    <row r="2722" spans="1:4" ht="17.25" x14ac:dyDescent="0.3">
      <c r="A2722" s="36"/>
      <c r="B2722" s="37"/>
      <c r="C2722" s="37"/>
      <c r="D2722" s="37"/>
    </row>
    <row r="2723" spans="1:4" ht="17.25" x14ac:dyDescent="0.3">
      <c r="A2723" s="36"/>
      <c r="B2723" s="37"/>
      <c r="C2723" s="37"/>
      <c r="D2723" s="37"/>
    </row>
    <row r="2724" spans="1:4" ht="17.25" x14ac:dyDescent="0.3">
      <c r="A2724" s="36"/>
      <c r="B2724" s="37"/>
      <c r="C2724" s="37"/>
      <c r="D2724" s="37"/>
    </row>
    <row r="2725" spans="1:4" ht="17.25" x14ac:dyDescent="0.3">
      <c r="A2725" s="36"/>
      <c r="B2725" s="37"/>
      <c r="C2725" s="37"/>
      <c r="D2725" s="37"/>
    </row>
    <row r="2726" spans="1:4" ht="17.25" x14ac:dyDescent="0.3">
      <c r="A2726" s="36"/>
      <c r="B2726" s="37"/>
      <c r="C2726" s="37"/>
      <c r="D2726" s="37"/>
    </row>
    <row r="2727" spans="1:4" ht="17.25" x14ac:dyDescent="0.3">
      <c r="A2727" s="36"/>
      <c r="B2727" s="37"/>
      <c r="C2727" s="37"/>
      <c r="D2727" s="37"/>
    </row>
    <row r="2728" spans="1:4" ht="17.25" x14ac:dyDescent="0.3">
      <c r="A2728" s="36"/>
      <c r="B2728" s="37"/>
      <c r="C2728" s="37"/>
      <c r="D2728" s="37"/>
    </row>
    <row r="2729" spans="1:4" ht="17.25" x14ac:dyDescent="0.3">
      <c r="A2729" s="36"/>
      <c r="B2729" s="37"/>
      <c r="C2729" s="37"/>
      <c r="D2729" s="37"/>
    </row>
    <row r="2730" spans="1:4" ht="17.25" x14ac:dyDescent="0.3">
      <c r="A2730" s="36"/>
      <c r="B2730" s="37"/>
      <c r="C2730" s="37"/>
      <c r="D2730" s="37"/>
    </row>
    <row r="2731" spans="1:4" ht="17.25" x14ac:dyDescent="0.3">
      <c r="A2731" s="36"/>
      <c r="B2731" s="37"/>
      <c r="C2731" s="37"/>
      <c r="D2731" s="37"/>
    </row>
    <row r="2732" spans="1:4" ht="17.25" x14ac:dyDescent="0.3">
      <c r="A2732" s="36"/>
      <c r="B2732" s="37"/>
      <c r="C2732" s="37"/>
      <c r="D2732" s="37"/>
    </row>
    <row r="2733" spans="1:4" ht="17.25" x14ac:dyDescent="0.3">
      <c r="A2733" s="36"/>
      <c r="B2733" s="37"/>
      <c r="C2733" s="37"/>
      <c r="D2733" s="37"/>
    </row>
    <row r="2734" spans="1:4" ht="17.25" x14ac:dyDescent="0.3">
      <c r="A2734" s="36"/>
      <c r="B2734" s="37"/>
      <c r="C2734" s="37"/>
      <c r="D2734" s="37"/>
    </row>
    <row r="2735" spans="1:4" ht="17.25" x14ac:dyDescent="0.3">
      <c r="A2735" s="36"/>
      <c r="B2735" s="37"/>
      <c r="C2735" s="37"/>
      <c r="D2735" s="37"/>
    </row>
    <row r="2736" spans="1:4" ht="17.25" x14ac:dyDescent="0.3">
      <c r="A2736" s="36"/>
      <c r="B2736" s="37"/>
      <c r="C2736" s="37"/>
      <c r="D2736" s="37"/>
    </row>
    <row r="2737" spans="1:4" ht="17.25" x14ac:dyDescent="0.3">
      <c r="A2737" s="36"/>
      <c r="B2737" s="37"/>
      <c r="C2737" s="37"/>
      <c r="D2737" s="37"/>
    </row>
    <row r="2738" spans="1:4" ht="17.25" x14ac:dyDescent="0.3">
      <c r="A2738" s="36"/>
      <c r="B2738" s="37"/>
      <c r="C2738" s="37"/>
      <c r="D2738" s="37"/>
    </row>
    <row r="2739" spans="1:4" ht="17.25" x14ac:dyDescent="0.3">
      <c r="A2739" s="36"/>
      <c r="B2739" s="37"/>
      <c r="C2739" s="37"/>
      <c r="D2739" s="37"/>
    </row>
    <row r="2740" spans="1:4" ht="17.25" x14ac:dyDescent="0.3">
      <c r="A2740" s="36"/>
      <c r="B2740" s="37"/>
      <c r="C2740" s="37"/>
      <c r="D2740" s="37"/>
    </row>
    <row r="2741" spans="1:4" ht="17.25" x14ac:dyDescent="0.3">
      <c r="A2741" s="36"/>
      <c r="B2741" s="37"/>
      <c r="C2741" s="37"/>
      <c r="D2741" s="37"/>
    </row>
    <row r="2742" spans="1:4" ht="17.25" x14ac:dyDescent="0.3">
      <c r="A2742" s="36"/>
      <c r="B2742" s="37"/>
      <c r="C2742" s="37"/>
      <c r="D2742" s="37"/>
    </row>
    <row r="2743" spans="1:4" ht="17.25" x14ac:dyDescent="0.3">
      <c r="A2743" s="36"/>
      <c r="B2743" s="37"/>
      <c r="C2743" s="37"/>
      <c r="D2743" s="37"/>
    </row>
    <row r="2744" spans="1:4" ht="17.25" x14ac:dyDescent="0.3">
      <c r="A2744" s="36"/>
      <c r="B2744" s="37"/>
      <c r="C2744" s="37"/>
      <c r="D2744" s="37"/>
    </row>
    <row r="2745" spans="1:4" ht="17.25" x14ac:dyDescent="0.3">
      <c r="A2745" s="36"/>
      <c r="B2745" s="37"/>
      <c r="C2745" s="37"/>
      <c r="D2745" s="37"/>
    </row>
    <row r="2746" spans="1:4" ht="17.25" x14ac:dyDescent="0.3">
      <c r="A2746" s="36"/>
      <c r="B2746" s="37"/>
      <c r="C2746" s="37"/>
      <c r="D2746" s="37"/>
    </row>
    <row r="2747" spans="1:4" ht="17.25" x14ac:dyDescent="0.3">
      <c r="A2747" s="36"/>
      <c r="B2747" s="37"/>
      <c r="C2747" s="37"/>
      <c r="D2747" s="37"/>
    </row>
    <row r="2748" spans="1:4" ht="17.25" x14ac:dyDescent="0.3">
      <c r="A2748" s="36"/>
      <c r="B2748" s="37"/>
      <c r="C2748" s="37"/>
      <c r="D2748" s="37"/>
    </row>
    <row r="2749" spans="1:4" ht="17.25" x14ac:dyDescent="0.3">
      <c r="A2749" s="36"/>
      <c r="B2749" s="37"/>
      <c r="C2749" s="37"/>
      <c r="D2749" s="37"/>
    </row>
    <row r="2750" spans="1:4" ht="17.25" x14ac:dyDescent="0.3">
      <c r="A2750" s="36"/>
      <c r="B2750" s="37"/>
      <c r="C2750" s="37"/>
      <c r="D2750" s="37"/>
    </row>
    <row r="2751" spans="1:4" ht="17.25" x14ac:dyDescent="0.3">
      <c r="A2751" s="36"/>
      <c r="B2751" s="37"/>
      <c r="C2751" s="37"/>
      <c r="D2751" s="37"/>
    </row>
    <row r="2752" spans="1:4" ht="17.25" x14ac:dyDescent="0.3">
      <c r="A2752" s="36"/>
      <c r="B2752" s="37"/>
      <c r="C2752" s="37"/>
      <c r="D2752" s="37"/>
    </row>
    <row r="2753" spans="1:4" ht="17.25" x14ac:dyDescent="0.3">
      <c r="A2753" s="36"/>
      <c r="B2753" s="37"/>
      <c r="C2753" s="37"/>
      <c r="D2753" s="37"/>
    </row>
    <row r="2754" spans="1:4" ht="17.25" x14ac:dyDescent="0.3">
      <c r="A2754" s="36"/>
      <c r="B2754" s="37"/>
      <c r="C2754" s="37"/>
      <c r="D2754" s="37"/>
    </row>
    <row r="2755" spans="1:4" ht="17.25" x14ac:dyDescent="0.3">
      <c r="A2755" s="36"/>
      <c r="B2755" s="37"/>
      <c r="C2755" s="37"/>
      <c r="D2755" s="37"/>
    </row>
    <row r="2756" spans="1:4" ht="17.25" x14ac:dyDescent="0.3">
      <c r="A2756" s="36"/>
      <c r="B2756" s="37"/>
      <c r="C2756" s="37"/>
      <c r="D2756" s="37"/>
    </row>
    <row r="2757" spans="1:4" ht="17.25" x14ac:dyDescent="0.3">
      <c r="A2757" s="36"/>
      <c r="B2757" s="37"/>
      <c r="C2757" s="37"/>
      <c r="D2757" s="37"/>
    </row>
    <row r="2758" spans="1:4" ht="17.25" x14ac:dyDescent="0.3">
      <c r="A2758" s="36"/>
      <c r="B2758" s="37"/>
      <c r="C2758" s="37"/>
      <c r="D2758" s="37"/>
    </row>
    <row r="2759" spans="1:4" ht="17.25" x14ac:dyDescent="0.3">
      <c r="A2759" s="36"/>
      <c r="B2759" s="37"/>
      <c r="C2759" s="37"/>
      <c r="D2759" s="37"/>
    </row>
    <row r="2760" spans="1:4" ht="17.25" x14ac:dyDescent="0.3">
      <c r="A2760" s="36"/>
      <c r="B2760" s="37"/>
      <c r="C2760" s="37"/>
      <c r="D2760" s="37"/>
    </row>
    <row r="2761" spans="1:4" ht="17.25" x14ac:dyDescent="0.3">
      <c r="A2761" s="36"/>
      <c r="B2761" s="37"/>
      <c r="C2761" s="37"/>
      <c r="D2761" s="37"/>
    </row>
    <row r="2762" spans="1:4" ht="17.25" x14ac:dyDescent="0.3">
      <c r="A2762" s="36"/>
      <c r="B2762" s="37"/>
      <c r="C2762" s="37"/>
      <c r="D2762" s="37"/>
    </row>
    <row r="2763" spans="1:4" ht="17.25" x14ac:dyDescent="0.3">
      <c r="A2763" s="36"/>
      <c r="B2763" s="37"/>
      <c r="C2763" s="37"/>
      <c r="D2763" s="37"/>
    </row>
    <row r="2764" spans="1:4" ht="17.25" x14ac:dyDescent="0.3">
      <c r="A2764" s="36"/>
      <c r="B2764" s="37"/>
      <c r="C2764" s="37"/>
      <c r="D2764" s="37"/>
    </row>
    <row r="2765" spans="1:4" ht="17.25" x14ac:dyDescent="0.3">
      <c r="A2765" s="36"/>
      <c r="B2765" s="37"/>
      <c r="C2765" s="37"/>
      <c r="D2765" s="37"/>
    </row>
    <row r="2766" spans="1:4" ht="17.25" x14ac:dyDescent="0.3">
      <c r="A2766" s="36"/>
      <c r="B2766" s="37"/>
      <c r="C2766" s="37"/>
      <c r="D2766" s="37"/>
    </row>
    <row r="2767" spans="1:4" ht="17.25" x14ac:dyDescent="0.3">
      <c r="A2767" s="36"/>
      <c r="B2767" s="37"/>
      <c r="C2767" s="37"/>
      <c r="D2767" s="37"/>
    </row>
    <row r="2768" spans="1:4" ht="17.25" x14ac:dyDescent="0.3">
      <c r="A2768" s="36"/>
      <c r="B2768" s="37"/>
      <c r="C2768" s="37"/>
      <c r="D2768" s="37"/>
    </row>
    <row r="2769" spans="1:4" ht="17.25" x14ac:dyDescent="0.3">
      <c r="A2769" s="36"/>
      <c r="B2769" s="37"/>
      <c r="C2769" s="37"/>
      <c r="D2769" s="37"/>
    </row>
    <row r="2770" spans="1:4" ht="17.25" x14ac:dyDescent="0.3">
      <c r="A2770" s="36"/>
      <c r="B2770" s="37"/>
      <c r="C2770" s="37"/>
      <c r="D2770" s="37"/>
    </row>
    <row r="2771" spans="1:4" ht="17.25" x14ac:dyDescent="0.3">
      <c r="A2771" s="36"/>
      <c r="B2771" s="37"/>
      <c r="C2771" s="37"/>
      <c r="D2771" s="37"/>
    </row>
    <row r="2772" spans="1:4" ht="17.25" x14ac:dyDescent="0.3">
      <c r="A2772" s="36"/>
      <c r="B2772" s="37"/>
      <c r="C2772" s="37"/>
      <c r="D2772" s="37"/>
    </row>
    <row r="2773" spans="1:4" ht="17.25" x14ac:dyDescent="0.3">
      <c r="A2773" s="36"/>
      <c r="B2773" s="37"/>
      <c r="C2773" s="37"/>
      <c r="D2773" s="37"/>
    </row>
    <row r="2774" spans="1:4" ht="17.25" x14ac:dyDescent="0.3">
      <c r="A2774" s="36"/>
      <c r="B2774" s="37"/>
      <c r="C2774" s="37"/>
      <c r="D2774" s="37"/>
    </row>
    <row r="2775" spans="1:4" ht="17.25" x14ac:dyDescent="0.3">
      <c r="A2775" s="36"/>
      <c r="B2775" s="37"/>
      <c r="C2775" s="37"/>
      <c r="D2775" s="37"/>
    </row>
    <row r="2776" spans="1:4" ht="17.25" x14ac:dyDescent="0.3">
      <c r="A2776" s="36"/>
      <c r="B2776" s="37"/>
      <c r="C2776" s="37"/>
      <c r="D2776" s="37"/>
    </row>
    <row r="2777" spans="1:4" ht="17.25" x14ac:dyDescent="0.3">
      <c r="A2777" s="36"/>
      <c r="B2777" s="37"/>
      <c r="C2777" s="37"/>
      <c r="D2777" s="37"/>
    </row>
    <row r="2778" spans="1:4" ht="17.25" x14ac:dyDescent="0.3">
      <c r="A2778" s="36"/>
      <c r="B2778" s="37"/>
      <c r="C2778" s="37"/>
      <c r="D2778" s="37"/>
    </row>
    <row r="2779" spans="1:4" ht="17.25" x14ac:dyDescent="0.3">
      <c r="A2779" s="36"/>
      <c r="B2779" s="37"/>
      <c r="C2779" s="37"/>
      <c r="D2779" s="37"/>
    </row>
    <row r="2780" spans="1:4" ht="17.25" x14ac:dyDescent="0.3">
      <c r="A2780" s="36"/>
      <c r="B2780" s="37"/>
      <c r="C2780" s="37"/>
      <c r="D2780" s="37"/>
    </row>
    <row r="2781" spans="1:4" ht="17.25" x14ac:dyDescent="0.3">
      <c r="A2781" s="36"/>
      <c r="B2781" s="37"/>
      <c r="C2781" s="37"/>
      <c r="D2781" s="37"/>
    </row>
    <row r="2782" spans="1:4" ht="17.25" x14ac:dyDescent="0.3">
      <c r="A2782" s="36"/>
      <c r="B2782" s="37"/>
      <c r="C2782" s="37"/>
      <c r="D2782" s="37"/>
    </row>
    <row r="2783" spans="1:4" ht="17.25" x14ac:dyDescent="0.3">
      <c r="A2783" s="36"/>
      <c r="B2783" s="37"/>
      <c r="C2783" s="37"/>
      <c r="D2783" s="37"/>
    </row>
    <row r="2784" spans="1:4" ht="17.25" x14ac:dyDescent="0.3">
      <c r="A2784" s="36"/>
      <c r="B2784" s="37"/>
      <c r="C2784" s="37"/>
      <c r="D2784" s="37"/>
    </row>
    <row r="2785" spans="1:4" ht="17.25" x14ac:dyDescent="0.3">
      <c r="A2785" s="36"/>
      <c r="B2785" s="37"/>
      <c r="C2785" s="37"/>
      <c r="D2785" s="37"/>
    </row>
    <row r="2786" spans="1:4" ht="17.25" x14ac:dyDescent="0.3">
      <c r="A2786" s="36"/>
      <c r="B2786" s="37"/>
      <c r="C2786" s="37"/>
      <c r="D2786" s="37"/>
    </row>
    <row r="2787" spans="1:4" ht="17.25" x14ac:dyDescent="0.3">
      <c r="A2787" s="36"/>
      <c r="B2787" s="37"/>
      <c r="C2787" s="37"/>
      <c r="D2787" s="37"/>
    </row>
    <row r="2788" spans="1:4" ht="17.25" x14ac:dyDescent="0.3">
      <c r="A2788" s="36"/>
      <c r="B2788" s="37"/>
      <c r="C2788" s="37"/>
      <c r="D2788" s="37"/>
    </row>
    <row r="2789" spans="1:4" ht="17.25" x14ac:dyDescent="0.3">
      <c r="A2789" s="36"/>
      <c r="B2789" s="37"/>
      <c r="C2789" s="37"/>
      <c r="D2789" s="37"/>
    </row>
    <row r="2790" spans="1:4" ht="17.25" x14ac:dyDescent="0.3">
      <c r="A2790" s="36"/>
      <c r="B2790" s="37"/>
      <c r="C2790" s="37"/>
      <c r="D2790" s="37"/>
    </row>
    <row r="2791" spans="1:4" ht="17.25" x14ac:dyDescent="0.3">
      <c r="A2791" s="36"/>
      <c r="B2791" s="37"/>
      <c r="C2791" s="37"/>
      <c r="D2791" s="37"/>
    </row>
    <row r="2792" spans="1:4" ht="17.25" x14ac:dyDescent="0.3">
      <c r="A2792" s="36"/>
      <c r="B2792" s="37"/>
      <c r="C2792" s="37"/>
      <c r="D2792" s="37"/>
    </row>
    <row r="2793" spans="1:4" ht="17.25" x14ac:dyDescent="0.3">
      <c r="A2793" s="36"/>
      <c r="B2793" s="37"/>
      <c r="C2793" s="37"/>
      <c r="D2793" s="37"/>
    </row>
    <row r="2794" spans="1:4" ht="17.25" x14ac:dyDescent="0.3">
      <c r="A2794" s="36"/>
      <c r="B2794" s="37"/>
      <c r="C2794" s="37"/>
      <c r="D2794" s="37"/>
    </row>
    <row r="2795" spans="1:4" ht="17.25" x14ac:dyDescent="0.3">
      <c r="A2795" s="36"/>
      <c r="B2795" s="37"/>
      <c r="C2795" s="37"/>
      <c r="D2795" s="37"/>
    </row>
    <row r="2796" spans="1:4" ht="17.25" x14ac:dyDescent="0.3">
      <c r="A2796" s="36"/>
      <c r="B2796" s="37"/>
      <c r="C2796" s="37"/>
      <c r="D2796" s="37"/>
    </row>
    <row r="2797" spans="1:4" ht="17.25" x14ac:dyDescent="0.3">
      <c r="A2797" s="36"/>
      <c r="B2797" s="37"/>
      <c r="C2797" s="37"/>
      <c r="D2797" s="37"/>
    </row>
    <row r="2798" spans="1:4" ht="17.25" x14ac:dyDescent="0.3">
      <c r="A2798" s="36"/>
      <c r="B2798" s="37"/>
      <c r="C2798" s="37"/>
      <c r="D2798" s="37"/>
    </row>
    <row r="2799" spans="1:4" ht="17.25" x14ac:dyDescent="0.3">
      <c r="A2799" s="36"/>
      <c r="B2799" s="37"/>
      <c r="C2799" s="37"/>
      <c r="D2799" s="37"/>
    </row>
    <row r="2800" spans="1:4" ht="17.25" x14ac:dyDescent="0.3">
      <c r="A2800" s="36"/>
      <c r="B2800" s="37"/>
      <c r="C2800" s="37"/>
      <c r="D2800" s="37"/>
    </row>
    <row r="2801" spans="1:4" ht="17.25" x14ac:dyDescent="0.3">
      <c r="A2801" s="36"/>
      <c r="B2801" s="37"/>
      <c r="C2801" s="37"/>
      <c r="D2801" s="37"/>
    </row>
    <row r="2802" spans="1:4" ht="17.25" x14ac:dyDescent="0.3">
      <c r="A2802" s="36"/>
      <c r="B2802" s="37"/>
      <c r="C2802" s="37"/>
      <c r="D2802" s="37"/>
    </row>
    <row r="2803" spans="1:4" ht="17.25" x14ac:dyDescent="0.3">
      <c r="A2803" s="36"/>
      <c r="B2803" s="37"/>
      <c r="C2803" s="37"/>
      <c r="D2803" s="37"/>
    </row>
    <row r="2804" spans="1:4" ht="17.25" x14ac:dyDescent="0.3">
      <c r="A2804" s="36"/>
      <c r="B2804" s="37"/>
      <c r="C2804" s="37"/>
      <c r="D2804" s="37"/>
    </row>
    <row r="2805" spans="1:4" ht="17.25" x14ac:dyDescent="0.3">
      <c r="A2805" s="36"/>
      <c r="B2805" s="37"/>
      <c r="C2805" s="37"/>
      <c r="D2805" s="37"/>
    </row>
    <row r="2806" spans="1:4" ht="17.25" x14ac:dyDescent="0.3">
      <c r="A2806" s="36"/>
      <c r="B2806" s="37"/>
      <c r="C2806" s="37"/>
      <c r="D2806" s="37"/>
    </row>
    <row r="2807" spans="1:4" ht="17.25" x14ac:dyDescent="0.3">
      <c r="A2807" s="36"/>
      <c r="B2807" s="37"/>
      <c r="C2807" s="37"/>
      <c r="D2807" s="37"/>
    </row>
    <row r="2808" spans="1:4" ht="17.25" x14ac:dyDescent="0.3">
      <c r="A2808" s="36"/>
      <c r="B2808" s="37"/>
      <c r="C2808" s="37"/>
      <c r="D2808" s="37"/>
    </row>
    <row r="2809" spans="1:4" ht="17.25" x14ac:dyDescent="0.3">
      <c r="A2809" s="36"/>
      <c r="B2809" s="37"/>
      <c r="C2809" s="37"/>
      <c r="D2809" s="37"/>
    </row>
    <row r="2810" spans="1:4" ht="17.25" x14ac:dyDescent="0.3">
      <c r="A2810" s="36"/>
      <c r="B2810" s="37"/>
      <c r="C2810" s="37"/>
      <c r="D2810" s="37"/>
    </row>
    <row r="2811" spans="1:4" ht="17.25" x14ac:dyDescent="0.3">
      <c r="A2811" s="36"/>
      <c r="B2811" s="37"/>
      <c r="C2811" s="37"/>
      <c r="D2811" s="37"/>
    </row>
    <row r="2812" spans="1:4" ht="17.25" x14ac:dyDescent="0.3">
      <c r="A2812" s="36"/>
      <c r="B2812" s="37"/>
      <c r="C2812" s="37"/>
      <c r="D2812" s="37"/>
    </row>
    <row r="2813" spans="1:4" ht="17.25" x14ac:dyDescent="0.3">
      <c r="A2813" s="36"/>
      <c r="B2813" s="37"/>
      <c r="C2813" s="37"/>
      <c r="D2813" s="37"/>
    </row>
    <row r="2814" spans="1:4" ht="17.25" x14ac:dyDescent="0.3">
      <c r="A2814" s="36"/>
      <c r="B2814" s="37"/>
      <c r="C2814" s="37"/>
      <c r="D2814" s="37"/>
    </row>
    <row r="2815" spans="1:4" ht="17.25" x14ac:dyDescent="0.3">
      <c r="A2815" s="36"/>
      <c r="B2815" s="37"/>
      <c r="C2815" s="37"/>
      <c r="D2815" s="37"/>
    </row>
    <row r="2816" spans="1:4" ht="17.25" x14ac:dyDescent="0.3">
      <c r="A2816" s="36"/>
      <c r="B2816" s="37"/>
      <c r="C2816" s="37"/>
      <c r="D2816" s="37"/>
    </row>
    <row r="2817" spans="1:4" ht="17.25" x14ac:dyDescent="0.3">
      <c r="A2817" s="36"/>
      <c r="B2817" s="37"/>
      <c r="C2817" s="37"/>
      <c r="D2817" s="37"/>
    </row>
    <row r="2818" spans="1:4" ht="17.25" x14ac:dyDescent="0.3">
      <c r="A2818" s="36"/>
      <c r="B2818" s="37"/>
      <c r="C2818" s="37"/>
      <c r="D2818" s="37"/>
    </row>
    <row r="2819" spans="1:4" ht="17.25" x14ac:dyDescent="0.3">
      <c r="A2819" s="36"/>
      <c r="B2819" s="37"/>
      <c r="C2819" s="37"/>
      <c r="D2819" s="37"/>
    </row>
    <row r="2820" spans="1:4" ht="17.25" x14ac:dyDescent="0.3">
      <c r="A2820" s="36"/>
      <c r="B2820" s="37"/>
      <c r="C2820" s="37"/>
      <c r="D2820" s="37"/>
    </row>
    <row r="2821" spans="1:4" ht="17.25" x14ac:dyDescent="0.3">
      <c r="A2821" s="36"/>
      <c r="B2821" s="37"/>
      <c r="C2821" s="37"/>
      <c r="D2821" s="37"/>
    </row>
    <row r="2822" spans="1:4" ht="17.25" x14ac:dyDescent="0.3">
      <c r="A2822" s="36"/>
      <c r="B2822" s="37"/>
      <c r="C2822" s="37"/>
      <c r="D2822" s="37"/>
    </row>
    <row r="2823" spans="1:4" ht="17.25" x14ac:dyDescent="0.3">
      <c r="A2823" s="36"/>
      <c r="B2823" s="37"/>
      <c r="C2823" s="37"/>
      <c r="D2823" s="37"/>
    </row>
    <row r="2824" spans="1:4" ht="17.25" x14ac:dyDescent="0.3">
      <c r="A2824" s="36"/>
      <c r="B2824" s="37"/>
      <c r="C2824" s="37"/>
      <c r="D2824" s="37"/>
    </row>
    <row r="2825" spans="1:4" ht="17.25" x14ac:dyDescent="0.3">
      <c r="A2825" s="36"/>
      <c r="B2825" s="37"/>
      <c r="C2825" s="37"/>
      <c r="D2825" s="37"/>
    </row>
    <row r="2826" spans="1:4" ht="17.25" x14ac:dyDescent="0.3">
      <c r="A2826" s="36"/>
      <c r="B2826" s="37"/>
      <c r="C2826" s="37"/>
      <c r="D2826" s="37"/>
    </row>
    <row r="2827" spans="1:4" ht="17.25" x14ac:dyDescent="0.3">
      <c r="A2827" s="36"/>
      <c r="B2827" s="37"/>
      <c r="C2827" s="37"/>
      <c r="D2827" s="37"/>
    </row>
    <row r="2828" spans="1:4" ht="17.25" x14ac:dyDescent="0.3">
      <c r="A2828" s="36"/>
      <c r="B2828" s="37"/>
      <c r="C2828" s="37"/>
      <c r="D2828" s="37"/>
    </row>
    <row r="2829" spans="1:4" ht="17.25" x14ac:dyDescent="0.3">
      <c r="A2829" s="36"/>
      <c r="B2829" s="37"/>
      <c r="C2829" s="37"/>
      <c r="D2829" s="37"/>
    </row>
    <row r="2830" spans="1:4" ht="17.25" x14ac:dyDescent="0.3">
      <c r="A2830" s="36"/>
      <c r="B2830" s="37"/>
      <c r="C2830" s="37"/>
      <c r="D2830" s="37"/>
    </row>
    <row r="2831" spans="1:4" ht="17.25" x14ac:dyDescent="0.3">
      <c r="A2831" s="36"/>
      <c r="B2831" s="37"/>
      <c r="C2831" s="37"/>
      <c r="D2831" s="37"/>
    </row>
    <row r="2832" spans="1:4" ht="17.25" x14ac:dyDescent="0.3">
      <c r="A2832" s="36"/>
      <c r="B2832" s="37"/>
      <c r="C2832" s="37"/>
      <c r="D2832" s="37"/>
    </row>
    <row r="2833" spans="1:4" ht="17.25" x14ac:dyDescent="0.3">
      <c r="A2833" s="36"/>
      <c r="B2833" s="37"/>
      <c r="C2833" s="37"/>
      <c r="D2833" s="37"/>
    </row>
    <row r="2834" spans="1:4" ht="17.25" x14ac:dyDescent="0.3">
      <c r="A2834" s="36"/>
      <c r="B2834" s="37"/>
      <c r="C2834" s="37"/>
      <c r="D2834" s="37"/>
    </row>
    <row r="2835" spans="1:4" ht="17.25" x14ac:dyDescent="0.3">
      <c r="A2835" s="36"/>
      <c r="B2835" s="37"/>
      <c r="C2835" s="37"/>
      <c r="D2835" s="37"/>
    </row>
    <row r="2836" spans="1:4" ht="17.25" x14ac:dyDescent="0.3">
      <c r="A2836" s="36"/>
      <c r="B2836" s="37"/>
      <c r="C2836" s="37"/>
      <c r="D2836" s="37"/>
    </row>
    <row r="2837" spans="1:4" ht="17.25" x14ac:dyDescent="0.3">
      <c r="A2837" s="36"/>
      <c r="B2837" s="37"/>
      <c r="C2837" s="37"/>
      <c r="D2837" s="37"/>
    </row>
    <row r="2838" spans="1:4" ht="17.25" x14ac:dyDescent="0.3">
      <c r="A2838" s="36"/>
      <c r="B2838" s="37"/>
      <c r="C2838" s="37"/>
      <c r="D2838" s="37"/>
    </row>
    <row r="2839" spans="1:4" ht="17.25" x14ac:dyDescent="0.3">
      <c r="A2839" s="36"/>
      <c r="B2839" s="37"/>
      <c r="C2839" s="37"/>
      <c r="D2839" s="37"/>
    </row>
    <row r="2840" spans="1:4" ht="17.25" x14ac:dyDescent="0.3">
      <c r="A2840" s="36"/>
      <c r="B2840" s="37"/>
      <c r="C2840" s="37"/>
      <c r="D2840" s="37"/>
    </row>
    <row r="2841" spans="1:4" ht="17.25" x14ac:dyDescent="0.3">
      <c r="A2841" s="36"/>
      <c r="B2841" s="37"/>
      <c r="C2841" s="37"/>
      <c r="D2841" s="37"/>
    </row>
    <row r="2842" spans="1:4" ht="17.25" x14ac:dyDescent="0.3">
      <c r="A2842" s="36"/>
      <c r="B2842" s="37"/>
      <c r="C2842" s="37"/>
      <c r="D2842" s="37"/>
    </row>
    <row r="2843" spans="1:4" ht="17.25" x14ac:dyDescent="0.3">
      <c r="A2843" s="36"/>
      <c r="B2843" s="37"/>
      <c r="C2843" s="37"/>
      <c r="D2843" s="37"/>
    </row>
    <row r="2844" spans="1:4" ht="17.25" x14ac:dyDescent="0.3">
      <c r="A2844" s="36"/>
      <c r="B2844" s="37"/>
      <c r="C2844" s="37"/>
      <c r="D2844" s="37"/>
    </row>
    <row r="2845" spans="1:4" ht="17.25" x14ac:dyDescent="0.3">
      <c r="A2845" s="36"/>
      <c r="B2845" s="37"/>
      <c r="C2845" s="37"/>
      <c r="D2845" s="37"/>
    </row>
    <row r="2846" spans="1:4" ht="17.25" x14ac:dyDescent="0.3">
      <c r="A2846" s="36"/>
      <c r="B2846" s="37"/>
      <c r="C2846" s="37"/>
      <c r="D2846" s="37"/>
    </row>
    <row r="2847" spans="1:4" ht="17.25" x14ac:dyDescent="0.3">
      <c r="A2847" s="36"/>
      <c r="B2847" s="37"/>
      <c r="C2847" s="37"/>
      <c r="D2847" s="37"/>
    </row>
    <row r="2848" spans="1:4" ht="17.25" x14ac:dyDescent="0.3">
      <c r="A2848" s="36"/>
      <c r="B2848" s="37"/>
      <c r="C2848" s="37"/>
      <c r="D2848" s="37"/>
    </row>
    <row r="2849" spans="1:4" ht="17.25" x14ac:dyDescent="0.3">
      <c r="A2849" s="36"/>
      <c r="B2849" s="37"/>
      <c r="C2849" s="37"/>
      <c r="D2849" s="37"/>
    </row>
    <row r="2850" spans="1:4" ht="17.25" x14ac:dyDescent="0.3">
      <c r="A2850" s="36"/>
      <c r="B2850" s="37"/>
      <c r="C2850" s="37"/>
      <c r="D2850" s="37"/>
    </row>
    <row r="2851" spans="1:4" ht="17.25" x14ac:dyDescent="0.3">
      <c r="A2851" s="36"/>
      <c r="B2851" s="37"/>
      <c r="C2851" s="37"/>
      <c r="D2851" s="37"/>
    </row>
    <row r="2852" spans="1:4" ht="17.25" x14ac:dyDescent="0.3">
      <c r="A2852" s="36"/>
      <c r="B2852" s="37"/>
      <c r="C2852" s="37"/>
      <c r="D2852" s="37"/>
    </row>
    <row r="2853" spans="1:4" ht="17.25" x14ac:dyDescent="0.3">
      <c r="A2853" s="36"/>
      <c r="B2853" s="37"/>
      <c r="C2853" s="37"/>
      <c r="D2853" s="37"/>
    </row>
    <row r="2854" spans="1:4" ht="17.25" x14ac:dyDescent="0.3">
      <c r="A2854" s="36"/>
      <c r="B2854" s="37"/>
      <c r="C2854" s="37"/>
      <c r="D2854" s="37"/>
    </row>
    <row r="2855" spans="1:4" ht="17.25" x14ac:dyDescent="0.3">
      <c r="A2855" s="36"/>
      <c r="B2855" s="37"/>
      <c r="C2855" s="37"/>
      <c r="D2855" s="37"/>
    </row>
    <row r="2856" spans="1:4" ht="17.25" x14ac:dyDescent="0.3">
      <c r="A2856" s="36"/>
      <c r="B2856" s="37"/>
      <c r="C2856" s="37"/>
      <c r="D2856" s="37"/>
    </row>
    <row r="2857" spans="1:4" ht="17.25" x14ac:dyDescent="0.3">
      <c r="A2857" s="36"/>
      <c r="B2857" s="37"/>
      <c r="C2857" s="37"/>
      <c r="D2857" s="37"/>
    </row>
    <row r="2858" spans="1:4" ht="17.25" x14ac:dyDescent="0.3">
      <c r="A2858" s="36"/>
      <c r="B2858" s="37"/>
      <c r="C2858" s="37"/>
      <c r="D2858" s="37"/>
    </row>
    <row r="2859" spans="1:4" ht="17.25" x14ac:dyDescent="0.3">
      <c r="A2859" s="36"/>
      <c r="B2859" s="37"/>
      <c r="C2859" s="37"/>
      <c r="D2859" s="37"/>
    </row>
    <row r="2860" spans="1:4" ht="17.25" x14ac:dyDescent="0.3">
      <c r="A2860" s="36"/>
      <c r="B2860" s="37"/>
      <c r="C2860" s="37"/>
      <c r="D2860" s="37"/>
    </row>
    <row r="2861" spans="1:4" ht="17.25" x14ac:dyDescent="0.3">
      <c r="A2861" s="36"/>
      <c r="B2861" s="37"/>
      <c r="C2861" s="37"/>
      <c r="D2861" s="37"/>
    </row>
    <row r="2862" spans="1:4" ht="17.25" x14ac:dyDescent="0.3">
      <c r="A2862" s="36"/>
      <c r="B2862" s="37"/>
      <c r="C2862" s="37"/>
      <c r="D2862" s="37"/>
    </row>
    <row r="2863" spans="1:4" ht="17.25" x14ac:dyDescent="0.3">
      <c r="A2863" s="36"/>
      <c r="B2863" s="37"/>
      <c r="C2863" s="37"/>
      <c r="D2863" s="37"/>
    </row>
    <row r="2864" spans="1:4" ht="17.25" x14ac:dyDescent="0.3">
      <c r="A2864" s="36"/>
      <c r="B2864" s="37"/>
      <c r="C2864" s="37"/>
      <c r="D2864" s="37"/>
    </row>
    <row r="2865" spans="1:4" ht="17.25" x14ac:dyDescent="0.3">
      <c r="A2865" s="36"/>
      <c r="B2865" s="37"/>
      <c r="C2865" s="37"/>
      <c r="D2865" s="37"/>
    </row>
    <row r="2866" spans="1:4" ht="17.25" x14ac:dyDescent="0.3">
      <c r="A2866" s="36"/>
      <c r="B2866" s="37"/>
      <c r="C2866" s="37"/>
      <c r="D2866" s="37"/>
    </row>
    <row r="2867" spans="1:4" ht="17.25" x14ac:dyDescent="0.3">
      <c r="A2867" s="36"/>
      <c r="B2867" s="37"/>
      <c r="C2867" s="37"/>
      <c r="D2867" s="37"/>
    </row>
    <row r="2868" spans="1:4" ht="17.25" x14ac:dyDescent="0.3">
      <c r="A2868" s="36"/>
      <c r="B2868" s="37"/>
      <c r="C2868" s="37"/>
      <c r="D2868" s="37"/>
    </row>
    <row r="2869" spans="1:4" ht="17.25" x14ac:dyDescent="0.3">
      <c r="A2869" s="36"/>
      <c r="B2869" s="37"/>
      <c r="C2869" s="37"/>
      <c r="D2869" s="37"/>
    </row>
    <row r="2870" spans="1:4" ht="17.25" x14ac:dyDescent="0.3">
      <c r="A2870" s="36"/>
      <c r="B2870" s="37"/>
      <c r="C2870" s="37"/>
      <c r="D2870" s="37"/>
    </row>
    <row r="2871" spans="1:4" ht="17.25" x14ac:dyDescent="0.3">
      <c r="A2871" s="36"/>
      <c r="B2871" s="37"/>
      <c r="C2871" s="37"/>
      <c r="D2871" s="37"/>
    </row>
    <row r="2872" spans="1:4" ht="17.25" x14ac:dyDescent="0.3">
      <c r="A2872" s="36"/>
      <c r="B2872" s="37"/>
      <c r="C2872" s="37"/>
      <c r="D2872" s="37"/>
    </row>
    <row r="2873" spans="1:4" ht="17.25" x14ac:dyDescent="0.3">
      <c r="A2873" s="36"/>
      <c r="B2873" s="37"/>
      <c r="C2873" s="37"/>
      <c r="D2873" s="37"/>
    </row>
    <row r="2874" spans="1:4" ht="17.25" x14ac:dyDescent="0.3">
      <c r="A2874" s="36"/>
      <c r="B2874" s="37"/>
      <c r="C2874" s="37"/>
      <c r="D2874" s="37"/>
    </row>
    <row r="2875" spans="1:4" ht="17.25" x14ac:dyDescent="0.3">
      <c r="A2875" s="36"/>
      <c r="B2875" s="37"/>
      <c r="C2875" s="37"/>
      <c r="D2875" s="37"/>
    </row>
    <row r="2876" spans="1:4" ht="17.25" x14ac:dyDescent="0.3">
      <c r="A2876" s="36"/>
      <c r="B2876" s="37"/>
      <c r="C2876" s="37"/>
      <c r="D2876" s="37"/>
    </row>
    <row r="2877" spans="1:4" ht="17.25" x14ac:dyDescent="0.3">
      <c r="A2877" s="36"/>
      <c r="B2877" s="37"/>
      <c r="C2877" s="37"/>
      <c r="D2877" s="37"/>
    </row>
    <row r="2878" spans="1:4" ht="17.25" x14ac:dyDescent="0.3">
      <c r="A2878" s="36"/>
      <c r="B2878" s="37"/>
      <c r="C2878" s="37"/>
      <c r="D2878" s="37"/>
    </row>
    <row r="2879" spans="1:4" ht="17.25" x14ac:dyDescent="0.3">
      <c r="A2879" s="36"/>
      <c r="B2879" s="37"/>
      <c r="C2879" s="37"/>
      <c r="D2879" s="37"/>
    </row>
    <row r="2880" spans="1:4" ht="17.25" x14ac:dyDescent="0.3">
      <c r="A2880" s="36"/>
      <c r="B2880" s="37"/>
      <c r="C2880" s="37"/>
      <c r="D2880" s="37"/>
    </row>
    <row r="2881" spans="1:4" ht="17.25" x14ac:dyDescent="0.3">
      <c r="A2881" s="36"/>
      <c r="B2881" s="37"/>
      <c r="C2881" s="37"/>
      <c r="D2881" s="37"/>
    </row>
    <row r="2882" spans="1:4" ht="17.25" x14ac:dyDescent="0.3">
      <c r="A2882" s="36"/>
      <c r="B2882" s="37"/>
      <c r="C2882" s="37"/>
      <c r="D2882" s="37"/>
    </row>
    <row r="2883" spans="1:4" ht="17.25" x14ac:dyDescent="0.3">
      <c r="A2883" s="36"/>
      <c r="B2883" s="37"/>
      <c r="C2883" s="37"/>
      <c r="D2883" s="37"/>
    </row>
    <row r="2884" spans="1:4" ht="17.25" x14ac:dyDescent="0.3">
      <c r="A2884" s="36"/>
      <c r="B2884" s="37"/>
      <c r="C2884" s="37"/>
      <c r="D2884" s="37"/>
    </row>
    <row r="2885" spans="1:4" ht="17.25" x14ac:dyDescent="0.3">
      <c r="A2885" s="36"/>
      <c r="B2885" s="37"/>
      <c r="C2885" s="37"/>
      <c r="D2885" s="37"/>
    </row>
    <row r="2886" spans="1:4" ht="17.25" x14ac:dyDescent="0.3">
      <c r="A2886" s="36"/>
      <c r="B2886" s="37"/>
      <c r="C2886" s="37"/>
      <c r="D2886" s="37"/>
    </row>
    <row r="2887" spans="1:4" ht="17.25" x14ac:dyDescent="0.3">
      <c r="A2887" s="36"/>
      <c r="B2887" s="37"/>
      <c r="C2887" s="37"/>
      <c r="D2887" s="37"/>
    </row>
    <row r="2888" spans="1:4" ht="17.25" x14ac:dyDescent="0.3">
      <c r="A2888" s="36"/>
      <c r="B2888" s="37"/>
      <c r="C2888" s="37"/>
      <c r="D2888" s="37"/>
    </row>
    <row r="2889" spans="1:4" ht="17.25" x14ac:dyDescent="0.3">
      <c r="A2889" s="36"/>
      <c r="B2889" s="37"/>
      <c r="C2889" s="37"/>
      <c r="D2889" s="37"/>
    </row>
    <row r="2890" spans="1:4" ht="17.25" x14ac:dyDescent="0.3">
      <c r="A2890" s="36"/>
      <c r="B2890" s="37"/>
      <c r="C2890" s="37"/>
      <c r="D2890" s="37"/>
    </row>
    <row r="2891" spans="1:4" ht="17.25" x14ac:dyDescent="0.3">
      <c r="A2891" s="36"/>
      <c r="B2891" s="37"/>
      <c r="C2891" s="37"/>
      <c r="D2891" s="37"/>
    </row>
    <row r="2892" spans="1:4" ht="17.25" x14ac:dyDescent="0.3">
      <c r="A2892" s="36"/>
      <c r="B2892" s="37"/>
      <c r="C2892" s="37"/>
      <c r="D2892" s="37"/>
    </row>
    <row r="2893" spans="1:4" ht="17.25" x14ac:dyDescent="0.3">
      <c r="A2893" s="36"/>
      <c r="B2893" s="37"/>
      <c r="C2893" s="37"/>
      <c r="D2893" s="37"/>
    </row>
    <row r="2894" spans="1:4" ht="17.25" x14ac:dyDescent="0.3">
      <c r="A2894" s="36"/>
      <c r="B2894" s="37"/>
      <c r="C2894" s="37"/>
      <c r="D2894" s="37"/>
    </row>
    <row r="2895" spans="1:4" ht="17.25" x14ac:dyDescent="0.3">
      <c r="A2895" s="36"/>
      <c r="B2895" s="37"/>
      <c r="C2895" s="37"/>
      <c r="D2895" s="37"/>
    </row>
    <row r="2896" spans="1:4" ht="17.25" x14ac:dyDescent="0.3">
      <c r="A2896" s="36"/>
      <c r="B2896" s="37"/>
      <c r="C2896" s="37"/>
      <c r="D2896" s="37"/>
    </row>
    <row r="2897" spans="1:4" ht="17.25" x14ac:dyDescent="0.3">
      <c r="A2897" s="36"/>
      <c r="B2897" s="37"/>
      <c r="C2897" s="37"/>
      <c r="D2897" s="37"/>
    </row>
    <row r="2898" spans="1:4" ht="17.25" x14ac:dyDescent="0.3">
      <c r="A2898" s="36"/>
      <c r="B2898" s="37"/>
      <c r="C2898" s="37"/>
      <c r="D2898" s="37"/>
    </row>
    <row r="2899" spans="1:4" ht="17.25" x14ac:dyDescent="0.3">
      <c r="A2899" s="36"/>
      <c r="B2899" s="37"/>
      <c r="C2899" s="37"/>
      <c r="D2899" s="37"/>
    </row>
    <row r="2900" spans="1:4" ht="17.25" x14ac:dyDescent="0.3">
      <c r="A2900" s="36"/>
      <c r="B2900" s="37"/>
      <c r="C2900" s="37"/>
      <c r="D2900" s="37"/>
    </row>
    <row r="2901" spans="1:4" ht="17.25" x14ac:dyDescent="0.3">
      <c r="A2901" s="36"/>
      <c r="B2901" s="37"/>
      <c r="C2901" s="37"/>
      <c r="D2901" s="37"/>
    </row>
    <row r="2902" spans="1:4" ht="17.25" x14ac:dyDescent="0.3">
      <c r="A2902" s="36"/>
      <c r="B2902" s="37"/>
      <c r="C2902" s="37"/>
      <c r="D2902" s="37"/>
    </row>
    <row r="2903" spans="1:4" ht="17.25" x14ac:dyDescent="0.3">
      <c r="A2903" s="36"/>
      <c r="B2903" s="37"/>
      <c r="C2903" s="37"/>
      <c r="D2903" s="37"/>
    </row>
    <row r="2904" spans="1:4" ht="17.25" x14ac:dyDescent="0.3">
      <c r="A2904" s="36"/>
      <c r="B2904" s="37"/>
      <c r="C2904" s="37"/>
      <c r="D2904" s="37"/>
    </row>
    <row r="2905" spans="1:4" ht="17.25" x14ac:dyDescent="0.3">
      <c r="A2905" s="36"/>
      <c r="B2905" s="37"/>
      <c r="C2905" s="37"/>
      <c r="D2905" s="37"/>
    </row>
    <row r="2906" spans="1:4" ht="17.25" x14ac:dyDescent="0.3">
      <c r="A2906" s="36"/>
      <c r="B2906" s="37"/>
      <c r="C2906" s="37"/>
      <c r="D2906" s="37"/>
    </row>
    <row r="2907" spans="1:4" ht="17.25" x14ac:dyDescent="0.3">
      <c r="A2907" s="36"/>
      <c r="B2907" s="37"/>
      <c r="C2907" s="37"/>
      <c r="D2907" s="37"/>
    </row>
    <row r="2908" spans="1:4" ht="17.25" x14ac:dyDescent="0.3">
      <c r="A2908" s="36"/>
      <c r="B2908" s="37"/>
      <c r="C2908" s="37"/>
      <c r="D2908" s="37"/>
    </row>
    <row r="2909" spans="1:4" ht="17.25" x14ac:dyDescent="0.3">
      <c r="A2909" s="36"/>
      <c r="B2909" s="37"/>
      <c r="C2909" s="37"/>
      <c r="D2909" s="37"/>
    </row>
    <row r="2910" spans="1:4" ht="17.25" x14ac:dyDescent="0.3">
      <c r="A2910" s="36"/>
      <c r="B2910" s="37"/>
      <c r="C2910" s="37"/>
      <c r="D2910" s="37"/>
    </row>
    <row r="2911" spans="1:4" ht="17.25" x14ac:dyDescent="0.3">
      <c r="A2911" s="36"/>
      <c r="B2911" s="37"/>
      <c r="C2911" s="37"/>
      <c r="D2911" s="37"/>
    </row>
    <row r="2912" spans="1:4" ht="17.25" x14ac:dyDescent="0.3">
      <c r="A2912" s="36"/>
      <c r="B2912" s="37"/>
      <c r="C2912" s="37"/>
      <c r="D2912" s="37"/>
    </row>
    <row r="2913" spans="1:4" ht="17.25" x14ac:dyDescent="0.3">
      <c r="A2913" s="36"/>
      <c r="B2913" s="37"/>
      <c r="C2913" s="37"/>
      <c r="D2913" s="37"/>
    </row>
    <row r="2914" spans="1:4" ht="17.25" x14ac:dyDescent="0.3">
      <c r="A2914" s="36"/>
      <c r="B2914" s="37"/>
      <c r="C2914" s="37"/>
      <c r="D2914" s="37"/>
    </row>
    <row r="2915" spans="1:4" ht="17.25" x14ac:dyDescent="0.3">
      <c r="A2915" s="36"/>
      <c r="B2915" s="37"/>
      <c r="C2915" s="37"/>
      <c r="D2915" s="37"/>
    </row>
    <row r="2916" spans="1:4" ht="17.25" x14ac:dyDescent="0.3">
      <c r="A2916" s="36"/>
      <c r="B2916" s="37"/>
      <c r="C2916" s="37"/>
      <c r="D2916" s="37"/>
    </row>
    <row r="2917" spans="1:4" ht="17.25" x14ac:dyDescent="0.3">
      <c r="A2917" s="36"/>
      <c r="B2917" s="37"/>
      <c r="C2917" s="37"/>
      <c r="D2917" s="37"/>
    </row>
    <row r="2918" spans="1:4" ht="17.25" x14ac:dyDescent="0.3">
      <c r="A2918" s="36"/>
      <c r="B2918" s="37"/>
      <c r="C2918" s="37"/>
      <c r="D2918" s="37"/>
    </row>
    <row r="2919" spans="1:4" ht="17.25" x14ac:dyDescent="0.3">
      <c r="A2919" s="36"/>
      <c r="B2919" s="37"/>
      <c r="C2919" s="37"/>
      <c r="D2919" s="37"/>
    </row>
    <row r="2920" spans="1:4" ht="17.25" x14ac:dyDescent="0.3">
      <c r="A2920" s="36"/>
      <c r="B2920" s="37"/>
      <c r="C2920" s="37"/>
      <c r="D2920" s="37"/>
    </row>
    <row r="2921" spans="1:4" ht="17.25" x14ac:dyDescent="0.3">
      <c r="A2921" s="36"/>
      <c r="B2921" s="37"/>
      <c r="C2921" s="37"/>
      <c r="D2921" s="37"/>
    </row>
    <row r="2922" spans="1:4" ht="17.25" x14ac:dyDescent="0.3">
      <c r="A2922" s="36"/>
      <c r="B2922" s="37"/>
      <c r="C2922" s="37"/>
      <c r="D2922" s="37"/>
    </row>
    <row r="2923" spans="1:4" ht="17.25" x14ac:dyDescent="0.3">
      <c r="A2923" s="36"/>
      <c r="B2923" s="37"/>
      <c r="C2923" s="37"/>
      <c r="D2923" s="37"/>
    </row>
    <row r="2924" spans="1:4" ht="17.25" x14ac:dyDescent="0.3">
      <c r="A2924" s="36"/>
      <c r="B2924" s="37"/>
      <c r="C2924" s="37"/>
      <c r="D2924" s="37"/>
    </row>
    <row r="2925" spans="1:4" ht="17.25" x14ac:dyDescent="0.3">
      <c r="A2925" s="36"/>
      <c r="B2925" s="37"/>
      <c r="C2925" s="37"/>
      <c r="D2925" s="37"/>
    </row>
    <row r="2926" spans="1:4" ht="17.25" x14ac:dyDescent="0.3">
      <c r="A2926" s="36"/>
      <c r="B2926" s="37"/>
      <c r="C2926" s="37"/>
      <c r="D2926" s="37"/>
    </row>
    <row r="2927" spans="1:4" ht="17.25" x14ac:dyDescent="0.3">
      <c r="A2927" s="36"/>
      <c r="B2927" s="37"/>
      <c r="C2927" s="37"/>
      <c r="D2927" s="37"/>
    </row>
    <row r="2928" spans="1:4" ht="17.25" x14ac:dyDescent="0.3">
      <c r="A2928" s="36"/>
      <c r="B2928" s="37"/>
      <c r="C2928" s="37"/>
      <c r="D2928" s="37"/>
    </row>
    <row r="2929" spans="1:4" ht="17.25" x14ac:dyDescent="0.3">
      <c r="A2929" s="36"/>
      <c r="B2929" s="37"/>
      <c r="C2929" s="37"/>
      <c r="D2929" s="37"/>
    </row>
    <row r="2930" spans="1:4" ht="17.25" x14ac:dyDescent="0.3">
      <c r="A2930" s="36"/>
      <c r="B2930" s="37"/>
      <c r="C2930" s="37"/>
      <c r="D2930" s="37"/>
    </row>
    <row r="2931" spans="1:4" ht="17.25" x14ac:dyDescent="0.3">
      <c r="A2931" s="36"/>
      <c r="B2931" s="37"/>
      <c r="C2931" s="37"/>
      <c r="D2931" s="37"/>
    </row>
    <row r="2932" spans="1:4" ht="17.25" x14ac:dyDescent="0.3">
      <c r="A2932" s="36"/>
      <c r="B2932" s="37"/>
      <c r="C2932" s="37"/>
      <c r="D2932" s="37"/>
    </row>
    <row r="2933" spans="1:4" ht="17.25" x14ac:dyDescent="0.3">
      <c r="A2933" s="36"/>
      <c r="B2933" s="37"/>
      <c r="C2933" s="37"/>
      <c r="D2933" s="37"/>
    </row>
    <row r="2934" spans="1:4" ht="17.25" x14ac:dyDescent="0.3">
      <c r="A2934" s="36"/>
      <c r="B2934" s="37"/>
      <c r="C2934" s="37"/>
      <c r="D2934" s="37"/>
    </row>
    <row r="2935" spans="1:4" ht="17.25" x14ac:dyDescent="0.3">
      <c r="A2935" s="36"/>
      <c r="B2935" s="37"/>
      <c r="C2935" s="37"/>
      <c r="D2935" s="37"/>
    </row>
    <row r="2936" spans="1:4" ht="17.25" x14ac:dyDescent="0.3">
      <c r="A2936" s="36"/>
      <c r="B2936" s="37"/>
      <c r="C2936" s="37"/>
      <c r="D2936" s="37"/>
    </row>
    <row r="2937" spans="1:4" ht="17.25" x14ac:dyDescent="0.3">
      <c r="A2937" s="36"/>
      <c r="B2937" s="37"/>
      <c r="C2937" s="37"/>
      <c r="D2937" s="37"/>
    </row>
    <row r="2938" spans="1:4" ht="17.25" x14ac:dyDescent="0.3">
      <c r="A2938" s="36"/>
      <c r="B2938" s="37"/>
      <c r="C2938" s="37"/>
      <c r="D2938" s="37"/>
    </row>
    <row r="2939" spans="1:4" ht="17.25" x14ac:dyDescent="0.3">
      <c r="A2939" s="36"/>
      <c r="B2939" s="37"/>
      <c r="C2939" s="37"/>
      <c r="D2939" s="37"/>
    </row>
    <row r="2940" spans="1:4" ht="17.25" x14ac:dyDescent="0.3">
      <c r="A2940" s="36"/>
      <c r="B2940" s="37"/>
      <c r="C2940" s="37"/>
      <c r="D2940" s="37"/>
    </row>
    <row r="2941" spans="1:4" ht="17.25" x14ac:dyDescent="0.3">
      <c r="A2941" s="36"/>
      <c r="B2941" s="37"/>
      <c r="C2941" s="37"/>
      <c r="D2941" s="37"/>
    </row>
    <row r="2942" spans="1:4" ht="17.25" x14ac:dyDescent="0.3">
      <c r="A2942" s="36"/>
      <c r="B2942" s="37"/>
      <c r="C2942" s="37"/>
      <c r="D2942" s="37"/>
    </row>
    <row r="2943" spans="1:4" ht="17.25" x14ac:dyDescent="0.3">
      <c r="A2943" s="36"/>
      <c r="B2943" s="37"/>
      <c r="C2943" s="37"/>
      <c r="D2943" s="37"/>
    </row>
    <row r="2944" spans="1:4" ht="17.25" x14ac:dyDescent="0.3">
      <c r="A2944" s="36"/>
      <c r="B2944" s="37"/>
      <c r="C2944" s="37"/>
      <c r="D2944" s="37"/>
    </row>
    <row r="2945" spans="1:4" ht="17.25" x14ac:dyDescent="0.3">
      <c r="A2945" s="36"/>
      <c r="B2945" s="37"/>
      <c r="C2945" s="37"/>
      <c r="D2945" s="37"/>
    </row>
    <row r="2946" spans="1:4" ht="17.25" x14ac:dyDescent="0.3">
      <c r="A2946" s="36"/>
      <c r="B2946" s="37"/>
      <c r="C2946" s="37"/>
      <c r="D2946" s="37"/>
    </row>
    <row r="2947" spans="1:4" ht="17.25" x14ac:dyDescent="0.3">
      <c r="A2947" s="36"/>
      <c r="B2947" s="37"/>
      <c r="C2947" s="37"/>
      <c r="D2947" s="37"/>
    </row>
    <row r="2948" spans="1:4" ht="17.25" x14ac:dyDescent="0.3">
      <c r="A2948" s="36"/>
      <c r="B2948" s="37"/>
      <c r="C2948" s="37"/>
      <c r="D2948" s="37"/>
    </row>
    <row r="2949" spans="1:4" ht="17.25" x14ac:dyDescent="0.3">
      <c r="A2949" s="36"/>
      <c r="B2949" s="37"/>
      <c r="C2949" s="37"/>
      <c r="D2949" s="37"/>
    </row>
    <row r="2950" spans="1:4" ht="17.25" x14ac:dyDescent="0.3">
      <c r="A2950" s="36"/>
      <c r="B2950" s="37"/>
      <c r="C2950" s="37"/>
      <c r="D2950" s="37"/>
    </row>
    <row r="2951" spans="1:4" ht="17.25" x14ac:dyDescent="0.3">
      <c r="A2951" s="36"/>
      <c r="B2951" s="37"/>
      <c r="C2951" s="37"/>
      <c r="D2951" s="37"/>
    </row>
    <row r="2952" spans="1:4" ht="17.25" x14ac:dyDescent="0.3">
      <c r="A2952" s="36"/>
      <c r="B2952" s="37"/>
      <c r="C2952" s="37"/>
      <c r="D2952" s="37"/>
    </row>
    <row r="2953" spans="1:4" ht="17.25" x14ac:dyDescent="0.3">
      <c r="A2953" s="36"/>
      <c r="B2953" s="37"/>
      <c r="C2953" s="37"/>
      <c r="D2953" s="37"/>
    </row>
    <row r="2954" spans="1:4" ht="17.25" x14ac:dyDescent="0.3">
      <c r="A2954" s="36"/>
      <c r="B2954" s="37"/>
      <c r="C2954" s="37"/>
      <c r="D2954" s="37"/>
    </row>
    <row r="2955" spans="1:4" ht="17.25" x14ac:dyDescent="0.3">
      <c r="A2955" s="36"/>
      <c r="B2955" s="37"/>
      <c r="C2955" s="37"/>
      <c r="D2955" s="37"/>
    </row>
    <row r="2956" spans="1:4" ht="17.25" x14ac:dyDescent="0.3">
      <c r="A2956" s="36"/>
      <c r="B2956" s="37"/>
      <c r="C2956" s="37"/>
      <c r="D2956" s="37"/>
    </row>
    <row r="2957" spans="1:4" ht="17.25" x14ac:dyDescent="0.3">
      <c r="A2957" s="36"/>
      <c r="B2957" s="37"/>
      <c r="C2957" s="37"/>
      <c r="D2957" s="37"/>
    </row>
    <row r="2958" spans="1:4" ht="17.25" x14ac:dyDescent="0.3">
      <c r="A2958" s="36"/>
      <c r="B2958" s="37"/>
      <c r="C2958" s="37"/>
      <c r="D2958" s="37"/>
    </row>
    <row r="2959" spans="1:4" ht="17.25" x14ac:dyDescent="0.3">
      <c r="A2959" s="36"/>
      <c r="B2959" s="37"/>
      <c r="C2959" s="37"/>
      <c r="D2959" s="37"/>
    </row>
    <row r="2960" spans="1:4" ht="17.25" x14ac:dyDescent="0.3">
      <c r="A2960" s="36"/>
      <c r="B2960" s="37"/>
      <c r="C2960" s="37"/>
      <c r="D2960" s="37"/>
    </row>
    <row r="2961" spans="1:4" ht="17.25" x14ac:dyDescent="0.3">
      <c r="A2961" s="36"/>
      <c r="B2961" s="37"/>
      <c r="C2961" s="37"/>
      <c r="D2961" s="37"/>
    </row>
    <row r="2962" spans="1:4" ht="17.25" x14ac:dyDescent="0.3">
      <c r="A2962" s="36"/>
      <c r="B2962" s="37"/>
      <c r="C2962" s="37"/>
      <c r="D2962" s="37"/>
    </row>
    <row r="2963" spans="1:4" ht="17.25" x14ac:dyDescent="0.3">
      <c r="A2963" s="36"/>
      <c r="B2963" s="37"/>
      <c r="C2963" s="37"/>
      <c r="D2963" s="37"/>
    </row>
    <row r="2964" spans="1:4" ht="17.25" x14ac:dyDescent="0.3">
      <c r="A2964" s="36"/>
      <c r="B2964" s="37"/>
      <c r="C2964" s="37"/>
      <c r="D2964" s="37"/>
    </row>
    <row r="2965" spans="1:4" ht="17.25" x14ac:dyDescent="0.3">
      <c r="A2965" s="36"/>
      <c r="B2965" s="37"/>
      <c r="C2965" s="37"/>
      <c r="D2965" s="37"/>
    </row>
    <row r="2966" spans="1:4" ht="17.25" x14ac:dyDescent="0.3">
      <c r="A2966" s="36"/>
      <c r="B2966" s="37"/>
      <c r="C2966" s="37"/>
      <c r="D2966" s="37"/>
    </row>
    <row r="2967" spans="1:4" ht="17.25" x14ac:dyDescent="0.3">
      <c r="A2967" s="36"/>
      <c r="B2967" s="37"/>
      <c r="C2967" s="37"/>
      <c r="D2967" s="37"/>
    </row>
    <row r="2968" spans="1:4" ht="17.25" x14ac:dyDescent="0.3">
      <c r="A2968" s="36"/>
      <c r="B2968" s="37"/>
      <c r="C2968" s="37"/>
      <c r="D2968" s="37"/>
    </row>
    <row r="2969" spans="1:4" ht="17.25" x14ac:dyDescent="0.3">
      <c r="A2969" s="36"/>
      <c r="B2969" s="37"/>
      <c r="C2969" s="37"/>
      <c r="D2969" s="37"/>
    </row>
    <row r="2970" spans="1:4" ht="17.25" x14ac:dyDescent="0.3">
      <c r="A2970" s="36"/>
      <c r="B2970" s="37"/>
      <c r="C2970" s="37"/>
      <c r="D2970" s="37"/>
    </row>
    <row r="2971" spans="1:4" ht="17.25" x14ac:dyDescent="0.3">
      <c r="A2971" s="36"/>
      <c r="B2971" s="37"/>
      <c r="C2971" s="37"/>
      <c r="D2971" s="37"/>
    </row>
    <row r="2972" spans="1:4" ht="17.25" x14ac:dyDescent="0.3">
      <c r="A2972" s="36"/>
      <c r="B2972" s="37"/>
      <c r="C2972" s="37"/>
      <c r="D2972" s="37"/>
    </row>
    <row r="2973" spans="1:4" ht="17.25" x14ac:dyDescent="0.3">
      <c r="A2973" s="36"/>
      <c r="B2973" s="37"/>
      <c r="C2973" s="37"/>
      <c r="D2973" s="37"/>
    </row>
    <row r="2974" spans="1:4" ht="17.25" x14ac:dyDescent="0.3">
      <c r="A2974" s="36"/>
      <c r="B2974" s="37"/>
      <c r="C2974" s="37"/>
      <c r="D2974" s="37"/>
    </row>
    <row r="2975" spans="1:4" ht="17.25" x14ac:dyDescent="0.3">
      <c r="A2975" s="36"/>
      <c r="B2975" s="37"/>
      <c r="C2975" s="37"/>
      <c r="D2975" s="37"/>
    </row>
    <row r="2976" spans="1:4" ht="17.25" x14ac:dyDescent="0.3">
      <c r="A2976" s="36"/>
      <c r="B2976" s="37"/>
      <c r="C2976" s="37"/>
      <c r="D2976" s="37"/>
    </row>
    <row r="2977" spans="1:4" ht="17.25" x14ac:dyDescent="0.3">
      <c r="A2977" s="36"/>
      <c r="B2977" s="37"/>
      <c r="C2977" s="37"/>
      <c r="D2977" s="37"/>
    </row>
    <row r="2978" spans="1:4" ht="17.25" x14ac:dyDescent="0.3">
      <c r="A2978" s="36"/>
      <c r="B2978" s="37"/>
      <c r="C2978" s="37"/>
      <c r="D2978" s="37"/>
    </row>
    <row r="2979" spans="1:4" ht="17.25" x14ac:dyDescent="0.3">
      <c r="A2979" s="36"/>
      <c r="B2979" s="37"/>
      <c r="C2979" s="37"/>
      <c r="D2979" s="37"/>
    </row>
    <row r="2980" spans="1:4" ht="17.25" x14ac:dyDescent="0.3">
      <c r="A2980" s="36"/>
      <c r="B2980" s="37"/>
      <c r="C2980" s="37"/>
      <c r="D2980" s="37"/>
    </row>
    <row r="2981" spans="1:4" ht="17.25" x14ac:dyDescent="0.3">
      <c r="A2981" s="36"/>
      <c r="B2981" s="37"/>
      <c r="C2981" s="37"/>
      <c r="D2981" s="37"/>
    </row>
    <row r="2982" spans="1:4" ht="17.25" x14ac:dyDescent="0.3">
      <c r="A2982" s="36"/>
      <c r="B2982" s="37"/>
      <c r="C2982" s="37"/>
      <c r="D2982" s="37"/>
    </row>
    <row r="2983" spans="1:4" ht="17.25" x14ac:dyDescent="0.3">
      <c r="A2983" s="36"/>
      <c r="B2983" s="37"/>
      <c r="C2983" s="37"/>
      <c r="D2983" s="37"/>
    </row>
    <row r="2984" spans="1:4" ht="17.25" x14ac:dyDescent="0.3">
      <c r="A2984" s="36"/>
      <c r="B2984" s="37"/>
      <c r="C2984" s="37"/>
      <c r="D2984" s="37"/>
    </row>
    <row r="2985" spans="1:4" ht="17.25" x14ac:dyDescent="0.3">
      <c r="A2985" s="36"/>
      <c r="B2985" s="37"/>
      <c r="C2985" s="37"/>
      <c r="D2985" s="37"/>
    </row>
    <row r="2986" spans="1:4" ht="17.25" x14ac:dyDescent="0.3">
      <c r="A2986" s="36"/>
      <c r="B2986" s="37"/>
      <c r="C2986" s="37"/>
      <c r="D2986" s="37"/>
    </row>
    <row r="2987" spans="1:4" ht="17.25" x14ac:dyDescent="0.3">
      <c r="A2987" s="36"/>
      <c r="B2987" s="37"/>
      <c r="C2987" s="37"/>
      <c r="D2987" s="37"/>
    </row>
    <row r="2988" spans="1:4" ht="17.25" x14ac:dyDescent="0.3">
      <c r="A2988" s="36"/>
      <c r="B2988" s="37"/>
      <c r="C2988" s="37"/>
      <c r="D2988" s="37"/>
    </row>
    <row r="2989" spans="1:4" ht="17.25" x14ac:dyDescent="0.3">
      <c r="A2989" s="36"/>
      <c r="B2989" s="37"/>
      <c r="C2989" s="37"/>
      <c r="D2989" s="37"/>
    </row>
    <row r="2990" spans="1:4" ht="17.25" x14ac:dyDescent="0.3">
      <c r="A2990" s="36"/>
      <c r="B2990" s="37"/>
      <c r="C2990" s="37"/>
      <c r="D2990" s="37"/>
    </row>
    <row r="2991" spans="1:4" ht="17.25" x14ac:dyDescent="0.3">
      <c r="A2991" s="36"/>
      <c r="B2991" s="37"/>
      <c r="C2991" s="37"/>
      <c r="D2991" s="37"/>
    </row>
    <row r="2992" spans="1:4" ht="17.25" x14ac:dyDescent="0.3">
      <c r="A2992" s="36"/>
      <c r="B2992" s="37"/>
      <c r="C2992" s="37"/>
      <c r="D2992" s="37"/>
    </row>
    <row r="2993" spans="1:4" ht="17.25" x14ac:dyDescent="0.3">
      <c r="A2993" s="36"/>
      <c r="B2993" s="37"/>
      <c r="C2993" s="37"/>
      <c r="D2993" s="37"/>
    </row>
    <row r="2994" spans="1:4" ht="17.25" x14ac:dyDescent="0.3">
      <c r="A2994" s="36"/>
      <c r="B2994" s="37"/>
      <c r="C2994" s="37"/>
      <c r="D2994" s="37"/>
    </row>
    <row r="2995" spans="1:4" ht="17.25" x14ac:dyDescent="0.3">
      <c r="A2995" s="36"/>
      <c r="B2995" s="37"/>
      <c r="C2995" s="37"/>
      <c r="D2995" s="37"/>
    </row>
    <row r="2996" spans="1:4" ht="17.25" x14ac:dyDescent="0.3">
      <c r="A2996" s="36"/>
      <c r="B2996" s="37"/>
      <c r="C2996" s="37"/>
      <c r="D2996" s="37"/>
    </row>
    <row r="2997" spans="1:4" ht="17.25" x14ac:dyDescent="0.3">
      <c r="A2997" s="36"/>
      <c r="B2997" s="37"/>
      <c r="C2997" s="37"/>
      <c r="D2997" s="37"/>
    </row>
    <row r="2998" spans="1:4" ht="17.25" x14ac:dyDescent="0.3">
      <c r="A2998" s="36"/>
      <c r="B2998" s="37"/>
      <c r="C2998" s="37"/>
      <c r="D2998" s="37"/>
    </row>
    <row r="2999" spans="1:4" ht="17.25" x14ac:dyDescent="0.3">
      <c r="A2999" s="36"/>
      <c r="B2999" s="37"/>
      <c r="C2999" s="37"/>
      <c r="D2999" s="37"/>
    </row>
    <row r="3000" spans="1:4" ht="17.25" x14ac:dyDescent="0.3">
      <c r="A3000" s="36"/>
      <c r="B3000" s="37"/>
      <c r="C3000" s="37"/>
      <c r="D3000" s="37"/>
    </row>
    <row r="3001" spans="1:4" ht="17.25" x14ac:dyDescent="0.3">
      <c r="A3001" s="36"/>
      <c r="B3001" s="37"/>
      <c r="C3001" s="37"/>
      <c r="D3001" s="37"/>
    </row>
    <row r="3002" spans="1:4" ht="17.25" x14ac:dyDescent="0.3">
      <c r="A3002" s="36"/>
      <c r="B3002" s="37"/>
      <c r="C3002" s="37"/>
      <c r="D3002" s="37"/>
    </row>
    <row r="3003" spans="1:4" ht="17.25" x14ac:dyDescent="0.3">
      <c r="A3003" s="36"/>
      <c r="B3003" s="37"/>
      <c r="C3003" s="37"/>
      <c r="D3003" s="37"/>
    </row>
    <row r="3004" spans="1:4" ht="17.25" x14ac:dyDescent="0.3">
      <c r="A3004" s="36"/>
      <c r="B3004" s="37"/>
      <c r="C3004" s="37"/>
      <c r="D3004" s="37"/>
    </row>
    <row r="3005" spans="1:4" ht="17.25" x14ac:dyDescent="0.3">
      <c r="A3005" s="36"/>
      <c r="B3005" s="37"/>
      <c r="C3005" s="37"/>
      <c r="D3005" s="37"/>
    </row>
    <row r="3006" spans="1:4" ht="17.25" x14ac:dyDescent="0.3">
      <c r="A3006" s="36"/>
      <c r="B3006" s="37"/>
      <c r="C3006" s="37"/>
      <c r="D3006" s="37"/>
    </row>
    <row r="3007" spans="1:4" ht="17.25" x14ac:dyDescent="0.3">
      <c r="A3007" s="36"/>
      <c r="B3007" s="37"/>
      <c r="C3007" s="37"/>
      <c r="D3007" s="37"/>
    </row>
    <row r="3008" spans="1:4" ht="17.25" x14ac:dyDescent="0.3">
      <c r="A3008" s="36"/>
      <c r="B3008" s="37"/>
      <c r="C3008" s="37"/>
      <c r="D3008" s="37"/>
    </row>
    <row r="3009" spans="1:4" ht="17.25" x14ac:dyDescent="0.3">
      <c r="A3009" s="36"/>
      <c r="B3009" s="37"/>
      <c r="C3009" s="37"/>
      <c r="D3009" s="37"/>
    </row>
    <row r="3010" spans="1:4" ht="17.25" x14ac:dyDescent="0.3">
      <c r="A3010" s="36"/>
      <c r="B3010" s="37"/>
      <c r="C3010" s="37"/>
      <c r="D3010" s="37"/>
    </row>
    <row r="3011" spans="1:4" ht="17.25" x14ac:dyDescent="0.3">
      <c r="A3011" s="36"/>
      <c r="B3011" s="37"/>
      <c r="C3011" s="37"/>
      <c r="D3011" s="37"/>
    </row>
    <row r="3012" spans="1:4" ht="17.25" x14ac:dyDescent="0.3">
      <c r="A3012" s="36"/>
      <c r="B3012" s="37"/>
      <c r="C3012" s="37"/>
      <c r="D3012" s="37"/>
    </row>
    <row r="3013" spans="1:4" ht="17.25" x14ac:dyDescent="0.3">
      <c r="A3013" s="36"/>
      <c r="B3013" s="37"/>
      <c r="C3013" s="37"/>
      <c r="D3013" s="37"/>
    </row>
    <row r="3014" spans="1:4" ht="17.25" x14ac:dyDescent="0.3">
      <c r="A3014" s="36"/>
      <c r="B3014" s="37"/>
      <c r="C3014" s="37"/>
      <c r="D3014" s="37"/>
    </row>
    <row r="3015" spans="1:4" ht="17.25" x14ac:dyDescent="0.3">
      <c r="A3015" s="36"/>
      <c r="B3015" s="37"/>
      <c r="C3015" s="37"/>
      <c r="D3015" s="37"/>
    </row>
    <row r="3016" spans="1:4" ht="17.25" x14ac:dyDescent="0.3">
      <c r="A3016" s="36"/>
      <c r="B3016" s="37"/>
      <c r="C3016" s="37"/>
      <c r="D3016" s="37"/>
    </row>
    <row r="3017" spans="1:4" ht="17.25" x14ac:dyDescent="0.3">
      <c r="A3017" s="36"/>
      <c r="B3017" s="37"/>
      <c r="C3017" s="37"/>
      <c r="D3017" s="37"/>
    </row>
    <row r="3018" spans="1:4" ht="17.25" x14ac:dyDescent="0.3">
      <c r="A3018" s="36"/>
      <c r="B3018" s="37"/>
      <c r="C3018" s="37"/>
      <c r="D3018" s="37"/>
    </row>
    <row r="3019" spans="1:4" ht="17.25" x14ac:dyDescent="0.3">
      <c r="A3019" s="36"/>
      <c r="B3019" s="37"/>
      <c r="C3019" s="37"/>
      <c r="D3019" s="37"/>
    </row>
    <row r="3020" spans="1:4" ht="17.25" x14ac:dyDescent="0.3">
      <c r="A3020" s="36"/>
      <c r="B3020" s="37"/>
      <c r="C3020" s="37"/>
      <c r="D3020" s="37"/>
    </row>
    <row r="3021" spans="1:4" ht="17.25" x14ac:dyDescent="0.3">
      <c r="A3021" s="36"/>
      <c r="B3021" s="37"/>
      <c r="C3021" s="37"/>
      <c r="D3021" s="37"/>
    </row>
    <row r="3022" spans="1:4" ht="17.25" x14ac:dyDescent="0.3">
      <c r="A3022" s="36"/>
      <c r="B3022" s="37"/>
      <c r="C3022" s="37"/>
      <c r="D3022" s="37"/>
    </row>
    <row r="3023" spans="1:4" ht="17.25" x14ac:dyDescent="0.3">
      <c r="A3023" s="36"/>
      <c r="B3023" s="37"/>
      <c r="C3023" s="37"/>
      <c r="D3023" s="37"/>
    </row>
    <row r="3024" spans="1:4" ht="17.25" x14ac:dyDescent="0.3">
      <c r="A3024" s="36"/>
      <c r="B3024" s="37"/>
      <c r="C3024" s="37"/>
      <c r="D3024" s="37"/>
    </row>
    <row r="3025" spans="1:4" ht="17.25" x14ac:dyDescent="0.3">
      <c r="A3025" s="36"/>
      <c r="B3025" s="37"/>
      <c r="C3025" s="37"/>
      <c r="D3025" s="37"/>
    </row>
    <row r="3026" spans="1:4" ht="17.25" x14ac:dyDescent="0.3">
      <c r="A3026" s="36"/>
      <c r="B3026" s="37"/>
      <c r="C3026" s="37"/>
      <c r="D3026" s="37"/>
    </row>
    <row r="3027" spans="1:4" ht="17.25" x14ac:dyDescent="0.3">
      <c r="A3027" s="36"/>
      <c r="B3027" s="37"/>
      <c r="C3027" s="37"/>
      <c r="D3027" s="37"/>
    </row>
    <row r="3028" spans="1:4" ht="17.25" x14ac:dyDescent="0.3">
      <c r="A3028" s="36"/>
      <c r="B3028" s="37"/>
      <c r="C3028" s="37"/>
      <c r="D3028" s="37"/>
    </row>
    <row r="3029" spans="1:4" ht="17.25" x14ac:dyDescent="0.3">
      <c r="A3029" s="36"/>
      <c r="B3029" s="37"/>
      <c r="C3029" s="37"/>
      <c r="D3029" s="37"/>
    </row>
    <row r="3030" spans="1:4" ht="17.25" x14ac:dyDescent="0.3">
      <c r="A3030" s="36"/>
      <c r="B3030" s="37"/>
      <c r="C3030" s="37"/>
      <c r="D3030" s="37"/>
    </row>
    <row r="3031" spans="1:4" ht="17.25" x14ac:dyDescent="0.3">
      <c r="A3031" s="36"/>
      <c r="B3031" s="37"/>
      <c r="C3031" s="37"/>
      <c r="D3031" s="37"/>
    </row>
    <row r="3032" spans="1:4" ht="17.25" x14ac:dyDescent="0.3">
      <c r="A3032" s="36"/>
      <c r="B3032" s="37"/>
      <c r="C3032" s="37"/>
      <c r="D3032" s="37"/>
    </row>
    <row r="3033" spans="1:4" ht="17.25" x14ac:dyDescent="0.3">
      <c r="A3033" s="36"/>
      <c r="B3033" s="37"/>
      <c r="C3033" s="37"/>
      <c r="D3033" s="37"/>
    </row>
    <row r="3034" spans="1:4" ht="17.25" x14ac:dyDescent="0.3">
      <c r="A3034" s="36"/>
      <c r="B3034" s="37"/>
      <c r="C3034" s="37"/>
      <c r="D3034" s="37"/>
    </row>
    <row r="3035" spans="1:4" ht="17.25" x14ac:dyDescent="0.3">
      <c r="A3035" s="36"/>
      <c r="B3035" s="37"/>
      <c r="C3035" s="37"/>
      <c r="D3035" s="37"/>
    </row>
    <row r="3036" spans="1:4" ht="17.25" x14ac:dyDescent="0.3">
      <c r="A3036" s="36"/>
      <c r="B3036" s="37"/>
      <c r="C3036" s="37"/>
      <c r="D3036" s="37"/>
    </row>
    <row r="3037" spans="1:4" ht="17.25" x14ac:dyDescent="0.3">
      <c r="A3037" s="36"/>
      <c r="B3037" s="37"/>
      <c r="C3037" s="37"/>
      <c r="D3037" s="37"/>
    </row>
    <row r="3038" spans="1:4" ht="17.25" x14ac:dyDescent="0.3">
      <c r="A3038" s="36"/>
      <c r="B3038" s="37"/>
      <c r="C3038" s="37"/>
      <c r="D3038" s="37"/>
    </row>
    <row r="3039" spans="1:4" ht="17.25" x14ac:dyDescent="0.3">
      <c r="A3039" s="36"/>
      <c r="B3039" s="37"/>
      <c r="C3039" s="37"/>
      <c r="D3039" s="37"/>
    </row>
    <row r="3040" spans="1:4" ht="17.25" x14ac:dyDescent="0.3">
      <c r="A3040" s="36"/>
      <c r="B3040" s="37"/>
      <c r="C3040" s="37"/>
      <c r="D3040" s="37"/>
    </row>
    <row r="3041" spans="1:4" ht="17.25" x14ac:dyDescent="0.3">
      <c r="A3041" s="36"/>
      <c r="B3041" s="37"/>
      <c r="C3041" s="37"/>
      <c r="D3041" s="37"/>
    </row>
    <row r="3042" spans="1:4" ht="17.25" x14ac:dyDescent="0.3">
      <c r="A3042" s="36"/>
      <c r="B3042" s="37"/>
      <c r="C3042" s="37"/>
      <c r="D3042" s="37"/>
    </row>
    <row r="3043" spans="1:4" ht="17.25" x14ac:dyDescent="0.3">
      <c r="A3043" s="36"/>
      <c r="B3043" s="37"/>
      <c r="C3043" s="37"/>
      <c r="D3043" s="37"/>
    </row>
    <row r="3044" spans="1:4" ht="17.25" x14ac:dyDescent="0.3">
      <c r="A3044" s="36"/>
      <c r="B3044" s="37"/>
      <c r="C3044" s="37"/>
      <c r="D3044" s="37"/>
    </row>
    <row r="3045" spans="1:4" ht="17.25" x14ac:dyDescent="0.3">
      <c r="A3045" s="36"/>
      <c r="B3045" s="37"/>
      <c r="C3045" s="37"/>
      <c r="D3045" s="37"/>
    </row>
    <row r="3046" spans="1:4" ht="17.25" x14ac:dyDescent="0.3">
      <c r="A3046" s="36"/>
      <c r="B3046" s="37"/>
      <c r="C3046" s="37"/>
      <c r="D3046" s="37"/>
    </row>
    <row r="3047" spans="1:4" ht="17.25" x14ac:dyDescent="0.3">
      <c r="A3047" s="36"/>
      <c r="B3047" s="37"/>
      <c r="C3047" s="37"/>
      <c r="D3047" s="37"/>
    </row>
    <row r="3048" spans="1:4" ht="17.25" x14ac:dyDescent="0.3">
      <c r="A3048" s="36"/>
      <c r="B3048" s="37"/>
      <c r="C3048" s="37"/>
      <c r="D3048" s="37"/>
    </row>
    <row r="3049" spans="1:4" ht="17.25" x14ac:dyDescent="0.3">
      <c r="A3049" s="36"/>
      <c r="B3049" s="37"/>
      <c r="C3049" s="37"/>
      <c r="D3049" s="37"/>
    </row>
    <row r="3050" spans="1:4" ht="17.25" x14ac:dyDescent="0.3">
      <c r="A3050" s="36"/>
      <c r="B3050" s="37"/>
      <c r="C3050" s="37"/>
      <c r="D3050" s="37"/>
    </row>
    <row r="3051" spans="1:4" ht="17.25" x14ac:dyDescent="0.3">
      <c r="A3051" s="36"/>
      <c r="B3051" s="37"/>
      <c r="C3051" s="37"/>
      <c r="D3051" s="37"/>
    </row>
    <row r="3052" spans="1:4" ht="17.25" x14ac:dyDescent="0.3">
      <c r="A3052" s="36"/>
      <c r="B3052" s="37"/>
      <c r="C3052" s="37"/>
      <c r="D3052" s="37"/>
    </row>
    <row r="3053" spans="1:4" ht="17.25" x14ac:dyDescent="0.3">
      <c r="A3053" s="36"/>
      <c r="B3053" s="37"/>
      <c r="C3053" s="37"/>
      <c r="D3053" s="37"/>
    </row>
    <row r="3054" spans="1:4" ht="17.25" x14ac:dyDescent="0.3">
      <c r="A3054" s="36"/>
      <c r="B3054" s="37"/>
      <c r="C3054" s="37"/>
      <c r="D3054" s="37"/>
    </row>
    <row r="3055" spans="1:4" ht="17.25" x14ac:dyDescent="0.3">
      <c r="A3055" s="36"/>
      <c r="B3055" s="37"/>
      <c r="C3055" s="37"/>
      <c r="D3055" s="37"/>
    </row>
    <row r="3056" spans="1:4" ht="17.25" x14ac:dyDescent="0.3">
      <c r="A3056" s="36"/>
      <c r="B3056" s="37"/>
      <c r="C3056" s="37"/>
      <c r="D3056" s="37"/>
    </row>
    <row r="3057" spans="1:4" ht="17.25" x14ac:dyDescent="0.3">
      <c r="A3057" s="36"/>
      <c r="B3057" s="37"/>
      <c r="C3057" s="37"/>
      <c r="D3057" s="37"/>
    </row>
    <row r="3058" spans="1:4" ht="17.25" x14ac:dyDescent="0.3">
      <c r="A3058" s="36"/>
      <c r="B3058" s="37"/>
      <c r="C3058" s="37"/>
      <c r="D3058" s="37"/>
    </row>
    <row r="3059" spans="1:4" ht="17.25" x14ac:dyDescent="0.3">
      <c r="A3059" s="36"/>
      <c r="B3059" s="37"/>
      <c r="C3059" s="37"/>
      <c r="D3059" s="37"/>
    </row>
    <row r="3060" spans="1:4" ht="17.25" x14ac:dyDescent="0.3">
      <c r="A3060" s="36"/>
      <c r="B3060" s="37"/>
      <c r="C3060" s="37"/>
      <c r="D3060" s="37"/>
    </row>
    <row r="3061" spans="1:4" ht="17.25" x14ac:dyDescent="0.3">
      <c r="A3061" s="36"/>
      <c r="B3061" s="37"/>
      <c r="C3061" s="37"/>
      <c r="D3061" s="37"/>
    </row>
    <row r="3062" spans="1:4" ht="17.25" x14ac:dyDescent="0.3">
      <c r="A3062" s="36"/>
      <c r="B3062" s="37"/>
      <c r="C3062" s="37"/>
      <c r="D3062" s="37"/>
    </row>
    <row r="3063" spans="1:4" ht="17.25" x14ac:dyDescent="0.3">
      <c r="A3063" s="36"/>
      <c r="B3063" s="37"/>
      <c r="C3063" s="37"/>
      <c r="D3063" s="37"/>
    </row>
    <row r="3064" spans="1:4" ht="17.25" x14ac:dyDescent="0.3">
      <c r="A3064" s="36"/>
      <c r="B3064" s="37"/>
      <c r="C3064" s="37"/>
      <c r="D3064" s="37"/>
    </row>
    <row r="3065" spans="1:4" ht="17.25" x14ac:dyDescent="0.3">
      <c r="A3065" s="36"/>
      <c r="B3065" s="37"/>
      <c r="C3065" s="37"/>
      <c r="D3065" s="37"/>
    </row>
    <row r="3066" spans="1:4" ht="17.25" x14ac:dyDescent="0.3">
      <c r="A3066" s="36"/>
      <c r="B3066" s="37"/>
      <c r="C3066" s="37"/>
      <c r="D3066" s="37"/>
    </row>
    <row r="3067" spans="1:4" ht="17.25" x14ac:dyDescent="0.3">
      <c r="A3067" s="36"/>
      <c r="B3067" s="37"/>
      <c r="C3067" s="37"/>
      <c r="D3067" s="37"/>
    </row>
    <row r="3068" spans="1:4" ht="17.25" x14ac:dyDescent="0.3">
      <c r="A3068" s="36"/>
      <c r="B3068" s="37"/>
      <c r="C3068" s="37"/>
      <c r="D3068" s="37"/>
    </row>
    <row r="3069" spans="1:4" ht="17.25" x14ac:dyDescent="0.3">
      <c r="A3069" s="36"/>
      <c r="B3069" s="37"/>
      <c r="C3069" s="37"/>
      <c r="D3069" s="37"/>
    </row>
    <row r="3070" spans="1:4" ht="17.25" x14ac:dyDescent="0.3">
      <c r="A3070" s="36"/>
      <c r="B3070" s="37"/>
      <c r="C3070" s="37"/>
      <c r="D3070" s="37"/>
    </row>
    <row r="3071" spans="1:4" ht="17.25" x14ac:dyDescent="0.3">
      <c r="A3071" s="36"/>
      <c r="B3071" s="37"/>
      <c r="C3071" s="37"/>
      <c r="D3071" s="37"/>
    </row>
    <row r="3072" spans="1:4" ht="17.25" x14ac:dyDescent="0.3">
      <c r="A3072" s="36"/>
      <c r="B3072" s="37"/>
      <c r="C3072" s="37"/>
      <c r="D3072" s="37"/>
    </row>
    <row r="3073" spans="1:4" ht="17.25" x14ac:dyDescent="0.3">
      <c r="A3073" s="36"/>
      <c r="B3073" s="37"/>
      <c r="C3073" s="37"/>
      <c r="D3073" s="37"/>
    </row>
    <row r="3074" spans="1:4" ht="17.25" x14ac:dyDescent="0.3">
      <c r="A3074" s="36"/>
      <c r="B3074" s="37"/>
      <c r="C3074" s="37"/>
      <c r="D3074" s="37"/>
    </row>
    <row r="3075" spans="1:4" ht="17.25" x14ac:dyDescent="0.3">
      <c r="A3075" s="36"/>
      <c r="B3075" s="37"/>
      <c r="C3075" s="37"/>
      <c r="D3075" s="37"/>
    </row>
    <row r="3076" spans="1:4" ht="17.25" x14ac:dyDescent="0.3">
      <c r="A3076" s="36"/>
      <c r="B3076" s="37"/>
      <c r="C3076" s="37"/>
      <c r="D3076" s="37"/>
    </row>
    <row r="3077" spans="1:4" ht="17.25" x14ac:dyDescent="0.3">
      <c r="A3077" s="36"/>
      <c r="B3077" s="37"/>
      <c r="C3077" s="37"/>
      <c r="D3077" s="37"/>
    </row>
    <row r="3078" spans="1:4" ht="17.25" x14ac:dyDescent="0.3">
      <c r="A3078" s="36"/>
      <c r="B3078" s="37"/>
      <c r="C3078" s="37"/>
      <c r="D3078" s="37"/>
    </row>
    <row r="3079" spans="1:4" ht="17.25" x14ac:dyDescent="0.3">
      <c r="A3079" s="36"/>
      <c r="B3079" s="37"/>
      <c r="C3079" s="37"/>
      <c r="D3079" s="37"/>
    </row>
    <row r="3080" spans="1:4" ht="17.25" x14ac:dyDescent="0.3">
      <c r="A3080" s="36"/>
      <c r="B3080" s="37"/>
      <c r="C3080" s="37"/>
      <c r="D3080" s="37"/>
    </row>
    <row r="3081" spans="1:4" ht="17.25" x14ac:dyDescent="0.3">
      <c r="A3081" s="36"/>
      <c r="B3081" s="37"/>
      <c r="C3081" s="37"/>
      <c r="D3081" s="37"/>
    </row>
    <row r="3082" spans="1:4" ht="17.25" x14ac:dyDescent="0.3">
      <c r="A3082" s="36"/>
      <c r="B3082" s="37"/>
      <c r="C3082" s="37"/>
      <c r="D3082" s="37"/>
    </row>
    <row r="3083" spans="1:4" ht="17.25" x14ac:dyDescent="0.3">
      <c r="A3083" s="36"/>
      <c r="B3083" s="37"/>
      <c r="C3083" s="37"/>
      <c r="D3083" s="37"/>
    </row>
    <row r="3084" spans="1:4" ht="17.25" x14ac:dyDescent="0.3">
      <c r="A3084" s="36"/>
      <c r="B3084" s="37"/>
      <c r="C3084" s="37"/>
      <c r="D3084" s="37"/>
    </row>
    <row r="3085" spans="1:4" ht="17.25" x14ac:dyDescent="0.3">
      <c r="A3085" s="36"/>
      <c r="B3085" s="37"/>
      <c r="C3085" s="37"/>
      <c r="D3085" s="37"/>
    </row>
    <row r="3086" spans="1:4" ht="17.25" x14ac:dyDescent="0.3">
      <c r="A3086" s="36"/>
      <c r="B3086" s="37"/>
      <c r="C3086" s="37"/>
      <c r="D3086" s="37"/>
    </row>
    <row r="3087" spans="1:4" ht="17.25" x14ac:dyDescent="0.3">
      <c r="A3087" s="36"/>
      <c r="B3087" s="37"/>
      <c r="C3087" s="37"/>
      <c r="D3087" s="37"/>
    </row>
    <row r="3088" spans="1:4" ht="17.25" x14ac:dyDescent="0.3">
      <c r="A3088" s="36"/>
      <c r="B3088" s="37"/>
      <c r="C3088" s="37"/>
      <c r="D3088" s="37"/>
    </row>
    <row r="3089" spans="1:4" ht="17.25" x14ac:dyDescent="0.3">
      <c r="A3089" s="36"/>
      <c r="B3089" s="37"/>
      <c r="C3089" s="37"/>
      <c r="D3089" s="37"/>
    </row>
    <row r="3090" spans="1:4" ht="17.25" x14ac:dyDescent="0.3">
      <c r="A3090" s="36"/>
      <c r="B3090" s="37"/>
      <c r="C3090" s="37"/>
      <c r="D3090" s="37"/>
    </row>
    <row r="3091" spans="1:4" ht="17.25" x14ac:dyDescent="0.3">
      <c r="A3091" s="36"/>
      <c r="B3091" s="37"/>
      <c r="C3091" s="37"/>
      <c r="D3091" s="37"/>
    </row>
    <row r="3092" spans="1:4" ht="17.25" x14ac:dyDescent="0.3">
      <c r="A3092" s="36"/>
      <c r="B3092" s="37"/>
      <c r="C3092" s="37"/>
      <c r="D3092" s="37"/>
    </row>
    <row r="3093" spans="1:4" ht="17.25" x14ac:dyDescent="0.3">
      <c r="A3093" s="36"/>
      <c r="B3093" s="37"/>
      <c r="C3093" s="37"/>
      <c r="D3093" s="37"/>
    </row>
    <row r="3094" spans="1:4" ht="17.25" x14ac:dyDescent="0.3">
      <c r="A3094" s="36"/>
      <c r="B3094" s="37"/>
      <c r="C3094" s="37"/>
      <c r="D3094" s="37"/>
    </row>
    <row r="3095" spans="1:4" ht="17.25" x14ac:dyDescent="0.3">
      <c r="A3095" s="36"/>
      <c r="B3095" s="37"/>
      <c r="C3095" s="37"/>
      <c r="D3095" s="37"/>
    </row>
    <row r="3096" spans="1:4" ht="17.25" x14ac:dyDescent="0.3">
      <c r="A3096" s="36"/>
      <c r="B3096" s="37"/>
      <c r="C3096" s="37"/>
      <c r="D3096" s="37"/>
    </row>
    <row r="3097" spans="1:4" ht="17.25" x14ac:dyDescent="0.3">
      <c r="A3097" s="36"/>
      <c r="B3097" s="37"/>
      <c r="C3097" s="37"/>
      <c r="D3097" s="37"/>
    </row>
    <row r="3098" spans="1:4" ht="17.25" x14ac:dyDescent="0.3">
      <c r="A3098" s="36"/>
      <c r="B3098" s="37"/>
      <c r="C3098" s="37"/>
      <c r="D3098" s="37"/>
    </row>
    <row r="3099" spans="1:4" ht="17.25" x14ac:dyDescent="0.3">
      <c r="A3099" s="36"/>
      <c r="B3099" s="37"/>
      <c r="C3099" s="37"/>
      <c r="D3099" s="37"/>
    </row>
    <row r="3100" spans="1:4" ht="17.25" x14ac:dyDescent="0.3">
      <c r="A3100" s="36"/>
      <c r="B3100" s="37"/>
      <c r="C3100" s="37"/>
      <c r="D3100" s="37"/>
    </row>
    <row r="3101" spans="1:4" ht="17.25" x14ac:dyDescent="0.3">
      <c r="A3101" s="36"/>
      <c r="B3101" s="37"/>
      <c r="C3101" s="37"/>
      <c r="D3101" s="37"/>
    </row>
    <row r="3102" spans="1:4" ht="17.25" x14ac:dyDescent="0.3">
      <c r="A3102" s="36"/>
      <c r="B3102" s="37"/>
      <c r="C3102" s="37"/>
      <c r="D3102" s="37"/>
    </row>
    <row r="3103" spans="1:4" ht="17.25" x14ac:dyDescent="0.3">
      <c r="A3103" s="36"/>
      <c r="B3103" s="37"/>
      <c r="C3103" s="37"/>
      <c r="D3103" s="37"/>
    </row>
    <row r="3104" spans="1:4" ht="17.25" x14ac:dyDescent="0.3">
      <c r="A3104" s="36"/>
      <c r="B3104" s="37"/>
      <c r="C3104" s="37"/>
      <c r="D3104" s="37"/>
    </row>
    <row r="3105" spans="1:4" ht="17.25" x14ac:dyDescent="0.3">
      <c r="A3105" s="36"/>
      <c r="B3105" s="37"/>
      <c r="C3105" s="37"/>
      <c r="D3105" s="37"/>
    </row>
    <row r="3106" spans="1:4" ht="17.25" x14ac:dyDescent="0.3">
      <c r="A3106" s="36"/>
      <c r="B3106" s="37"/>
      <c r="C3106" s="37"/>
      <c r="D3106" s="37"/>
    </row>
    <row r="3107" spans="1:4" ht="17.25" x14ac:dyDescent="0.3">
      <c r="A3107" s="36"/>
      <c r="B3107" s="37"/>
      <c r="C3107" s="37"/>
      <c r="D3107" s="37"/>
    </row>
    <row r="3108" spans="1:4" ht="17.25" x14ac:dyDescent="0.3">
      <c r="A3108" s="36"/>
      <c r="B3108" s="37"/>
      <c r="C3108" s="37"/>
      <c r="D3108" s="37"/>
    </row>
    <row r="3109" spans="1:4" ht="17.25" x14ac:dyDescent="0.3">
      <c r="A3109" s="36"/>
      <c r="B3109" s="37"/>
      <c r="C3109" s="37"/>
      <c r="D3109" s="37"/>
    </row>
    <row r="3110" spans="1:4" ht="17.25" x14ac:dyDescent="0.3">
      <c r="A3110" s="36"/>
      <c r="B3110" s="37"/>
      <c r="C3110" s="37"/>
      <c r="D3110" s="37"/>
    </row>
    <row r="3111" spans="1:4" ht="17.25" x14ac:dyDescent="0.3">
      <c r="A3111" s="36"/>
      <c r="B3111" s="37"/>
      <c r="C3111" s="37"/>
      <c r="D3111" s="37"/>
    </row>
    <row r="3112" spans="1:4" ht="17.25" x14ac:dyDescent="0.3">
      <c r="A3112" s="36"/>
      <c r="B3112" s="37"/>
      <c r="C3112" s="37"/>
      <c r="D3112" s="37"/>
    </row>
    <row r="3113" spans="1:4" ht="17.25" x14ac:dyDescent="0.3">
      <c r="A3113" s="36"/>
      <c r="B3113" s="37"/>
      <c r="C3113" s="37"/>
      <c r="D3113" s="37"/>
    </row>
    <row r="3114" spans="1:4" ht="17.25" x14ac:dyDescent="0.3">
      <c r="A3114" s="36"/>
      <c r="B3114" s="37"/>
      <c r="C3114" s="37"/>
      <c r="D3114" s="37"/>
    </row>
    <row r="3115" spans="1:4" ht="17.25" x14ac:dyDescent="0.3">
      <c r="A3115" s="36"/>
      <c r="B3115" s="37"/>
      <c r="C3115" s="37"/>
      <c r="D3115" s="37"/>
    </row>
    <row r="3116" spans="1:4" ht="17.25" x14ac:dyDescent="0.3">
      <c r="A3116" s="36"/>
      <c r="B3116" s="37"/>
      <c r="C3116" s="37"/>
      <c r="D3116" s="37"/>
    </row>
    <row r="3117" spans="1:4" ht="17.25" x14ac:dyDescent="0.3">
      <c r="A3117" s="36"/>
      <c r="B3117" s="37"/>
      <c r="C3117" s="37"/>
      <c r="D3117" s="37"/>
    </row>
    <row r="3118" spans="1:4" ht="17.25" x14ac:dyDescent="0.3">
      <c r="A3118" s="36"/>
      <c r="B3118" s="37"/>
      <c r="C3118" s="37"/>
      <c r="D3118" s="37"/>
    </row>
    <row r="3119" spans="1:4" ht="17.25" x14ac:dyDescent="0.3">
      <c r="A3119" s="36"/>
      <c r="B3119" s="37"/>
      <c r="C3119" s="37"/>
      <c r="D3119" s="37"/>
    </row>
    <row r="3120" spans="1:4" ht="17.25" x14ac:dyDescent="0.3">
      <c r="A3120" s="36"/>
      <c r="B3120" s="37"/>
      <c r="C3120" s="37"/>
      <c r="D3120" s="37"/>
    </row>
    <row r="3121" spans="1:4" ht="17.25" x14ac:dyDescent="0.3">
      <c r="A3121" s="36"/>
      <c r="B3121" s="37"/>
      <c r="C3121" s="37"/>
      <c r="D3121" s="37"/>
    </row>
    <row r="3122" spans="1:4" ht="17.25" x14ac:dyDescent="0.3">
      <c r="A3122" s="36"/>
      <c r="B3122" s="37"/>
      <c r="C3122" s="37"/>
      <c r="D3122" s="37"/>
    </row>
    <row r="3123" spans="1:4" ht="17.25" x14ac:dyDescent="0.3">
      <c r="A3123" s="36"/>
      <c r="B3123" s="37"/>
      <c r="C3123" s="37"/>
      <c r="D3123" s="37"/>
    </row>
    <row r="3124" spans="1:4" ht="17.25" x14ac:dyDescent="0.3">
      <c r="A3124" s="36"/>
      <c r="B3124" s="37"/>
      <c r="C3124" s="37"/>
      <c r="D3124" s="37"/>
    </row>
    <row r="3125" spans="1:4" ht="17.25" x14ac:dyDescent="0.3">
      <c r="A3125" s="36"/>
      <c r="B3125" s="37"/>
      <c r="C3125" s="37"/>
      <c r="D3125" s="37"/>
    </row>
    <row r="3126" spans="1:4" ht="17.25" x14ac:dyDescent="0.3">
      <c r="A3126" s="36"/>
      <c r="B3126" s="37"/>
      <c r="C3126" s="37"/>
      <c r="D3126" s="37"/>
    </row>
    <row r="3127" spans="1:4" ht="17.25" x14ac:dyDescent="0.3">
      <c r="A3127" s="36"/>
      <c r="B3127" s="37"/>
      <c r="C3127" s="37"/>
      <c r="D3127" s="37"/>
    </row>
    <row r="3128" spans="1:4" ht="17.25" x14ac:dyDescent="0.3">
      <c r="A3128" s="36"/>
      <c r="B3128" s="37"/>
      <c r="C3128" s="37"/>
      <c r="D3128" s="37"/>
    </row>
    <row r="3129" spans="1:4" ht="17.25" x14ac:dyDescent="0.3">
      <c r="A3129" s="36"/>
      <c r="B3129" s="37"/>
      <c r="C3129" s="37"/>
      <c r="D3129" s="37"/>
    </row>
    <row r="3130" spans="1:4" ht="17.25" x14ac:dyDescent="0.3">
      <c r="A3130" s="36"/>
      <c r="B3130" s="37"/>
      <c r="C3130" s="37"/>
      <c r="D3130" s="37"/>
    </row>
    <row r="3131" spans="1:4" ht="17.25" x14ac:dyDescent="0.3">
      <c r="A3131" s="36"/>
      <c r="B3131" s="37"/>
      <c r="C3131" s="37"/>
      <c r="D3131" s="37"/>
    </row>
    <row r="3132" spans="1:4" ht="17.25" x14ac:dyDescent="0.3">
      <c r="A3132" s="36"/>
      <c r="B3132" s="37"/>
      <c r="C3132" s="37"/>
      <c r="D3132" s="37"/>
    </row>
    <row r="3133" spans="1:4" ht="17.25" x14ac:dyDescent="0.3">
      <c r="A3133" s="36"/>
      <c r="B3133" s="37"/>
      <c r="C3133" s="37"/>
      <c r="D3133" s="37"/>
    </row>
    <row r="3134" spans="1:4" ht="17.25" x14ac:dyDescent="0.3">
      <c r="A3134" s="36"/>
      <c r="B3134" s="37"/>
      <c r="C3134" s="37"/>
      <c r="D3134" s="37"/>
    </row>
    <row r="3135" spans="1:4" ht="17.25" x14ac:dyDescent="0.3">
      <c r="A3135" s="36"/>
      <c r="B3135" s="37"/>
      <c r="C3135" s="37"/>
      <c r="D3135" s="37"/>
    </row>
    <row r="3136" spans="1:4" ht="17.25" x14ac:dyDescent="0.3">
      <c r="A3136" s="36"/>
      <c r="B3136" s="37"/>
      <c r="C3136" s="37"/>
      <c r="D3136" s="37"/>
    </row>
    <row r="3137" spans="1:4" ht="17.25" x14ac:dyDescent="0.3">
      <c r="A3137" s="36"/>
      <c r="B3137" s="37"/>
      <c r="C3137" s="37"/>
      <c r="D3137" s="37"/>
    </row>
    <row r="3138" spans="1:4" ht="17.25" x14ac:dyDescent="0.3">
      <c r="A3138" s="36"/>
      <c r="B3138" s="37"/>
      <c r="C3138" s="37"/>
      <c r="D3138" s="37"/>
    </row>
    <row r="3139" spans="1:4" ht="17.25" x14ac:dyDescent="0.3">
      <c r="A3139" s="36"/>
      <c r="B3139" s="37"/>
      <c r="C3139" s="37"/>
      <c r="D3139" s="37"/>
    </row>
    <row r="3140" spans="1:4" ht="17.25" x14ac:dyDescent="0.3">
      <c r="A3140" s="36"/>
      <c r="B3140" s="37"/>
      <c r="C3140" s="37"/>
      <c r="D3140" s="37"/>
    </row>
    <row r="3141" spans="1:4" ht="17.25" x14ac:dyDescent="0.3">
      <c r="A3141" s="36"/>
      <c r="B3141" s="37"/>
      <c r="C3141" s="37"/>
      <c r="D3141" s="37"/>
    </row>
    <row r="3142" spans="1:4" ht="17.25" x14ac:dyDescent="0.3">
      <c r="A3142" s="36"/>
      <c r="B3142" s="37"/>
      <c r="C3142" s="37"/>
      <c r="D3142" s="37"/>
    </row>
    <row r="3143" spans="1:4" ht="17.25" x14ac:dyDescent="0.3">
      <c r="A3143" s="36"/>
      <c r="B3143" s="37"/>
      <c r="C3143" s="37"/>
      <c r="D3143" s="37"/>
    </row>
    <row r="3144" spans="1:4" ht="17.25" x14ac:dyDescent="0.3">
      <c r="A3144" s="36"/>
      <c r="B3144" s="37"/>
      <c r="C3144" s="37"/>
      <c r="D3144" s="37"/>
    </row>
    <row r="3145" spans="1:4" ht="17.25" x14ac:dyDescent="0.3">
      <c r="A3145" s="36"/>
      <c r="B3145" s="37"/>
      <c r="C3145" s="37"/>
      <c r="D3145" s="37"/>
    </row>
    <row r="3146" spans="1:4" ht="17.25" x14ac:dyDescent="0.3">
      <c r="A3146" s="36"/>
      <c r="B3146" s="37"/>
      <c r="C3146" s="37"/>
      <c r="D3146" s="37"/>
    </row>
    <row r="3147" spans="1:4" ht="17.25" x14ac:dyDescent="0.3">
      <c r="A3147" s="36"/>
      <c r="B3147" s="37"/>
      <c r="C3147" s="37"/>
      <c r="D3147" s="37"/>
    </row>
    <row r="3148" spans="1:4" ht="17.25" x14ac:dyDescent="0.3">
      <c r="A3148" s="36"/>
      <c r="B3148" s="37"/>
      <c r="C3148" s="37"/>
      <c r="D3148" s="37"/>
    </row>
    <row r="3149" spans="1:4" ht="17.25" x14ac:dyDescent="0.3">
      <c r="A3149" s="36"/>
      <c r="B3149" s="37"/>
      <c r="C3149" s="37"/>
      <c r="D3149" s="37"/>
    </row>
    <row r="3150" spans="1:4" ht="17.25" x14ac:dyDescent="0.3">
      <c r="A3150" s="36"/>
      <c r="B3150" s="37"/>
      <c r="C3150" s="37"/>
      <c r="D3150" s="37"/>
    </row>
    <row r="3151" spans="1:4" ht="17.25" x14ac:dyDescent="0.3">
      <c r="A3151" s="36"/>
      <c r="B3151" s="37"/>
      <c r="C3151" s="37"/>
      <c r="D3151" s="37"/>
    </row>
    <row r="3152" spans="1:4" ht="17.25" x14ac:dyDescent="0.3">
      <c r="A3152" s="36"/>
      <c r="B3152" s="37"/>
      <c r="C3152" s="37"/>
      <c r="D3152" s="37"/>
    </row>
    <row r="3153" spans="1:4" ht="17.25" x14ac:dyDescent="0.3">
      <c r="A3153" s="36"/>
      <c r="B3153" s="37"/>
      <c r="C3153" s="37"/>
      <c r="D3153" s="37"/>
    </row>
    <row r="3154" spans="1:4" ht="17.25" x14ac:dyDescent="0.3">
      <c r="A3154" s="36"/>
      <c r="B3154" s="37"/>
      <c r="C3154" s="37"/>
      <c r="D3154" s="37"/>
    </row>
    <row r="3155" spans="1:4" ht="17.25" x14ac:dyDescent="0.3">
      <c r="A3155" s="36"/>
      <c r="B3155" s="37"/>
      <c r="C3155" s="37"/>
      <c r="D3155" s="37"/>
    </row>
    <row r="3156" spans="1:4" ht="17.25" x14ac:dyDescent="0.3">
      <c r="A3156" s="36"/>
      <c r="B3156" s="37"/>
      <c r="C3156" s="37"/>
      <c r="D3156" s="37"/>
    </row>
    <row r="3157" spans="1:4" ht="17.25" x14ac:dyDescent="0.3">
      <c r="A3157" s="36"/>
      <c r="B3157" s="37"/>
      <c r="C3157" s="37"/>
      <c r="D3157" s="37"/>
    </row>
    <row r="3158" spans="1:4" ht="17.25" x14ac:dyDescent="0.3">
      <c r="A3158" s="36"/>
      <c r="B3158" s="37"/>
      <c r="C3158" s="37"/>
      <c r="D3158" s="37"/>
    </row>
    <row r="3159" spans="1:4" ht="17.25" x14ac:dyDescent="0.3">
      <c r="A3159" s="36"/>
      <c r="B3159" s="37"/>
      <c r="C3159" s="37"/>
      <c r="D3159" s="37"/>
    </row>
    <row r="3160" spans="1:4" ht="17.25" x14ac:dyDescent="0.3">
      <c r="A3160" s="36"/>
      <c r="B3160" s="37"/>
      <c r="C3160" s="37"/>
      <c r="D3160" s="37"/>
    </row>
    <row r="3161" spans="1:4" ht="17.25" x14ac:dyDescent="0.3">
      <c r="A3161" s="36"/>
      <c r="B3161" s="37"/>
      <c r="C3161" s="37"/>
      <c r="D3161" s="37"/>
    </row>
    <row r="3162" spans="1:4" ht="17.25" x14ac:dyDescent="0.3">
      <c r="A3162" s="36"/>
      <c r="B3162" s="37"/>
      <c r="C3162" s="37"/>
      <c r="D3162" s="37"/>
    </row>
    <row r="3163" spans="1:4" ht="17.25" x14ac:dyDescent="0.3">
      <c r="A3163" s="36"/>
      <c r="B3163" s="37"/>
      <c r="C3163" s="37"/>
      <c r="D3163" s="37"/>
    </row>
    <row r="3164" spans="1:4" ht="17.25" x14ac:dyDescent="0.3">
      <c r="A3164" s="36"/>
      <c r="B3164" s="37"/>
      <c r="C3164" s="37"/>
      <c r="D3164" s="37"/>
    </row>
    <row r="3165" spans="1:4" ht="17.25" x14ac:dyDescent="0.3">
      <c r="A3165" s="36"/>
      <c r="B3165" s="37"/>
      <c r="C3165" s="37"/>
      <c r="D3165" s="37"/>
    </row>
    <row r="3166" spans="1:4" ht="17.25" x14ac:dyDescent="0.3">
      <c r="A3166" s="36"/>
      <c r="B3166" s="37"/>
      <c r="C3166" s="37"/>
      <c r="D3166" s="37"/>
    </row>
    <row r="3167" spans="1:4" ht="17.25" x14ac:dyDescent="0.3">
      <c r="A3167" s="36"/>
      <c r="B3167" s="37"/>
      <c r="C3167" s="37"/>
      <c r="D3167" s="37"/>
    </row>
    <row r="3168" spans="1:4" ht="17.25" x14ac:dyDescent="0.3">
      <c r="A3168" s="36"/>
      <c r="B3168" s="37"/>
      <c r="C3168" s="37"/>
      <c r="D3168" s="37"/>
    </row>
    <row r="3169" spans="1:4" ht="17.25" x14ac:dyDescent="0.3">
      <c r="A3169" s="36"/>
      <c r="B3169" s="37"/>
      <c r="C3169" s="37"/>
      <c r="D3169" s="37"/>
    </row>
    <row r="3170" spans="1:4" ht="17.25" x14ac:dyDescent="0.3">
      <c r="A3170" s="36"/>
      <c r="B3170" s="37"/>
      <c r="C3170" s="37"/>
      <c r="D3170" s="37"/>
    </row>
    <row r="3171" spans="1:4" ht="17.25" x14ac:dyDescent="0.3">
      <c r="A3171" s="36"/>
      <c r="B3171" s="37"/>
      <c r="C3171" s="37"/>
      <c r="D3171" s="37"/>
    </row>
    <row r="3172" spans="1:4" ht="17.25" x14ac:dyDescent="0.3">
      <c r="A3172" s="36"/>
      <c r="B3172" s="37"/>
      <c r="C3172" s="37"/>
      <c r="D3172" s="37"/>
    </row>
    <row r="3173" spans="1:4" ht="17.25" x14ac:dyDescent="0.3">
      <c r="A3173" s="36"/>
      <c r="B3173" s="37"/>
      <c r="C3173" s="37"/>
      <c r="D3173" s="37"/>
    </row>
    <row r="3174" spans="1:4" ht="17.25" x14ac:dyDescent="0.3">
      <c r="A3174" s="36"/>
      <c r="B3174" s="37"/>
      <c r="C3174" s="37"/>
      <c r="D3174" s="37"/>
    </row>
    <row r="3175" spans="1:4" ht="17.25" x14ac:dyDescent="0.3">
      <c r="A3175" s="36"/>
      <c r="B3175" s="37"/>
      <c r="C3175" s="37"/>
      <c r="D3175" s="37"/>
    </row>
    <row r="3176" spans="1:4" ht="17.25" x14ac:dyDescent="0.3">
      <c r="A3176" s="36"/>
      <c r="B3176" s="37"/>
      <c r="C3176" s="37"/>
      <c r="D3176" s="37"/>
    </row>
    <row r="3177" spans="1:4" ht="17.25" x14ac:dyDescent="0.3">
      <c r="A3177" s="36"/>
      <c r="B3177" s="37"/>
      <c r="C3177" s="37"/>
      <c r="D3177" s="37"/>
    </row>
    <row r="3178" spans="1:4" ht="17.25" x14ac:dyDescent="0.3">
      <c r="A3178" s="36"/>
      <c r="B3178" s="37"/>
      <c r="C3178" s="37"/>
      <c r="D3178" s="37"/>
    </row>
    <row r="3179" spans="1:4" ht="17.25" x14ac:dyDescent="0.3">
      <c r="A3179" s="36"/>
      <c r="B3179" s="37"/>
      <c r="C3179" s="37"/>
      <c r="D3179" s="37"/>
    </row>
    <row r="3180" spans="1:4" ht="17.25" x14ac:dyDescent="0.3">
      <c r="A3180" s="36"/>
      <c r="B3180" s="37"/>
      <c r="C3180" s="37"/>
      <c r="D3180" s="37"/>
    </row>
    <row r="3181" spans="1:4" ht="17.25" x14ac:dyDescent="0.3">
      <c r="A3181" s="36"/>
      <c r="B3181" s="37"/>
      <c r="C3181" s="37"/>
      <c r="D3181" s="37"/>
    </row>
    <row r="3182" spans="1:4" ht="17.25" x14ac:dyDescent="0.3">
      <c r="A3182" s="36"/>
      <c r="B3182" s="37"/>
      <c r="C3182" s="37"/>
      <c r="D3182" s="37"/>
    </row>
    <row r="3183" spans="1:4" ht="17.25" x14ac:dyDescent="0.3">
      <c r="A3183" s="36"/>
      <c r="B3183" s="37"/>
      <c r="C3183" s="37"/>
      <c r="D3183" s="37"/>
    </row>
    <row r="3184" spans="1:4" ht="17.25" x14ac:dyDescent="0.3">
      <c r="A3184" s="36"/>
      <c r="B3184" s="37"/>
      <c r="C3184" s="37"/>
      <c r="D3184" s="37"/>
    </row>
    <row r="3185" spans="1:4" ht="17.25" x14ac:dyDescent="0.3">
      <c r="A3185" s="36"/>
      <c r="B3185" s="37"/>
      <c r="C3185" s="37"/>
      <c r="D3185" s="37"/>
    </row>
    <row r="3186" spans="1:4" ht="17.25" x14ac:dyDescent="0.3">
      <c r="A3186" s="36"/>
      <c r="B3186" s="37"/>
      <c r="C3186" s="37"/>
      <c r="D3186" s="37"/>
    </row>
    <row r="3187" spans="1:4" ht="17.25" x14ac:dyDescent="0.3">
      <c r="A3187" s="36"/>
      <c r="B3187" s="37"/>
      <c r="C3187" s="37"/>
      <c r="D3187" s="37"/>
    </row>
    <row r="3188" spans="1:4" ht="17.25" x14ac:dyDescent="0.3">
      <c r="A3188" s="36"/>
      <c r="B3188" s="37"/>
      <c r="C3188" s="37"/>
      <c r="D3188" s="37"/>
    </row>
    <row r="3189" spans="1:4" ht="17.25" x14ac:dyDescent="0.3">
      <c r="A3189" s="36"/>
      <c r="B3189" s="37"/>
      <c r="C3189" s="37"/>
      <c r="D3189" s="37"/>
    </row>
    <row r="3190" spans="1:4" ht="17.25" x14ac:dyDescent="0.3">
      <c r="A3190" s="36"/>
      <c r="B3190" s="37"/>
      <c r="C3190" s="37"/>
      <c r="D3190" s="37"/>
    </row>
    <row r="3191" spans="1:4" ht="17.25" x14ac:dyDescent="0.3">
      <c r="A3191" s="36"/>
      <c r="B3191" s="37"/>
      <c r="C3191" s="37"/>
      <c r="D3191" s="37"/>
    </row>
    <row r="3192" spans="1:4" ht="17.25" x14ac:dyDescent="0.3">
      <c r="A3192" s="36"/>
      <c r="B3192" s="37"/>
      <c r="C3192" s="37"/>
      <c r="D3192" s="37"/>
    </row>
    <row r="3193" spans="1:4" ht="17.25" x14ac:dyDescent="0.3">
      <c r="A3193" s="36"/>
      <c r="B3193" s="37"/>
      <c r="C3193" s="37"/>
      <c r="D3193" s="37"/>
    </row>
    <row r="3194" spans="1:4" ht="17.25" x14ac:dyDescent="0.3">
      <c r="A3194" s="36"/>
      <c r="B3194" s="37"/>
      <c r="C3194" s="37"/>
      <c r="D3194" s="37"/>
    </row>
    <row r="3195" spans="1:4" ht="17.25" x14ac:dyDescent="0.3">
      <c r="A3195" s="36"/>
      <c r="B3195" s="37"/>
      <c r="C3195" s="37"/>
      <c r="D3195" s="37"/>
    </row>
    <row r="3196" spans="1:4" ht="17.25" x14ac:dyDescent="0.3">
      <c r="A3196" s="36"/>
      <c r="B3196" s="37"/>
      <c r="C3196" s="37"/>
      <c r="D3196" s="37"/>
    </row>
    <row r="3197" spans="1:4" ht="17.25" x14ac:dyDescent="0.3">
      <c r="A3197" s="36"/>
      <c r="B3197" s="37"/>
      <c r="C3197" s="37"/>
      <c r="D3197" s="37"/>
    </row>
    <row r="3198" spans="1:4" ht="17.25" x14ac:dyDescent="0.3">
      <c r="A3198" s="36"/>
      <c r="B3198" s="37"/>
      <c r="C3198" s="37"/>
      <c r="D3198" s="37"/>
    </row>
    <row r="3199" spans="1:4" ht="17.25" x14ac:dyDescent="0.3">
      <c r="A3199" s="36"/>
      <c r="B3199" s="37"/>
      <c r="C3199" s="37"/>
      <c r="D3199" s="37"/>
    </row>
    <row r="3200" spans="1:4" ht="17.25" x14ac:dyDescent="0.3">
      <c r="A3200" s="36"/>
      <c r="B3200" s="37"/>
      <c r="C3200" s="37"/>
      <c r="D3200" s="37"/>
    </row>
    <row r="3201" spans="1:4" ht="17.25" x14ac:dyDescent="0.3">
      <c r="A3201" s="36"/>
      <c r="B3201" s="37"/>
      <c r="C3201" s="37"/>
      <c r="D3201" s="37"/>
    </row>
    <row r="3202" spans="1:4" ht="17.25" x14ac:dyDescent="0.3">
      <c r="A3202" s="36"/>
      <c r="B3202" s="37"/>
      <c r="C3202" s="37"/>
      <c r="D3202" s="37"/>
    </row>
    <row r="3203" spans="1:4" ht="17.25" x14ac:dyDescent="0.3">
      <c r="A3203" s="36"/>
      <c r="B3203" s="37"/>
      <c r="C3203" s="37"/>
      <c r="D3203" s="37"/>
    </row>
    <row r="3204" spans="1:4" ht="17.25" x14ac:dyDescent="0.3">
      <c r="A3204" s="36"/>
      <c r="B3204" s="37"/>
      <c r="C3204" s="37"/>
      <c r="D3204" s="37"/>
    </row>
    <row r="3205" spans="1:4" ht="17.25" x14ac:dyDescent="0.3">
      <c r="A3205" s="36"/>
      <c r="B3205" s="37"/>
      <c r="C3205" s="37"/>
      <c r="D3205" s="37"/>
    </row>
    <row r="3206" spans="1:4" ht="17.25" x14ac:dyDescent="0.3">
      <c r="A3206" s="36"/>
      <c r="B3206" s="37"/>
      <c r="C3206" s="37"/>
      <c r="D3206" s="37"/>
    </row>
    <row r="3207" spans="1:4" ht="17.25" x14ac:dyDescent="0.3">
      <c r="A3207" s="36"/>
      <c r="B3207" s="37"/>
      <c r="C3207" s="37"/>
      <c r="D3207" s="37"/>
    </row>
    <row r="3208" spans="1:4" ht="17.25" x14ac:dyDescent="0.3">
      <c r="A3208" s="36"/>
      <c r="B3208" s="37"/>
      <c r="C3208" s="37"/>
      <c r="D3208" s="37"/>
    </row>
    <row r="3209" spans="1:4" ht="17.25" x14ac:dyDescent="0.3">
      <c r="A3209" s="36"/>
      <c r="B3209" s="37"/>
      <c r="C3209" s="37"/>
      <c r="D3209" s="37"/>
    </row>
    <row r="3210" spans="1:4" ht="17.25" x14ac:dyDescent="0.3">
      <c r="A3210" s="36"/>
      <c r="B3210" s="37"/>
      <c r="C3210" s="37"/>
      <c r="D3210" s="37"/>
    </row>
    <row r="3211" spans="1:4" ht="17.25" x14ac:dyDescent="0.3">
      <c r="A3211" s="36"/>
      <c r="B3211" s="37"/>
      <c r="C3211" s="37"/>
      <c r="D3211" s="37"/>
    </row>
    <row r="3212" spans="1:4" ht="17.25" x14ac:dyDescent="0.3">
      <c r="A3212" s="36"/>
      <c r="B3212" s="37"/>
      <c r="C3212" s="37"/>
      <c r="D3212" s="37"/>
    </row>
    <row r="3213" spans="1:4" ht="17.25" x14ac:dyDescent="0.3">
      <c r="A3213" s="36"/>
      <c r="B3213" s="37"/>
      <c r="C3213" s="37"/>
      <c r="D3213" s="37"/>
    </row>
    <row r="3214" spans="1:4" ht="17.25" x14ac:dyDescent="0.3">
      <c r="A3214" s="36"/>
      <c r="B3214" s="37"/>
      <c r="C3214" s="37"/>
      <c r="D3214" s="37"/>
    </row>
    <row r="3215" spans="1:4" ht="17.25" x14ac:dyDescent="0.3">
      <c r="A3215" s="36"/>
      <c r="B3215" s="37"/>
      <c r="C3215" s="37"/>
      <c r="D3215" s="37"/>
    </row>
    <row r="3216" spans="1:4" ht="17.25" x14ac:dyDescent="0.3">
      <c r="A3216" s="36"/>
      <c r="B3216" s="37"/>
      <c r="C3216" s="37"/>
      <c r="D3216" s="37"/>
    </row>
    <row r="3217" spans="1:4" ht="17.25" x14ac:dyDescent="0.3">
      <c r="A3217" s="36"/>
      <c r="B3217" s="37"/>
      <c r="C3217" s="37"/>
      <c r="D3217" s="37"/>
    </row>
    <row r="3218" spans="1:4" ht="17.25" x14ac:dyDescent="0.3">
      <c r="A3218" s="36"/>
      <c r="B3218" s="37"/>
      <c r="C3218" s="37"/>
      <c r="D3218" s="37"/>
    </row>
    <row r="3219" spans="1:4" ht="17.25" x14ac:dyDescent="0.3">
      <c r="A3219" s="36"/>
      <c r="B3219" s="37"/>
      <c r="C3219" s="37"/>
      <c r="D3219" s="37"/>
    </row>
    <row r="3220" spans="1:4" ht="17.25" x14ac:dyDescent="0.3">
      <c r="A3220" s="36"/>
      <c r="B3220" s="37"/>
      <c r="C3220" s="37"/>
      <c r="D3220" s="37"/>
    </row>
    <row r="3221" spans="1:4" ht="17.25" x14ac:dyDescent="0.3">
      <c r="A3221" s="36"/>
      <c r="B3221" s="37"/>
      <c r="C3221" s="37"/>
      <c r="D3221" s="37"/>
    </row>
    <row r="3222" spans="1:4" ht="17.25" x14ac:dyDescent="0.3">
      <c r="A3222" s="36"/>
      <c r="B3222" s="37"/>
      <c r="C3222" s="37"/>
      <c r="D3222" s="37"/>
    </row>
    <row r="3223" spans="1:4" ht="17.25" x14ac:dyDescent="0.3">
      <c r="A3223" s="36"/>
      <c r="B3223" s="37"/>
      <c r="C3223" s="37"/>
      <c r="D3223" s="37"/>
    </row>
    <row r="3224" spans="1:4" ht="17.25" x14ac:dyDescent="0.3">
      <c r="A3224" s="36"/>
      <c r="B3224" s="37"/>
      <c r="C3224" s="37"/>
      <c r="D3224" s="37"/>
    </row>
    <row r="3225" spans="1:4" ht="17.25" x14ac:dyDescent="0.3">
      <c r="A3225" s="36"/>
      <c r="B3225" s="37"/>
      <c r="C3225" s="37"/>
      <c r="D3225" s="37"/>
    </row>
    <row r="3226" spans="1:4" ht="17.25" x14ac:dyDescent="0.3">
      <c r="A3226" s="36"/>
      <c r="B3226" s="37"/>
      <c r="C3226" s="37"/>
      <c r="D3226" s="37"/>
    </row>
    <row r="3227" spans="1:4" ht="17.25" x14ac:dyDescent="0.3">
      <c r="A3227" s="36"/>
      <c r="B3227" s="37"/>
      <c r="C3227" s="37"/>
      <c r="D3227" s="37"/>
    </row>
    <row r="3228" spans="1:4" ht="17.25" x14ac:dyDescent="0.3">
      <c r="A3228" s="36"/>
      <c r="B3228" s="37"/>
      <c r="C3228" s="37"/>
      <c r="D3228" s="37"/>
    </row>
    <row r="3229" spans="1:4" ht="17.25" x14ac:dyDescent="0.3">
      <c r="A3229" s="36"/>
      <c r="B3229" s="37"/>
      <c r="C3229" s="37"/>
      <c r="D3229" s="37"/>
    </row>
    <row r="3230" spans="1:4" ht="17.25" x14ac:dyDescent="0.3">
      <c r="A3230" s="36"/>
      <c r="B3230" s="37"/>
      <c r="C3230" s="37"/>
      <c r="D3230" s="37"/>
    </row>
    <row r="3231" spans="1:4" ht="17.25" x14ac:dyDescent="0.3">
      <c r="A3231" s="36"/>
      <c r="B3231" s="37"/>
      <c r="C3231" s="37"/>
      <c r="D3231" s="37"/>
    </row>
    <row r="3232" spans="1:4" ht="17.25" x14ac:dyDescent="0.3">
      <c r="A3232" s="36"/>
      <c r="B3232" s="37"/>
      <c r="C3232" s="37"/>
      <c r="D3232" s="37"/>
    </row>
    <row r="3233" spans="1:4" ht="17.25" x14ac:dyDescent="0.3">
      <c r="A3233" s="36"/>
      <c r="B3233" s="37"/>
      <c r="C3233" s="37"/>
      <c r="D3233" s="37"/>
    </row>
    <row r="3234" spans="1:4" ht="17.25" x14ac:dyDescent="0.3">
      <c r="A3234" s="36"/>
      <c r="B3234" s="37"/>
      <c r="C3234" s="37"/>
      <c r="D3234" s="37"/>
    </row>
    <row r="3235" spans="1:4" ht="17.25" x14ac:dyDescent="0.3">
      <c r="A3235" s="36"/>
      <c r="B3235" s="37"/>
      <c r="C3235" s="37"/>
      <c r="D3235" s="37"/>
    </row>
    <row r="3236" spans="1:4" ht="17.25" x14ac:dyDescent="0.3">
      <c r="A3236" s="36"/>
      <c r="B3236" s="37"/>
      <c r="C3236" s="37"/>
      <c r="D3236" s="37"/>
    </row>
    <row r="3237" spans="1:4" ht="17.25" x14ac:dyDescent="0.3">
      <c r="A3237" s="36"/>
      <c r="B3237" s="37"/>
      <c r="C3237" s="37"/>
      <c r="D3237" s="37"/>
    </row>
    <row r="3238" spans="1:4" ht="17.25" x14ac:dyDescent="0.3">
      <c r="A3238" s="36"/>
      <c r="B3238" s="37"/>
      <c r="C3238" s="37"/>
      <c r="D3238" s="37"/>
    </row>
    <row r="3239" spans="1:4" ht="17.25" x14ac:dyDescent="0.3">
      <c r="A3239" s="36"/>
      <c r="B3239" s="37"/>
      <c r="C3239" s="37"/>
      <c r="D3239" s="37"/>
    </row>
    <row r="3240" spans="1:4" ht="17.25" x14ac:dyDescent="0.3">
      <c r="A3240" s="36"/>
      <c r="B3240" s="37"/>
      <c r="C3240" s="37"/>
      <c r="D3240" s="37"/>
    </row>
    <row r="3241" spans="1:4" ht="17.25" x14ac:dyDescent="0.3">
      <c r="A3241" s="36"/>
      <c r="B3241" s="37"/>
      <c r="C3241" s="37"/>
      <c r="D3241" s="37"/>
    </row>
    <row r="3242" spans="1:4" ht="17.25" x14ac:dyDescent="0.3">
      <c r="A3242" s="36"/>
      <c r="B3242" s="37"/>
      <c r="C3242" s="37"/>
      <c r="D3242" s="37"/>
    </row>
    <row r="3243" spans="1:4" ht="17.25" x14ac:dyDescent="0.3">
      <c r="A3243" s="36"/>
      <c r="B3243" s="37"/>
      <c r="C3243" s="37"/>
      <c r="D3243" s="37"/>
    </row>
    <row r="3244" spans="1:4" ht="17.25" x14ac:dyDescent="0.3">
      <c r="A3244" s="36"/>
      <c r="B3244" s="37"/>
      <c r="C3244" s="37"/>
      <c r="D3244" s="37"/>
    </row>
    <row r="3245" spans="1:4" ht="17.25" x14ac:dyDescent="0.3">
      <c r="A3245" s="36"/>
      <c r="B3245" s="37"/>
      <c r="C3245" s="37"/>
      <c r="D3245" s="37"/>
    </row>
    <row r="3246" spans="1:4" ht="17.25" x14ac:dyDescent="0.3">
      <c r="A3246" s="36"/>
      <c r="B3246" s="37"/>
      <c r="C3246" s="37"/>
      <c r="D3246" s="37"/>
    </row>
    <row r="3247" spans="1:4" ht="17.25" x14ac:dyDescent="0.3">
      <c r="A3247" s="36"/>
      <c r="B3247" s="37"/>
      <c r="C3247" s="37"/>
      <c r="D3247" s="37"/>
    </row>
    <row r="3248" spans="1:4" ht="17.25" x14ac:dyDescent="0.3">
      <c r="A3248" s="36"/>
      <c r="B3248" s="37"/>
      <c r="C3248" s="37"/>
      <c r="D3248" s="37"/>
    </row>
    <row r="3249" spans="1:4" ht="17.25" x14ac:dyDescent="0.3">
      <c r="A3249" s="36"/>
      <c r="B3249" s="37"/>
      <c r="C3249" s="37"/>
      <c r="D3249" s="37"/>
    </row>
    <row r="3250" spans="1:4" ht="17.25" x14ac:dyDescent="0.3">
      <c r="A3250" s="36"/>
      <c r="B3250" s="37"/>
      <c r="C3250" s="37"/>
      <c r="D3250" s="37"/>
    </row>
    <row r="3251" spans="1:4" ht="17.25" x14ac:dyDescent="0.3">
      <c r="A3251" s="36"/>
      <c r="B3251" s="37"/>
      <c r="C3251" s="37"/>
      <c r="D3251" s="37"/>
    </row>
    <row r="3252" spans="1:4" ht="17.25" x14ac:dyDescent="0.3">
      <c r="A3252" s="36"/>
      <c r="B3252" s="37"/>
      <c r="C3252" s="37"/>
      <c r="D3252" s="37"/>
    </row>
    <row r="3253" spans="1:4" ht="17.25" x14ac:dyDescent="0.3">
      <c r="A3253" s="36"/>
      <c r="B3253" s="37"/>
      <c r="C3253" s="37"/>
      <c r="D3253" s="37"/>
    </row>
    <row r="3254" spans="1:4" ht="17.25" x14ac:dyDescent="0.3">
      <c r="A3254" s="36"/>
      <c r="B3254" s="37"/>
      <c r="C3254" s="37"/>
      <c r="D3254" s="37"/>
    </row>
    <row r="3255" spans="1:4" ht="17.25" x14ac:dyDescent="0.3">
      <c r="A3255" s="36"/>
      <c r="B3255" s="37"/>
      <c r="C3255" s="37"/>
      <c r="D3255" s="37"/>
    </row>
    <row r="3256" spans="1:4" ht="17.25" x14ac:dyDescent="0.3">
      <c r="A3256" s="36"/>
      <c r="B3256" s="37"/>
      <c r="C3256" s="37"/>
      <c r="D3256" s="37"/>
    </row>
    <row r="3257" spans="1:4" ht="17.25" x14ac:dyDescent="0.3">
      <c r="A3257" s="36"/>
      <c r="B3257" s="37"/>
      <c r="C3257" s="37"/>
      <c r="D3257" s="37"/>
    </row>
    <row r="3258" spans="1:4" ht="17.25" x14ac:dyDescent="0.3">
      <c r="A3258" s="36"/>
      <c r="B3258" s="37"/>
      <c r="C3258" s="37"/>
      <c r="D3258" s="37"/>
    </row>
    <row r="3259" spans="1:4" ht="17.25" x14ac:dyDescent="0.3">
      <c r="A3259" s="36"/>
      <c r="B3259" s="37"/>
      <c r="C3259" s="37"/>
      <c r="D3259" s="37"/>
    </row>
    <row r="3260" spans="1:4" ht="17.25" x14ac:dyDescent="0.3">
      <c r="A3260" s="36"/>
      <c r="B3260" s="37"/>
      <c r="C3260" s="37"/>
      <c r="D3260" s="37"/>
    </row>
    <row r="3261" spans="1:4" ht="17.25" x14ac:dyDescent="0.3">
      <c r="A3261" s="36"/>
      <c r="B3261" s="37"/>
      <c r="C3261" s="37"/>
      <c r="D3261" s="37"/>
    </row>
    <row r="3262" spans="1:4" ht="17.25" x14ac:dyDescent="0.3">
      <c r="A3262" s="36"/>
      <c r="B3262" s="37"/>
      <c r="C3262" s="37"/>
      <c r="D3262" s="37"/>
    </row>
    <row r="3263" spans="1:4" ht="17.25" x14ac:dyDescent="0.3">
      <c r="A3263" s="36"/>
      <c r="B3263" s="37"/>
      <c r="C3263" s="37"/>
      <c r="D3263" s="37"/>
    </row>
    <row r="3264" spans="1:4" ht="17.25" x14ac:dyDescent="0.3">
      <c r="A3264" s="36"/>
      <c r="B3264" s="37"/>
      <c r="C3264" s="37"/>
      <c r="D3264" s="37"/>
    </row>
    <row r="3265" spans="1:4" ht="17.25" x14ac:dyDescent="0.3">
      <c r="A3265" s="36"/>
      <c r="B3265" s="37"/>
      <c r="C3265" s="37"/>
      <c r="D3265" s="37"/>
    </row>
    <row r="3266" spans="1:4" ht="17.25" x14ac:dyDescent="0.3">
      <c r="A3266" s="36"/>
      <c r="B3266" s="37"/>
      <c r="C3266" s="37"/>
      <c r="D3266" s="37"/>
    </row>
    <row r="3267" spans="1:4" ht="17.25" x14ac:dyDescent="0.3">
      <c r="A3267" s="36"/>
      <c r="B3267" s="37"/>
      <c r="C3267" s="37"/>
      <c r="D3267" s="37"/>
    </row>
    <row r="3268" spans="1:4" ht="17.25" x14ac:dyDescent="0.3">
      <c r="A3268" s="36"/>
      <c r="B3268" s="37"/>
      <c r="C3268" s="37"/>
      <c r="D3268" s="37"/>
    </row>
    <row r="3269" spans="1:4" ht="17.25" x14ac:dyDescent="0.3">
      <c r="A3269" s="36"/>
      <c r="B3269" s="37"/>
      <c r="C3269" s="37"/>
      <c r="D3269" s="37"/>
    </row>
    <row r="3270" spans="1:4" ht="17.25" x14ac:dyDescent="0.3">
      <c r="A3270" s="36"/>
      <c r="B3270" s="37"/>
      <c r="C3270" s="37"/>
      <c r="D3270" s="37"/>
    </row>
    <row r="3271" spans="1:4" ht="17.25" x14ac:dyDescent="0.3">
      <c r="A3271" s="36"/>
      <c r="B3271" s="37"/>
      <c r="C3271" s="37"/>
      <c r="D3271" s="37"/>
    </row>
    <row r="3272" spans="1:4" ht="17.25" x14ac:dyDescent="0.3">
      <c r="A3272" s="36"/>
      <c r="B3272" s="37"/>
      <c r="C3272" s="37"/>
      <c r="D3272" s="37"/>
    </row>
    <row r="3273" spans="1:4" ht="17.25" x14ac:dyDescent="0.3">
      <c r="A3273" s="36"/>
      <c r="B3273" s="37"/>
      <c r="C3273" s="37"/>
      <c r="D3273" s="37"/>
    </row>
    <row r="3274" spans="1:4" ht="17.25" x14ac:dyDescent="0.3">
      <c r="A3274" s="36"/>
      <c r="B3274" s="37"/>
      <c r="C3274" s="37"/>
      <c r="D3274" s="37"/>
    </row>
    <row r="3275" spans="1:4" ht="17.25" x14ac:dyDescent="0.3">
      <c r="A3275" s="36"/>
      <c r="B3275" s="37"/>
      <c r="C3275" s="37"/>
      <c r="D3275" s="37"/>
    </row>
    <row r="3276" spans="1:4" ht="17.25" x14ac:dyDescent="0.3">
      <c r="A3276" s="36"/>
      <c r="B3276" s="37"/>
      <c r="C3276" s="37"/>
      <c r="D3276" s="37"/>
    </row>
    <row r="3277" spans="1:4" ht="17.25" x14ac:dyDescent="0.3">
      <c r="A3277" s="36"/>
      <c r="B3277" s="37"/>
      <c r="C3277" s="37"/>
      <c r="D3277" s="37"/>
    </row>
    <row r="3278" spans="1:4" ht="17.25" x14ac:dyDescent="0.3">
      <c r="A3278" s="36"/>
      <c r="B3278" s="37"/>
      <c r="C3278" s="37"/>
      <c r="D3278" s="37"/>
    </row>
    <row r="3279" spans="1:4" ht="17.25" x14ac:dyDescent="0.3">
      <c r="A3279" s="36"/>
      <c r="B3279" s="37"/>
      <c r="C3279" s="37"/>
      <c r="D3279" s="37"/>
    </row>
    <row r="3280" spans="1:4" ht="17.25" x14ac:dyDescent="0.3">
      <c r="A3280" s="36"/>
      <c r="B3280" s="37"/>
      <c r="C3280" s="37"/>
      <c r="D3280" s="37"/>
    </row>
    <row r="3281" spans="1:4" ht="17.25" x14ac:dyDescent="0.3">
      <c r="A3281" s="36"/>
      <c r="B3281" s="37"/>
      <c r="C3281" s="37"/>
      <c r="D3281" s="37"/>
    </row>
    <row r="3282" spans="1:4" ht="17.25" x14ac:dyDescent="0.3">
      <c r="A3282" s="36"/>
      <c r="B3282" s="37"/>
      <c r="C3282" s="37"/>
      <c r="D3282" s="37"/>
    </row>
    <row r="3283" spans="1:4" ht="17.25" x14ac:dyDescent="0.3">
      <c r="A3283" s="36"/>
      <c r="B3283" s="37"/>
      <c r="C3283" s="37"/>
      <c r="D3283" s="37"/>
    </row>
    <row r="3284" spans="1:4" ht="17.25" x14ac:dyDescent="0.3">
      <c r="A3284" s="36"/>
      <c r="B3284" s="37"/>
      <c r="C3284" s="37"/>
      <c r="D3284" s="37"/>
    </row>
    <row r="3285" spans="1:4" ht="17.25" x14ac:dyDescent="0.3">
      <c r="A3285" s="36"/>
      <c r="B3285" s="37"/>
      <c r="C3285" s="37"/>
      <c r="D3285" s="37"/>
    </row>
    <row r="3286" spans="1:4" ht="17.25" x14ac:dyDescent="0.3">
      <c r="A3286" s="36"/>
      <c r="B3286" s="37"/>
      <c r="C3286" s="37"/>
      <c r="D3286" s="37"/>
    </row>
    <row r="3287" spans="1:4" ht="17.25" x14ac:dyDescent="0.3">
      <c r="A3287" s="36"/>
      <c r="B3287" s="37"/>
      <c r="C3287" s="37"/>
      <c r="D3287" s="37"/>
    </row>
    <row r="3288" spans="1:4" ht="17.25" x14ac:dyDescent="0.3">
      <c r="A3288" s="36"/>
      <c r="B3288" s="37"/>
      <c r="C3288" s="37"/>
      <c r="D3288" s="37"/>
    </row>
    <row r="3289" spans="1:4" ht="17.25" x14ac:dyDescent="0.3">
      <c r="A3289" s="36"/>
      <c r="B3289" s="37"/>
      <c r="C3289" s="37"/>
      <c r="D3289" s="37"/>
    </row>
    <row r="3290" spans="1:4" ht="17.25" x14ac:dyDescent="0.3">
      <c r="A3290" s="36"/>
      <c r="B3290" s="37"/>
      <c r="C3290" s="37"/>
      <c r="D3290" s="37"/>
    </row>
    <row r="3291" spans="1:4" ht="17.25" x14ac:dyDescent="0.3">
      <c r="A3291" s="36"/>
      <c r="B3291" s="37"/>
      <c r="C3291" s="37"/>
      <c r="D3291" s="37"/>
    </row>
    <row r="3292" spans="1:4" ht="17.25" x14ac:dyDescent="0.3">
      <c r="A3292" s="36"/>
      <c r="B3292" s="37"/>
      <c r="C3292" s="37"/>
      <c r="D3292" s="37"/>
    </row>
    <row r="3293" spans="1:4" ht="17.25" x14ac:dyDescent="0.3">
      <c r="A3293" s="36"/>
      <c r="B3293" s="37"/>
      <c r="C3293" s="37"/>
      <c r="D3293" s="37"/>
    </row>
    <row r="3294" spans="1:4" ht="17.25" x14ac:dyDescent="0.3">
      <c r="A3294" s="36"/>
      <c r="B3294" s="37"/>
      <c r="C3294" s="37"/>
      <c r="D3294" s="37"/>
    </row>
    <row r="3295" spans="1:4" ht="17.25" x14ac:dyDescent="0.3">
      <c r="A3295" s="36"/>
      <c r="B3295" s="37"/>
      <c r="C3295" s="37"/>
      <c r="D3295" s="37"/>
    </row>
    <row r="3296" spans="1:4" ht="17.25" x14ac:dyDescent="0.3">
      <c r="A3296" s="36"/>
      <c r="B3296" s="37"/>
      <c r="C3296" s="37"/>
      <c r="D3296" s="37"/>
    </row>
    <row r="3297" spans="1:4" ht="17.25" x14ac:dyDescent="0.3">
      <c r="A3297" s="36"/>
      <c r="B3297" s="37"/>
      <c r="C3297" s="37"/>
      <c r="D3297" s="37"/>
    </row>
    <row r="3298" spans="1:4" ht="17.25" x14ac:dyDescent="0.3">
      <c r="A3298" s="36"/>
      <c r="B3298" s="37"/>
      <c r="C3298" s="37"/>
      <c r="D3298" s="37"/>
    </row>
    <row r="3299" spans="1:4" ht="17.25" x14ac:dyDescent="0.3">
      <c r="A3299" s="36"/>
      <c r="B3299" s="37"/>
      <c r="C3299" s="37"/>
      <c r="D3299" s="37"/>
    </row>
    <row r="3300" spans="1:4" ht="17.25" x14ac:dyDescent="0.3">
      <c r="A3300" s="36"/>
      <c r="B3300" s="37"/>
      <c r="C3300" s="37"/>
      <c r="D3300" s="37"/>
    </row>
    <row r="3301" spans="1:4" ht="17.25" x14ac:dyDescent="0.3">
      <c r="A3301" s="36"/>
      <c r="B3301" s="37"/>
      <c r="C3301" s="37"/>
      <c r="D3301" s="37"/>
    </row>
    <row r="3302" spans="1:4" ht="17.25" x14ac:dyDescent="0.3">
      <c r="A3302" s="36"/>
      <c r="B3302" s="37"/>
      <c r="C3302" s="37"/>
      <c r="D3302" s="37"/>
    </row>
    <row r="3303" spans="1:4" ht="17.25" x14ac:dyDescent="0.3">
      <c r="A3303" s="36"/>
      <c r="B3303" s="37"/>
      <c r="C3303" s="37"/>
      <c r="D3303" s="37"/>
    </row>
    <row r="3304" spans="1:4" ht="17.25" x14ac:dyDescent="0.3">
      <c r="A3304" s="36"/>
      <c r="B3304" s="37"/>
      <c r="C3304" s="37"/>
      <c r="D3304" s="37"/>
    </row>
    <row r="3305" spans="1:4" ht="17.25" x14ac:dyDescent="0.3">
      <c r="A3305" s="36"/>
      <c r="B3305" s="37"/>
      <c r="C3305" s="37"/>
      <c r="D3305" s="37"/>
    </row>
    <row r="3306" spans="1:4" ht="17.25" x14ac:dyDescent="0.3">
      <c r="A3306" s="36"/>
      <c r="B3306" s="37"/>
      <c r="C3306" s="37"/>
      <c r="D3306" s="37"/>
    </row>
    <row r="3307" spans="1:4" ht="17.25" x14ac:dyDescent="0.3">
      <c r="A3307" s="36"/>
      <c r="B3307" s="37"/>
      <c r="C3307" s="37"/>
      <c r="D3307" s="37"/>
    </row>
    <row r="3308" spans="1:4" ht="17.25" x14ac:dyDescent="0.3">
      <c r="A3308" s="36"/>
      <c r="B3308" s="37"/>
      <c r="C3308" s="37"/>
      <c r="D3308" s="37"/>
    </row>
    <row r="3309" spans="1:4" ht="17.25" x14ac:dyDescent="0.3">
      <c r="A3309" s="36"/>
      <c r="B3309" s="37"/>
      <c r="C3309" s="37"/>
      <c r="D3309" s="37"/>
    </row>
    <row r="3310" spans="1:4" ht="17.25" x14ac:dyDescent="0.3">
      <c r="A3310" s="36"/>
      <c r="B3310" s="37"/>
      <c r="C3310" s="37"/>
      <c r="D3310" s="37"/>
    </row>
    <row r="3311" spans="1:4" ht="17.25" x14ac:dyDescent="0.3">
      <c r="A3311" s="36"/>
      <c r="B3311" s="37"/>
      <c r="C3311" s="37"/>
      <c r="D3311" s="37"/>
    </row>
    <row r="3312" spans="1:4" ht="17.25" x14ac:dyDescent="0.3">
      <c r="A3312" s="36"/>
      <c r="B3312" s="37"/>
      <c r="C3312" s="37"/>
      <c r="D3312" s="37"/>
    </row>
    <row r="3313" spans="1:4" ht="17.25" x14ac:dyDescent="0.3">
      <c r="A3313" s="36"/>
      <c r="B3313" s="37"/>
      <c r="C3313" s="37"/>
      <c r="D3313" s="37"/>
    </row>
    <row r="3314" spans="1:4" ht="17.25" x14ac:dyDescent="0.3">
      <c r="A3314" s="36"/>
      <c r="B3314" s="37"/>
      <c r="C3314" s="37"/>
      <c r="D3314" s="37"/>
    </row>
    <row r="3315" spans="1:4" ht="17.25" x14ac:dyDescent="0.3">
      <c r="A3315" s="36"/>
      <c r="B3315" s="37"/>
      <c r="C3315" s="37"/>
      <c r="D3315" s="37"/>
    </row>
    <row r="3316" spans="1:4" ht="17.25" x14ac:dyDescent="0.3">
      <c r="A3316" s="36"/>
      <c r="B3316" s="37"/>
      <c r="C3316" s="37"/>
      <c r="D3316" s="37"/>
    </row>
    <row r="3317" spans="1:4" ht="17.25" x14ac:dyDescent="0.3">
      <c r="A3317" s="36"/>
      <c r="B3317" s="37"/>
      <c r="C3317" s="37"/>
      <c r="D3317" s="37"/>
    </row>
    <row r="3318" spans="1:4" ht="17.25" x14ac:dyDescent="0.3">
      <c r="A3318" s="36"/>
      <c r="B3318" s="37"/>
      <c r="C3318" s="37"/>
      <c r="D3318" s="37"/>
    </row>
    <row r="3319" spans="1:4" ht="17.25" x14ac:dyDescent="0.3">
      <c r="A3319" s="36"/>
      <c r="B3319" s="37"/>
      <c r="C3319" s="37"/>
      <c r="D3319" s="37"/>
    </row>
    <row r="3320" spans="1:4" ht="17.25" x14ac:dyDescent="0.3">
      <c r="A3320" s="36"/>
      <c r="B3320" s="37"/>
      <c r="C3320" s="37"/>
      <c r="D3320" s="37"/>
    </row>
    <row r="3321" spans="1:4" ht="17.25" x14ac:dyDescent="0.3">
      <c r="A3321" s="36"/>
      <c r="B3321" s="37"/>
      <c r="C3321" s="37"/>
      <c r="D3321" s="37"/>
    </row>
    <row r="3322" spans="1:4" ht="17.25" x14ac:dyDescent="0.3">
      <c r="A3322" s="36"/>
      <c r="B3322" s="37"/>
      <c r="C3322" s="37"/>
      <c r="D3322" s="37"/>
    </row>
    <row r="3323" spans="1:4" ht="17.25" x14ac:dyDescent="0.3">
      <c r="A3323" s="36"/>
      <c r="B3323" s="37"/>
      <c r="C3323" s="37"/>
      <c r="D3323" s="37"/>
    </row>
    <row r="3324" spans="1:4" ht="17.25" x14ac:dyDescent="0.3">
      <c r="A3324" s="36"/>
      <c r="B3324" s="37"/>
      <c r="C3324" s="37"/>
      <c r="D3324" s="37"/>
    </row>
    <row r="3325" spans="1:4" ht="17.25" x14ac:dyDescent="0.3">
      <c r="A3325" s="36"/>
      <c r="B3325" s="37"/>
      <c r="C3325" s="37"/>
      <c r="D3325" s="37"/>
    </row>
    <row r="3326" spans="1:4" ht="17.25" x14ac:dyDescent="0.3">
      <c r="A3326" s="36"/>
      <c r="B3326" s="37"/>
      <c r="C3326" s="37"/>
      <c r="D3326" s="37"/>
    </row>
    <row r="3327" spans="1:4" ht="17.25" x14ac:dyDescent="0.3">
      <c r="A3327" s="36"/>
      <c r="B3327" s="37"/>
      <c r="C3327" s="37"/>
      <c r="D3327" s="37"/>
    </row>
    <row r="3328" spans="1:4" ht="17.25" x14ac:dyDescent="0.3">
      <c r="A3328" s="36"/>
      <c r="B3328" s="37"/>
      <c r="C3328" s="37"/>
      <c r="D3328" s="37"/>
    </row>
    <row r="3329" spans="1:4" ht="17.25" x14ac:dyDescent="0.3">
      <c r="A3329" s="36"/>
      <c r="B3329" s="37"/>
      <c r="C3329" s="37"/>
      <c r="D3329" s="37"/>
    </row>
    <row r="3330" spans="1:4" ht="17.25" x14ac:dyDescent="0.3">
      <c r="A3330" s="36"/>
      <c r="B3330" s="37"/>
      <c r="C3330" s="37"/>
      <c r="D3330" s="37"/>
    </row>
    <row r="3331" spans="1:4" ht="17.25" x14ac:dyDescent="0.3">
      <c r="A3331" s="36"/>
      <c r="B3331" s="37"/>
      <c r="C3331" s="37"/>
      <c r="D3331" s="37"/>
    </row>
    <row r="3332" spans="1:4" ht="17.25" x14ac:dyDescent="0.3">
      <c r="A3332" s="36"/>
      <c r="B3332" s="37"/>
      <c r="C3332" s="37"/>
      <c r="D3332" s="37"/>
    </row>
    <row r="3333" spans="1:4" ht="17.25" x14ac:dyDescent="0.3">
      <c r="A3333" s="36"/>
      <c r="B3333" s="37"/>
      <c r="C3333" s="37"/>
      <c r="D3333" s="37"/>
    </row>
    <row r="3334" spans="1:4" ht="17.25" x14ac:dyDescent="0.3">
      <c r="A3334" s="36"/>
      <c r="B3334" s="37"/>
      <c r="C3334" s="37"/>
      <c r="D3334" s="37"/>
    </row>
    <row r="3335" spans="1:4" ht="17.25" x14ac:dyDescent="0.3">
      <c r="A3335" s="36"/>
      <c r="B3335" s="37"/>
      <c r="C3335" s="37"/>
      <c r="D3335" s="37"/>
    </row>
    <row r="3336" spans="1:4" ht="17.25" x14ac:dyDescent="0.3">
      <c r="A3336" s="36"/>
      <c r="B3336" s="37"/>
      <c r="C3336" s="37"/>
      <c r="D3336" s="37"/>
    </row>
    <row r="3337" spans="1:4" ht="17.25" x14ac:dyDescent="0.3">
      <c r="A3337" s="36"/>
      <c r="B3337" s="37"/>
      <c r="C3337" s="37"/>
      <c r="D3337" s="37"/>
    </row>
    <row r="3338" spans="1:4" ht="17.25" x14ac:dyDescent="0.3">
      <c r="A3338" s="36"/>
      <c r="B3338" s="37"/>
      <c r="C3338" s="37"/>
      <c r="D3338" s="37"/>
    </row>
    <row r="3339" spans="1:4" ht="17.25" x14ac:dyDescent="0.3">
      <c r="A3339" s="36"/>
      <c r="B3339" s="37"/>
      <c r="C3339" s="37"/>
      <c r="D3339" s="37"/>
    </row>
    <row r="3340" spans="1:4" ht="17.25" x14ac:dyDescent="0.3">
      <c r="A3340" s="36"/>
      <c r="B3340" s="37"/>
      <c r="C3340" s="37"/>
      <c r="D3340" s="37"/>
    </row>
    <row r="3341" spans="1:4" ht="17.25" x14ac:dyDescent="0.3">
      <c r="A3341" s="36"/>
      <c r="B3341" s="37"/>
      <c r="C3341" s="37"/>
      <c r="D3341" s="37"/>
    </row>
    <row r="3342" spans="1:4" ht="17.25" x14ac:dyDescent="0.3">
      <c r="A3342" s="36"/>
      <c r="B3342" s="37"/>
      <c r="C3342" s="37"/>
      <c r="D3342" s="37"/>
    </row>
    <row r="3343" spans="1:4" ht="17.25" x14ac:dyDescent="0.3">
      <c r="A3343" s="36"/>
      <c r="B3343" s="37"/>
      <c r="C3343" s="37"/>
      <c r="D3343" s="37"/>
    </row>
    <row r="3344" spans="1:4" ht="17.25" x14ac:dyDescent="0.3">
      <c r="A3344" s="36"/>
      <c r="B3344" s="37"/>
      <c r="C3344" s="37"/>
      <c r="D3344" s="37"/>
    </row>
    <row r="3345" spans="1:4" ht="17.25" x14ac:dyDescent="0.3">
      <c r="A3345" s="36"/>
      <c r="B3345" s="37"/>
      <c r="C3345" s="37"/>
      <c r="D3345" s="37"/>
    </row>
    <row r="3346" spans="1:4" ht="17.25" x14ac:dyDescent="0.3">
      <c r="A3346" s="36"/>
      <c r="B3346" s="37"/>
      <c r="C3346" s="37"/>
      <c r="D3346" s="37"/>
    </row>
    <row r="3347" spans="1:4" ht="17.25" x14ac:dyDescent="0.3">
      <c r="A3347" s="36"/>
      <c r="B3347" s="37"/>
      <c r="C3347" s="37"/>
      <c r="D3347" s="37"/>
    </row>
    <row r="3348" spans="1:4" ht="17.25" x14ac:dyDescent="0.3">
      <c r="A3348" s="36"/>
      <c r="B3348" s="37"/>
      <c r="C3348" s="37"/>
      <c r="D3348" s="37"/>
    </row>
    <row r="3349" spans="1:4" ht="17.25" x14ac:dyDescent="0.3">
      <c r="A3349" s="36"/>
      <c r="B3349" s="37"/>
      <c r="C3349" s="37"/>
      <c r="D3349" s="37"/>
    </row>
    <row r="3350" spans="1:4" ht="17.25" x14ac:dyDescent="0.3">
      <c r="A3350" s="36"/>
      <c r="B3350" s="37"/>
      <c r="C3350" s="37"/>
      <c r="D3350" s="37"/>
    </row>
    <row r="3351" spans="1:4" ht="17.25" x14ac:dyDescent="0.3">
      <c r="A3351" s="36"/>
      <c r="B3351" s="37"/>
      <c r="C3351" s="37"/>
      <c r="D3351" s="37"/>
    </row>
    <row r="3352" spans="1:4" ht="17.25" x14ac:dyDescent="0.3">
      <c r="A3352" s="36"/>
      <c r="B3352" s="37"/>
      <c r="C3352" s="37"/>
      <c r="D3352" s="37"/>
    </row>
    <row r="3353" spans="1:4" ht="17.25" x14ac:dyDescent="0.3">
      <c r="A3353" s="36"/>
      <c r="B3353" s="37"/>
      <c r="C3353" s="37"/>
      <c r="D3353" s="37"/>
    </row>
    <row r="3354" spans="1:4" ht="17.25" x14ac:dyDescent="0.3">
      <c r="A3354" s="36"/>
      <c r="B3354" s="37"/>
      <c r="C3354" s="37"/>
      <c r="D3354" s="37"/>
    </row>
    <row r="3355" spans="1:4" ht="17.25" x14ac:dyDescent="0.3">
      <c r="A3355" s="36"/>
      <c r="B3355" s="37"/>
      <c r="C3355" s="37"/>
      <c r="D3355" s="37"/>
    </row>
    <row r="3356" spans="1:4" ht="17.25" x14ac:dyDescent="0.3">
      <c r="A3356" s="36"/>
      <c r="B3356" s="37"/>
      <c r="C3356" s="37"/>
      <c r="D3356" s="37"/>
    </row>
    <row r="3357" spans="1:4" ht="17.25" x14ac:dyDescent="0.3">
      <c r="A3357" s="36"/>
      <c r="B3357" s="37"/>
      <c r="C3357" s="37"/>
      <c r="D3357" s="37"/>
    </row>
    <row r="3358" spans="1:4" ht="17.25" x14ac:dyDescent="0.3">
      <c r="A3358" s="36"/>
      <c r="B3358" s="37"/>
      <c r="C3358" s="37"/>
      <c r="D3358" s="37"/>
    </row>
    <row r="3359" spans="1:4" ht="17.25" x14ac:dyDescent="0.3">
      <c r="A3359" s="36"/>
      <c r="B3359" s="37"/>
      <c r="C3359" s="37"/>
      <c r="D3359" s="37"/>
    </row>
    <row r="3360" spans="1:4" ht="17.25" x14ac:dyDescent="0.3">
      <c r="A3360" s="36"/>
      <c r="B3360" s="37"/>
      <c r="C3360" s="37"/>
      <c r="D3360" s="37"/>
    </row>
    <row r="3361" spans="1:4" ht="17.25" x14ac:dyDescent="0.3">
      <c r="A3361" s="36"/>
      <c r="B3361" s="37"/>
      <c r="C3361" s="37"/>
      <c r="D3361" s="37"/>
    </row>
    <row r="3362" spans="1:4" ht="17.25" x14ac:dyDescent="0.3">
      <c r="A3362" s="36"/>
      <c r="B3362" s="37"/>
      <c r="C3362" s="37"/>
      <c r="D3362" s="37"/>
    </row>
    <row r="3363" spans="1:4" ht="17.25" x14ac:dyDescent="0.3">
      <c r="A3363" s="36"/>
      <c r="B3363" s="37"/>
      <c r="C3363" s="37"/>
      <c r="D3363" s="37"/>
    </row>
    <row r="3364" spans="1:4" ht="17.25" x14ac:dyDescent="0.3">
      <c r="A3364" s="36"/>
      <c r="B3364" s="37"/>
      <c r="C3364" s="37"/>
      <c r="D3364" s="37"/>
    </row>
    <row r="3365" spans="1:4" ht="17.25" x14ac:dyDescent="0.3">
      <c r="A3365" s="36"/>
      <c r="B3365" s="37"/>
      <c r="C3365" s="37"/>
      <c r="D3365" s="37"/>
    </row>
    <row r="3366" spans="1:4" ht="17.25" x14ac:dyDescent="0.3">
      <c r="A3366" s="36"/>
      <c r="B3366" s="37"/>
      <c r="C3366" s="37"/>
      <c r="D3366" s="37"/>
    </row>
    <row r="3367" spans="1:4" ht="17.25" x14ac:dyDescent="0.3">
      <c r="A3367" s="36"/>
      <c r="B3367" s="37"/>
      <c r="C3367" s="37"/>
      <c r="D3367" s="37"/>
    </row>
    <row r="3368" spans="1:4" ht="17.25" x14ac:dyDescent="0.3">
      <c r="A3368" s="36"/>
      <c r="B3368" s="37"/>
      <c r="C3368" s="37"/>
      <c r="D3368" s="37"/>
    </row>
    <row r="3369" spans="1:4" ht="17.25" x14ac:dyDescent="0.3">
      <c r="A3369" s="36"/>
      <c r="B3369" s="37"/>
      <c r="C3369" s="37"/>
      <c r="D3369" s="37"/>
    </row>
    <row r="3370" spans="1:4" ht="17.25" x14ac:dyDescent="0.3">
      <c r="A3370" s="36"/>
      <c r="B3370" s="37"/>
      <c r="C3370" s="37"/>
      <c r="D3370" s="37"/>
    </row>
    <row r="3371" spans="1:4" ht="17.25" x14ac:dyDescent="0.3">
      <c r="A3371" s="36"/>
      <c r="B3371" s="37"/>
      <c r="C3371" s="37"/>
      <c r="D3371" s="37"/>
    </row>
    <row r="3372" spans="1:4" ht="17.25" x14ac:dyDescent="0.3">
      <c r="A3372" s="36"/>
      <c r="B3372" s="37"/>
      <c r="C3372" s="37"/>
      <c r="D3372" s="37"/>
    </row>
    <row r="3373" spans="1:4" ht="17.25" x14ac:dyDescent="0.3">
      <c r="A3373" s="36"/>
      <c r="B3373" s="37"/>
      <c r="C3373" s="37"/>
      <c r="D3373" s="37"/>
    </row>
    <row r="3374" spans="1:4" ht="17.25" x14ac:dyDescent="0.3">
      <c r="A3374" s="36"/>
      <c r="B3374" s="37"/>
      <c r="C3374" s="37"/>
      <c r="D3374" s="37"/>
    </row>
    <row r="3375" spans="1:4" ht="17.25" x14ac:dyDescent="0.3">
      <c r="A3375" s="36"/>
      <c r="B3375" s="37"/>
      <c r="C3375" s="37"/>
      <c r="D3375" s="37"/>
    </row>
    <row r="3376" spans="1:4" ht="17.25" x14ac:dyDescent="0.3">
      <c r="A3376" s="36"/>
      <c r="B3376" s="37"/>
      <c r="C3376" s="37"/>
      <c r="D3376" s="37"/>
    </row>
    <row r="3377" spans="1:4" ht="17.25" x14ac:dyDescent="0.3">
      <c r="A3377" s="36"/>
      <c r="B3377" s="37"/>
      <c r="C3377" s="37"/>
      <c r="D3377" s="37"/>
    </row>
    <row r="3378" spans="1:4" ht="17.25" x14ac:dyDescent="0.3">
      <c r="A3378" s="36"/>
      <c r="B3378" s="37"/>
      <c r="C3378" s="37"/>
      <c r="D3378" s="37"/>
    </row>
    <row r="3379" spans="1:4" ht="17.25" x14ac:dyDescent="0.3">
      <c r="A3379" s="36"/>
      <c r="B3379" s="37"/>
      <c r="C3379" s="37"/>
      <c r="D3379" s="37"/>
    </row>
    <row r="3380" spans="1:4" ht="17.25" x14ac:dyDescent="0.3">
      <c r="A3380" s="36"/>
      <c r="B3380" s="37"/>
      <c r="C3380" s="37"/>
      <c r="D3380" s="37"/>
    </row>
    <row r="3381" spans="1:4" ht="17.25" x14ac:dyDescent="0.3">
      <c r="A3381" s="36"/>
      <c r="B3381" s="37"/>
      <c r="C3381" s="37"/>
      <c r="D3381" s="37"/>
    </row>
    <row r="3382" spans="1:4" ht="17.25" x14ac:dyDescent="0.3">
      <c r="A3382" s="36"/>
      <c r="B3382" s="37"/>
      <c r="C3382" s="37"/>
      <c r="D3382" s="37"/>
    </row>
    <row r="3383" spans="1:4" ht="17.25" x14ac:dyDescent="0.3">
      <c r="A3383" s="36"/>
      <c r="B3383" s="37"/>
      <c r="C3383" s="37"/>
      <c r="D3383" s="37"/>
    </row>
    <row r="3384" spans="1:4" ht="17.25" x14ac:dyDescent="0.3">
      <c r="A3384" s="36"/>
      <c r="B3384" s="37"/>
      <c r="C3384" s="37"/>
      <c r="D3384" s="37"/>
    </row>
    <row r="3385" spans="1:4" ht="17.25" x14ac:dyDescent="0.3">
      <c r="A3385" s="36"/>
      <c r="B3385" s="37"/>
      <c r="C3385" s="37"/>
      <c r="D3385" s="37"/>
    </row>
    <row r="3386" spans="1:4" ht="17.25" x14ac:dyDescent="0.3">
      <c r="A3386" s="36"/>
      <c r="B3386" s="37"/>
      <c r="C3386" s="37"/>
      <c r="D3386" s="37"/>
    </row>
    <row r="3387" spans="1:4" ht="17.25" x14ac:dyDescent="0.3">
      <c r="A3387" s="36"/>
      <c r="B3387" s="37"/>
      <c r="C3387" s="37"/>
      <c r="D3387" s="37"/>
    </row>
    <row r="3388" spans="1:4" ht="17.25" x14ac:dyDescent="0.3">
      <c r="A3388" s="36"/>
      <c r="B3388" s="37"/>
      <c r="C3388" s="37"/>
      <c r="D3388" s="37"/>
    </row>
    <row r="3389" spans="1:4" ht="17.25" x14ac:dyDescent="0.3">
      <c r="A3389" s="36"/>
      <c r="B3389" s="37"/>
      <c r="C3389" s="37"/>
      <c r="D3389" s="37"/>
    </row>
    <row r="3390" spans="1:4" ht="17.25" x14ac:dyDescent="0.3">
      <c r="A3390" s="36"/>
      <c r="B3390" s="37"/>
      <c r="C3390" s="37"/>
      <c r="D3390" s="37"/>
    </row>
    <row r="3391" spans="1:4" ht="17.25" x14ac:dyDescent="0.3">
      <c r="A3391" s="36"/>
      <c r="B3391" s="37"/>
      <c r="C3391" s="37"/>
      <c r="D3391" s="37"/>
    </row>
    <row r="3392" spans="1:4" ht="17.25" x14ac:dyDescent="0.3">
      <c r="A3392" s="36"/>
      <c r="B3392" s="37"/>
      <c r="C3392" s="37"/>
      <c r="D3392" s="37"/>
    </row>
    <row r="3393" spans="1:4" ht="17.25" x14ac:dyDescent="0.3">
      <c r="A3393" s="36"/>
      <c r="B3393" s="37"/>
      <c r="C3393" s="37"/>
      <c r="D3393" s="37"/>
    </row>
    <row r="3394" spans="1:4" ht="17.25" x14ac:dyDescent="0.3">
      <c r="A3394" s="36"/>
      <c r="B3394" s="37"/>
      <c r="C3394" s="37"/>
      <c r="D3394" s="37"/>
    </row>
    <row r="3395" spans="1:4" ht="17.25" x14ac:dyDescent="0.3">
      <c r="A3395" s="36"/>
      <c r="B3395" s="37"/>
      <c r="C3395" s="37"/>
      <c r="D3395" s="37"/>
    </row>
    <row r="3396" spans="1:4" ht="17.25" x14ac:dyDescent="0.3">
      <c r="A3396" s="36"/>
      <c r="B3396" s="37"/>
      <c r="C3396" s="37"/>
      <c r="D3396" s="37"/>
    </row>
    <row r="3397" spans="1:4" ht="17.25" x14ac:dyDescent="0.3">
      <c r="A3397" s="36"/>
      <c r="B3397" s="37"/>
      <c r="C3397" s="37"/>
      <c r="D3397" s="37"/>
    </row>
    <row r="3398" spans="1:4" ht="17.25" x14ac:dyDescent="0.3">
      <c r="A3398" s="36"/>
      <c r="B3398" s="37"/>
      <c r="C3398" s="37"/>
      <c r="D3398" s="37"/>
    </row>
    <row r="3399" spans="1:4" ht="17.25" x14ac:dyDescent="0.3">
      <c r="A3399" s="36"/>
      <c r="B3399" s="37"/>
      <c r="C3399" s="37"/>
      <c r="D3399" s="37"/>
    </row>
    <row r="3400" spans="1:4" ht="17.25" x14ac:dyDescent="0.3">
      <c r="A3400" s="36"/>
      <c r="B3400" s="37"/>
      <c r="C3400" s="37"/>
      <c r="D3400" s="37"/>
    </row>
    <row r="3401" spans="1:4" ht="17.25" x14ac:dyDescent="0.3">
      <c r="A3401" s="36"/>
      <c r="B3401" s="37"/>
      <c r="C3401" s="37"/>
      <c r="D3401" s="37"/>
    </row>
    <row r="3402" spans="1:4" ht="17.25" x14ac:dyDescent="0.3">
      <c r="A3402" s="36"/>
      <c r="B3402" s="37"/>
      <c r="C3402" s="37"/>
      <c r="D3402" s="37"/>
    </row>
    <row r="3403" spans="1:4" ht="17.25" x14ac:dyDescent="0.3">
      <c r="A3403" s="36"/>
      <c r="B3403" s="37"/>
      <c r="C3403" s="37"/>
      <c r="D3403" s="37"/>
    </row>
    <row r="3404" spans="1:4" ht="17.25" x14ac:dyDescent="0.3">
      <c r="A3404" s="36"/>
      <c r="B3404" s="37"/>
      <c r="C3404" s="37"/>
      <c r="D3404" s="37"/>
    </row>
    <row r="3405" spans="1:4" ht="17.25" x14ac:dyDescent="0.3">
      <c r="A3405" s="36"/>
      <c r="B3405" s="37"/>
      <c r="C3405" s="37"/>
      <c r="D3405" s="37"/>
    </row>
    <row r="3406" spans="1:4" ht="17.25" x14ac:dyDescent="0.3">
      <c r="A3406" s="36"/>
      <c r="B3406" s="37"/>
      <c r="C3406" s="37"/>
      <c r="D3406" s="37"/>
    </row>
    <row r="3407" spans="1:4" ht="17.25" x14ac:dyDescent="0.3">
      <c r="A3407" s="36"/>
      <c r="B3407" s="37"/>
      <c r="C3407" s="37"/>
      <c r="D3407" s="37"/>
    </row>
    <row r="3408" spans="1:4" ht="17.25" x14ac:dyDescent="0.3">
      <c r="A3408" s="36"/>
      <c r="B3408" s="37"/>
      <c r="C3408" s="37"/>
      <c r="D3408" s="37"/>
    </row>
    <row r="3409" spans="1:4" ht="17.25" x14ac:dyDescent="0.3">
      <c r="A3409" s="36"/>
      <c r="B3409" s="37"/>
      <c r="C3409" s="37"/>
      <c r="D3409" s="37"/>
    </row>
    <row r="3410" spans="1:4" ht="17.25" x14ac:dyDescent="0.3">
      <c r="A3410" s="36"/>
      <c r="B3410" s="37"/>
      <c r="C3410" s="37"/>
      <c r="D3410" s="37"/>
    </row>
    <row r="3411" spans="1:4" ht="17.25" x14ac:dyDescent="0.3">
      <c r="A3411" s="36"/>
      <c r="B3411" s="37"/>
      <c r="C3411" s="37"/>
      <c r="D3411" s="37"/>
    </row>
    <row r="3412" spans="1:4" ht="17.25" x14ac:dyDescent="0.3">
      <c r="A3412" s="36"/>
      <c r="B3412" s="37"/>
      <c r="C3412" s="37"/>
      <c r="D3412" s="37"/>
    </row>
    <row r="3413" spans="1:4" ht="17.25" x14ac:dyDescent="0.3">
      <c r="A3413" s="36"/>
      <c r="B3413" s="37"/>
      <c r="C3413" s="37"/>
      <c r="D3413" s="37"/>
    </row>
    <row r="3414" spans="1:4" ht="17.25" x14ac:dyDescent="0.3">
      <c r="A3414" s="36"/>
      <c r="B3414" s="37"/>
      <c r="C3414" s="37"/>
      <c r="D3414" s="37"/>
    </row>
    <row r="3415" spans="1:4" ht="17.25" x14ac:dyDescent="0.3">
      <c r="A3415" s="36"/>
      <c r="B3415" s="37"/>
      <c r="C3415" s="37"/>
      <c r="D3415" s="37"/>
    </row>
    <row r="3416" spans="1:4" ht="17.25" x14ac:dyDescent="0.3">
      <c r="A3416" s="36"/>
      <c r="B3416" s="37"/>
      <c r="C3416" s="37"/>
      <c r="D3416" s="37"/>
    </row>
    <row r="3417" spans="1:4" ht="17.25" x14ac:dyDescent="0.3">
      <c r="A3417" s="36"/>
      <c r="B3417" s="37"/>
      <c r="C3417" s="37"/>
      <c r="D3417" s="37"/>
    </row>
    <row r="3418" spans="1:4" ht="17.25" x14ac:dyDescent="0.3">
      <c r="A3418" s="36"/>
      <c r="B3418" s="37"/>
      <c r="C3418" s="37"/>
      <c r="D3418" s="37"/>
    </row>
    <row r="3419" spans="1:4" ht="17.25" x14ac:dyDescent="0.3">
      <c r="A3419" s="36"/>
      <c r="B3419" s="37"/>
      <c r="C3419" s="37"/>
      <c r="D3419" s="37"/>
    </row>
    <row r="3420" spans="1:4" ht="17.25" x14ac:dyDescent="0.3">
      <c r="A3420" s="36"/>
      <c r="B3420" s="37"/>
      <c r="C3420" s="37"/>
      <c r="D3420" s="37"/>
    </row>
    <row r="3421" spans="1:4" ht="17.25" x14ac:dyDescent="0.3">
      <c r="A3421" s="36"/>
      <c r="B3421" s="37"/>
      <c r="C3421" s="37"/>
      <c r="D3421" s="37"/>
    </row>
    <row r="3422" spans="1:4" ht="17.25" x14ac:dyDescent="0.3">
      <c r="A3422" s="36"/>
      <c r="B3422" s="37"/>
      <c r="C3422" s="37"/>
      <c r="D3422" s="37"/>
    </row>
    <row r="3423" spans="1:4" ht="17.25" x14ac:dyDescent="0.3">
      <c r="A3423" s="36"/>
      <c r="B3423" s="37"/>
      <c r="C3423" s="37"/>
      <c r="D3423" s="37"/>
    </row>
    <row r="3424" spans="1:4" ht="17.25" x14ac:dyDescent="0.3">
      <c r="A3424" s="36"/>
      <c r="B3424" s="37"/>
      <c r="C3424" s="37"/>
      <c r="D3424" s="37"/>
    </row>
    <row r="3425" spans="1:4" ht="17.25" x14ac:dyDescent="0.3">
      <c r="A3425" s="36"/>
      <c r="B3425" s="37"/>
      <c r="C3425" s="37"/>
      <c r="D3425" s="37"/>
    </row>
    <row r="3426" spans="1:4" ht="17.25" x14ac:dyDescent="0.3">
      <c r="A3426" s="36"/>
      <c r="B3426" s="37"/>
      <c r="C3426" s="37"/>
      <c r="D3426" s="37"/>
    </row>
    <row r="3427" spans="1:4" ht="17.25" x14ac:dyDescent="0.3">
      <c r="A3427" s="36"/>
      <c r="B3427" s="37"/>
      <c r="C3427" s="37"/>
      <c r="D3427" s="37"/>
    </row>
    <row r="3428" spans="1:4" ht="17.25" x14ac:dyDescent="0.3">
      <c r="A3428" s="36"/>
      <c r="B3428" s="37"/>
      <c r="C3428" s="37"/>
      <c r="D3428" s="37"/>
    </row>
    <row r="3429" spans="1:4" ht="17.25" x14ac:dyDescent="0.3">
      <c r="A3429" s="36"/>
      <c r="B3429" s="37"/>
      <c r="C3429" s="37"/>
      <c r="D3429" s="37"/>
    </row>
    <row r="3430" spans="1:4" ht="17.25" x14ac:dyDescent="0.3">
      <c r="A3430" s="36"/>
      <c r="B3430" s="37"/>
      <c r="C3430" s="37"/>
      <c r="D3430" s="37"/>
    </row>
    <row r="3431" spans="1:4" ht="17.25" x14ac:dyDescent="0.3">
      <c r="A3431" s="36"/>
      <c r="B3431" s="37"/>
      <c r="C3431" s="37"/>
      <c r="D3431" s="37"/>
    </row>
    <row r="3432" spans="1:4" ht="17.25" x14ac:dyDescent="0.3">
      <c r="A3432" s="36"/>
      <c r="B3432" s="37"/>
      <c r="C3432" s="37"/>
      <c r="D3432" s="37"/>
    </row>
    <row r="3433" spans="1:4" ht="17.25" x14ac:dyDescent="0.3">
      <c r="A3433" s="36"/>
      <c r="B3433" s="37"/>
      <c r="C3433" s="37"/>
      <c r="D3433" s="37"/>
    </row>
    <row r="3434" spans="1:4" ht="17.25" x14ac:dyDescent="0.3">
      <c r="A3434" s="36"/>
      <c r="B3434" s="37"/>
      <c r="C3434" s="37"/>
      <c r="D3434" s="37"/>
    </row>
    <row r="3435" spans="1:4" ht="17.25" x14ac:dyDescent="0.3">
      <c r="A3435" s="36"/>
      <c r="B3435" s="37"/>
      <c r="C3435" s="37"/>
      <c r="D3435" s="37"/>
    </row>
    <row r="3436" spans="1:4" ht="17.25" x14ac:dyDescent="0.3">
      <c r="A3436" s="36"/>
      <c r="B3436" s="37"/>
      <c r="C3436" s="37"/>
      <c r="D3436" s="37"/>
    </row>
    <row r="3437" spans="1:4" ht="17.25" x14ac:dyDescent="0.3">
      <c r="A3437" s="36"/>
      <c r="B3437" s="37"/>
      <c r="C3437" s="37"/>
      <c r="D3437" s="37"/>
    </row>
    <row r="3438" spans="1:4" ht="17.25" x14ac:dyDescent="0.3">
      <c r="A3438" s="36"/>
      <c r="B3438" s="37"/>
      <c r="C3438" s="37"/>
      <c r="D3438" s="37"/>
    </row>
    <row r="3439" spans="1:4" ht="17.25" x14ac:dyDescent="0.3">
      <c r="A3439" s="36"/>
      <c r="B3439" s="37"/>
      <c r="C3439" s="37"/>
      <c r="D3439" s="37"/>
    </row>
    <row r="3440" spans="1:4" ht="17.25" x14ac:dyDescent="0.3">
      <c r="A3440" s="36"/>
      <c r="B3440" s="37"/>
      <c r="C3440" s="37"/>
      <c r="D3440" s="37"/>
    </row>
    <row r="3441" spans="1:4" ht="17.25" x14ac:dyDescent="0.3">
      <c r="A3441" s="36"/>
      <c r="B3441" s="37"/>
      <c r="C3441" s="37"/>
      <c r="D3441" s="37"/>
    </row>
    <row r="3442" spans="1:4" ht="17.25" x14ac:dyDescent="0.3">
      <c r="A3442" s="36"/>
      <c r="B3442" s="37"/>
      <c r="C3442" s="37"/>
      <c r="D3442" s="37"/>
    </row>
    <row r="3443" spans="1:4" ht="17.25" x14ac:dyDescent="0.3">
      <c r="A3443" s="36"/>
      <c r="B3443" s="37"/>
      <c r="C3443" s="37"/>
      <c r="D3443" s="37"/>
    </row>
    <row r="3444" spans="1:4" ht="17.25" x14ac:dyDescent="0.3">
      <c r="A3444" s="36"/>
      <c r="B3444" s="37"/>
      <c r="C3444" s="37"/>
      <c r="D3444" s="37"/>
    </row>
    <row r="3445" spans="1:4" ht="17.25" x14ac:dyDescent="0.3">
      <c r="A3445" s="36"/>
      <c r="B3445" s="37"/>
      <c r="C3445" s="37"/>
      <c r="D3445" s="37"/>
    </row>
    <row r="3446" spans="1:4" ht="17.25" x14ac:dyDescent="0.3">
      <c r="A3446" s="36"/>
      <c r="B3446" s="37"/>
      <c r="C3446" s="37"/>
      <c r="D3446" s="37"/>
    </row>
    <row r="3447" spans="1:4" ht="17.25" x14ac:dyDescent="0.3">
      <c r="A3447" s="36"/>
      <c r="B3447" s="37"/>
      <c r="C3447" s="37"/>
      <c r="D3447" s="37"/>
    </row>
    <row r="3448" spans="1:4" ht="17.25" x14ac:dyDescent="0.3">
      <c r="A3448" s="36"/>
      <c r="B3448" s="37"/>
      <c r="C3448" s="37"/>
      <c r="D3448" s="37"/>
    </row>
    <row r="3449" spans="1:4" ht="17.25" x14ac:dyDescent="0.3">
      <c r="A3449" s="36"/>
      <c r="B3449" s="37"/>
      <c r="C3449" s="37"/>
      <c r="D3449" s="37"/>
    </row>
    <row r="3450" spans="1:4" ht="17.25" x14ac:dyDescent="0.3">
      <c r="A3450" s="36"/>
      <c r="B3450" s="37"/>
      <c r="C3450" s="37"/>
      <c r="D3450" s="37"/>
    </row>
    <row r="3451" spans="1:4" ht="17.25" x14ac:dyDescent="0.3">
      <c r="A3451" s="36"/>
      <c r="B3451" s="37"/>
      <c r="C3451" s="37"/>
      <c r="D3451" s="37"/>
    </row>
    <row r="3452" spans="1:4" ht="17.25" x14ac:dyDescent="0.3">
      <c r="A3452" s="36"/>
      <c r="B3452" s="37"/>
      <c r="C3452" s="37"/>
      <c r="D3452" s="37"/>
    </row>
    <row r="3453" spans="1:4" ht="17.25" x14ac:dyDescent="0.3">
      <c r="A3453" s="36"/>
      <c r="B3453" s="37"/>
      <c r="C3453" s="37"/>
      <c r="D3453" s="37"/>
    </row>
    <row r="3454" spans="1:4" ht="17.25" x14ac:dyDescent="0.3">
      <c r="A3454" s="36"/>
      <c r="B3454" s="37"/>
      <c r="C3454" s="37"/>
      <c r="D3454" s="37"/>
    </row>
    <row r="3455" spans="1:4" ht="17.25" x14ac:dyDescent="0.3">
      <c r="A3455" s="36"/>
      <c r="B3455" s="37"/>
      <c r="C3455" s="37"/>
      <c r="D3455" s="37"/>
    </row>
    <row r="3456" spans="1:4" ht="17.25" x14ac:dyDescent="0.3">
      <c r="A3456" s="36"/>
      <c r="B3456" s="37"/>
      <c r="C3456" s="37"/>
      <c r="D3456" s="37"/>
    </row>
    <row r="3457" spans="1:4" ht="17.25" x14ac:dyDescent="0.3">
      <c r="A3457" s="36"/>
      <c r="B3457" s="37"/>
      <c r="C3457" s="37"/>
      <c r="D3457" s="37"/>
    </row>
    <row r="3458" spans="1:4" ht="17.25" x14ac:dyDescent="0.3">
      <c r="A3458" s="36"/>
      <c r="B3458" s="37"/>
      <c r="C3458" s="37"/>
      <c r="D3458" s="37"/>
    </row>
    <row r="3459" spans="1:4" ht="17.25" x14ac:dyDescent="0.3">
      <c r="A3459" s="36"/>
      <c r="B3459" s="37"/>
      <c r="C3459" s="37"/>
      <c r="D3459" s="37"/>
    </row>
    <row r="3460" spans="1:4" ht="17.25" x14ac:dyDescent="0.3">
      <c r="A3460" s="36"/>
      <c r="B3460" s="37"/>
      <c r="C3460" s="37"/>
      <c r="D3460" s="37"/>
    </row>
    <row r="3461" spans="1:4" ht="17.25" x14ac:dyDescent="0.3">
      <c r="A3461" s="36"/>
      <c r="B3461" s="37"/>
      <c r="C3461" s="37"/>
      <c r="D3461" s="37"/>
    </row>
    <row r="3462" spans="1:4" ht="17.25" x14ac:dyDescent="0.3">
      <c r="A3462" s="36"/>
      <c r="B3462" s="37"/>
      <c r="C3462" s="37"/>
      <c r="D3462" s="37"/>
    </row>
    <row r="3463" spans="1:4" ht="17.25" x14ac:dyDescent="0.3">
      <c r="A3463" s="36"/>
      <c r="B3463" s="37"/>
      <c r="C3463" s="37"/>
      <c r="D3463" s="37"/>
    </row>
    <row r="3464" spans="1:4" ht="17.25" x14ac:dyDescent="0.3">
      <c r="A3464" s="36"/>
      <c r="B3464" s="37"/>
      <c r="C3464" s="37"/>
      <c r="D3464" s="37"/>
    </row>
    <row r="3465" spans="1:4" ht="17.25" x14ac:dyDescent="0.3">
      <c r="A3465" s="36"/>
      <c r="B3465" s="37"/>
      <c r="C3465" s="37"/>
      <c r="D3465" s="37"/>
    </row>
    <row r="3466" spans="1:4" ht="17.25" x14ac:dyDescent="0.3">
      <c r="A3466" s="36"/>
      <c r="B3466" s="37"/>
      <c r="C3466" s="37"/>
      <c r="D3466" s="37"/>
    </row>
    <row r="3467" spans="1:4" ht="17.25" x14ac:dyDescent="0.3">
      <c r="A3467" s="36"/>
      <c r="B3467" s="37"/>
      <c r="C3467" s="37"/>
      <c r="D3467" s="37"/>
    </row>
    <row r="3468" spans="1:4" ht="17.25" x14ac:dyDescent="0.3">
      <c r="A3468" s="36"/>
      <c r="B3468" s="37"/>
      <c r="C3468" s="37"/>
      <c r="D3468" s="37"/>
    </row>
    <row r="3469" spans="1:4" ht="17.25" x14ac:dyDescent="0.3">
      <c r="A3469" s="36"/>
      <c r="B3469" s="37"/>
      <c r="C3469" s="37"/>
      <c r="D3469" s="37"/>
    </row>
    <row r="3470" spans="1:4" ht="17.25" x14ac:dyDescent="0.3">
      <c r="A3470" s="36"/>
      <c r="B3470" s="37"/>
      <c r="C3470" s="37"/>
      <c r="D3470" s="37"/>
    </row>
    <row r="3471" spans="1:4" ht="17.25" x14ac:dyDescent="0.3">
      <c r="A3471" s="36"/>
      <c r="B3471" s="37"/>
      <c r="C3471" s="37"/>
      <c r="D3471" s="37"/>
    </row>
    <row r="3472" spans="1:4" ht="17.25" x14ac:dyDescent="0.3">
      <c r="A3472" s="36"/>
      <c r="B3472" s="37"/>
      <c r="C3472" s="37"/>
      <c r="D3472" s="37"/>
    </row>
  </sheetData>
  <autoFilter ref="A4:C1605" xr:uid="{00000000-0001-0000-0100-000000000000}">
    <filterColumn colId="0" hiddenButton="1"/>
  </autoFilter>
  <pageMargins left="0.75" right="0.75" top="1" bottom="1" header="0.5" footer="0.5"/>
  <pageSetup orientation="portrait" r:id="rId1"/>
  <headerFooter>
    <oddFooter>&amp;C_x000D_&amp;1#&amp;"Aptos"&amp;10&amp;KFF0000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freshSummary">
                <anchor moveWithCells="1" sizeWithCells="1">
                  <from>
                    <xdr:col>2</xdr:col>
                    <xdr:colOff>28575</xdr:colOff>
                    <xdr:row>0</xdr:row>
                    <xdr:rowOff>38100</xdr:rowOff>
                  </from>
                  <to>
                    <xdr:col>2</xdr:col>
                    <xdr:colOff>1095375</xdr:colOff>
                    <xdr:row>0</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66148-4C20-4392-A4A5-7733C3BE9CC4}">
  <sheetPr codeName="Taul3">
    <outlinePr summaryBelow="0"/>
  </sheetPr>
  <dimension ref="A1:C296"/>
  <sheetViews>
    <sheetView topLeftCell="A71" workbookViewId="0">
      <selection activeCell="B80" sqref="B80"/>
    </sheetView>
  </sheetViews>
  <sheetFormatPr defaultRowHeight="15" outlineLevelRow="1" x14ac:dyDescent="0.25"/>
  <cols>
    <col min="1" max="1" width="45.7109375" customWidth="1"/>
    <col min="2" max="2" width="75.7109375" customWidth="1"/>
    <col min="3" max="3" width="82.5703125" customWidth="1"/>
  </cols>
  <sheetData>
    <row r="1" spans="1:3" ht="18.75" x14ac:dyDescent="0.3">
      <c r="A1" s="15" t="s">
        <v>22</v>
      </c>
      <c r="B1" s="16"/>
    </row>
    <row r="2" spans="1:3" x14ac:dyDescent="0.25">
      <c r="A2" s="20" t="s">
        <v>23</v>
      </c>
      <c r="B2" s="20" t="s">
        <v>24</v>
      </c>
    </row>
    <row r="3" spans="1:3" ht="26.1" customHeight="1" collapsed="1" x14ac:dyDescent="0.3">
      <c r="A3" s="18" t="s">
        <v>25</v>
      </c>
      <c r="B3" s="17"/>
    </row>
    <row r="4" spans="1:3" ht="21" hidden="1" customHeight="1" outlineLevel="1" x14ac:dyDescent="0.25">
      <c r="A4" t="s">
        <v>26</v>
      </c>
      <c r="B4" s="19"/>
    </row>
    <row r="5" spans="1:3" ht="60" hidden="1" customHeight="1" outlineLevel="1" x14ac:dyDescent="0.25">
      <c r="A5" t="s">
        <v>27</v>
      </c>
      <c r="B5" s="19"/>
    </row>
    <row r="6" spans="1:3" ht="21" hidden="1" customHeight="1" outlineLevel="1" x14ac:dyDescent="0.25">
      <c r="A6" t="s">
        <v>28</v>
      </c>
      <c r="B6" s="19"/>
    </row>
    <row r="7" spans="1:3" ht="21" hidden="1" customHeight="1" outlineLevel="1" x14ac:dyDescent="0.25">
      <c r="A7" t="s">
        <v>29</v>
      </c>
      <c r="B7" s="19"/>
    </row>
    <row r="8" spans="1:3" ht="60" hidden="1" customHeight="1" outlineLevel="1" x14ac:dyDescent="0.25">
      <c r="A8" t="s">
        <v>30</v>
      </c>
      <c r="B8" s="19"/>
    </row>
    <row r="9" spans="1:3" ht="26.1" customHeight="1" collapsed="1" x14ac:dyDescent="0.3">
      <c r="A9" s="18" t="s">
        <v>31</v>
      </c>
      <c r="B9" s="17"/>
    </row>
    <row r="10" spans="1:3" ht="21" hidden="1" customHeight="1" outlineLevel="1" x14ac:dyDescent="0.25">
      <c r="A10" t="s">
        <v>26</v>
      </c>
      <c r="B10" s="19"/>
    </row>
    <row r="11" spans="1:3" ht="227.25" hidden="1" customHeight="1" outlineLevel="1" x14ac:dyDescent="0.25">
      <c r="A11" t="s">
        <v>27</v>
      </c>
      <c r="B11" s="19"/>
    </row>
    <row r="12" spans="1:3" ht="21" hidden="1" customHeight="1" outlineLevel="1" x14ac:dyDescent="0.25">
      <c r="A12" t="s">
        <v>28</v>
      </c>
      <c r="B12" s="19"/>
    </row>
    <row r="13" spans="1:3" ht="21" hidden="1" customHeight="1" outlineLevel="1" x14ac:dyDescent="0.25">
      <c r="A13" t="s">
        <v>29</v>
      </c>
      <c r="B13" s="19"/>
    </row>
    <row r="14" spans="1:3" ht="60" hidden="1" customHeight="1" outlineLevel="1" x14ac:dyDescent="0.25">
      <c r="A14" t="s">
        <v>30</v>
      </c>
      <c r="B14" s="19"/>
    </row>
    <row r="15" spans="1:3" ht="26.1" customHeight="1" collapsed="1" x14ac:dyDescent="0.3">
      <c r="A15" s="18" t="s">
        <v>32</v>
      </c>
      <c r="B15" s="17"/>
      <c r="C15" t="s">
        <v>33</v>
      </c>
    </row>
    <row r="16" spans="1:3" ht="21" hidden="1" customHeight="1" outlineLevel="1" x14ac:dyDescent="0.25">
      <c r="A16" t="s">
        <v>26</v>
      </c>
      <c r="B16" s="19"/>
    </row>
    <row r="17" spans="1:3" ht="60" hidden="1" customHeight="1" outlineLevel="1" x14ac:dyDescent="0.25">
      <c r="A17" t="s">
        <v>27</v>
      </c>
      <c r="B17" s="19"/>
    </row>
    <row r="18" spans="1:3" ht="21" hidden="1" customHeight="1" outlineLevel="1" x14ac:dyDescent="0.25">
      <c r="A18" t="s">
        <v>28</v>
      </c>
      <c r="B18" s="19"/>
    </row>
    <row r="19" spans="1:3" ht="21" hidden="1" customHeight="1" outlineLevel="1" x14ac:dyDescent="0.25">
      <c r="A19" t="s">
        <v>29</v>
      </c>
      <c r="B19" s="19"/>
    </row>
    <row r="20" spans="1:3" ht="60" hidden="1" customHeight="1" outlineLevel="1" x14ac:dyDescent="0.25">
      <c r="A20" t="s">
        <v>30</v>
      </c>
      <c r="B20" s="19"/>
    </row>
    <row r="21" spans="1:3" ht="26.1" customHeight="1" collapsed="1" x14ac:dyDescent="0.3">
      <c r="A21" s="18" t="s">
        <v>34</v>
      </c>
      <c r="B21" s="17"/>
      <c r="C21" t="s">
        <v>35</v>
      </c>
    </row>
    <row r="22" spans="1:3" ht="21" hidden="1" customHeight="1" outlineLevel="1" x14ac:dyDescent="0.25">
      <c r="A22" t="s">
        <v>26</v>
      </c>
      <c r="B22" s="19"/>
    </row>
    <row r="23" spans="1:3" ht="60" hidden="1" customHeight="1" outlineLevel="1" x14ac:dyDescent="0.25">
      <c r="A23" t="s">
        <v>27</v>
      </c>
      <c r="B23" s="19"/>
    </row>
    <row r="24" spans="1:3" ht="21" hidden="1" customHeight="1" outlineLevel="1" x14ac:dyDescent="0.25">
      <c r="A24" t="s">
        <v>28</v>
      </c>
      <c r="B24" s="19"/>
    </row>
    <row r="25" spans="1:3" ht="21" hidden="1" customHeight="1" outlineLevel="1" x14ac:dyDescent="0.25">
      <c r="A25" t="s">
        <v>29</v>
      </c>
      <c r="B25" s="19"/>
    </row>
    <row r="26" spans="1:3" ht="60" hidden="1" customHeight="1" outlineLevel="1" x14ac:dyDescent="0.25">
      <c r="A26" t="s">
        <v>30</v>
      </c>
      <c r="B26" s="19"/>
    </row>
    <row r="27" spans="1:3" ht="26.1" customHeight="1" collapsed="1" x14ac:dyDescent="0.3">
      <c r="A27" s="18" t="s">
        <v>36</v>
      </c>
      <c r="B27" s="17"/>
      <c r="C27" t="s">
        <v>35</v>
      </c>
    </row>
    <row r="28" spans="1:3" ht="21" hidden="1" customHeight="1" outlineLevel="1" x14ac:dyDescent="0.25">
      <c r="A28" t="s">
        <v>26</v>
      </c>
      <c r="B28" s="19"/>
    </row>
    <row r="29" spans="1:3" ht="60" hidden="1" customHeight="1" outlineLevel="1" x14ac:dyDescent="0.25">
      <c r="A29" t="s">
        <v>27</v>
      </c>
      <c r="B29" s="19"/>
    </row>
    <row r="30" spans="1:3" ht="21" hidden="1" customHeight="1" outlineLevel="1" x14ac:dyDescent="0.25">
      <c r="A30" t="s">
        <v>28</v>
      </c>
      <c r="B30" s="19"/>
    </row>
    <row r="31" spans="1:3" ht="21" hidden="1" customHeight="1" outlineLevel="1" x14ac:dyDescent="0.25">
      <c r="A31" t="s">
        <v>29</v>
      </c>
      <c r="B31" s="19"/>
    </row>
    <row r="32" spans="1:3" ht="60" hidden="1" customHeight="1" outlineLevel="1" x14ac:dyDescent="0.25">
      <c r="A32" t="s">
        <v>30</v>
      </c>
      <c r="B32" s="19"/>
    </row>
    <row r="33" spans="1:3" ht="26.1" customHeight="1" collapsed="1" x14ac:dyDescent="0.3">
      <c r="A33" s="18" t="s">
        <v>37</v>
      </c>
      <c r="B33" s="17"/>
      <c r="C33" t="s">
        <v>35</v>
      </c>
    </row>
    <row r="34" spans="1:3" ht="21" hidden="1" customHeight="1" outlineLevel="1" x14ac:dyDescent="0.25">
      <c r="A34" t="s">
        <v>26</v>
      </c>
      <c r="B34" s="19"/>
    </row>
    <row r="35" spans="1:3" ht="60" hidden="1" customHeight="1" outlineLevel="1" x14ac:dyDescent="0.25">
      <c r="A35" t="s">
        <v>27</v>
      </c>
      <c r="B35" s="19"/>
    </row>
    <row r="36" spans="1:3" ht="21" hidden="1" customHeight="1" outlineLevel="1" x14ac:dyDescent="0.25">
      <c r="A36" t="s">
        <v>28</v>
      </c>
      <c r="B36" s="19"/>
    </row>
    <row r="37" spans="1:3" ht="21" hidden="1" customHeight="1" outlineLevel="1" x14ac:dyDescent="0.25">
      <c r="A37" t="s">
        <v>29</v>
      </c>
      <c r="B37" s="19"/>
    </row>
    <row r="38" spans="1:3" ht="60" hidden="1" customHeight="1" outlineLevel="1" x14ac:dyDescent="0.25">
      <c r="A38" t="s">
        <v>30</v>
      </c>
      <c r="B38" s="19"/>
    </row>
    <row r="39" spans="1:3" ht="26.1" customHeight="1" collapsed="1" x14ac:dyDescent="0.3">
      <c r="A39" s="18" t="s">
        <v>38</v>
      </c>
      <c r="B39" s="17"/>
      <c r="C39" t="s">
        <v>35</v>
      </c>
    </row>
    <row r="40" spans="1:3" ht="21" hidden="1" customHeight="1" outlineLevel="1" x14ac:dyDescent="0.25">
      <c r="A40" t="s">
        <v>26</v>
      </c>
      <c r="B40" s="19"/>
    </row>
    <row r="41" spans="1:3" ht="60" hidden="1" customHeight="1" outlineLevel="1" x14ac:dyDescent="0.25">
      <c r="A41" t="s">
        <v>27</v>
      </c>
      <c r="B41" s="19"/>
    </row>
    <row r="42" spans="1:3" ht="21" hidden="1" customHeight="1" outlineLevel="1" x14ac:dyDescent="0.25">
      <c r="A42" t="s">
        <v>28</v>
      </c>
      <c r="B42" s="19"/>
    </row>
    <row r="43" spans="1:3" ht="21" hidden="1" customHeight="1" outlineLevel="1" x14ac:dyDescent="0.25">
      <c r="A43" t="s">
        <v>29</v>
      </c>
      <c r="B43" s="19"/>
    </row>
    <row r="44" spans="1:3" ht="60" hidden="1" customHeight="1" outlineLevel="1" x14ac:dyDescent="0.25">
      <c r="A44" t="s">
        <v>30</v>
      </c>
      <c r="B44" s="19"/>
    </row>
    <row r="45" spans="1:3" ht="26.1" customHeight="1" collapsed="1" x14ac:dyDescent="0.3">
      <c r="A45" s="18" t="s">
        <v>39</v>
      </c>
      <c r="B45" s="17"/>
      <c r="C45" t="s">
        <v>40</v>
      </c>
    </row>
    <row r="46" spans="1:3" ht="21" hidden="1" customHeight="1" outlineLevel="1" x14ac:dyDescent="0.25">
      <c r="A46" t="s">
        <v>26</v>
      </c>
      <c r="B46" s="19"/>
    </row>
    <row r="47" spans="1:3" ht="60" hidden="1" customHeight="1" outlineLevel="1" x14ac:dyDescent="0.25">
      <c r="A47" t="s">
        <v>27</v>
      </c>
      <c r="B47" s="19"/>
    </row>
    <row r="48" spans="1:3" ht="21" hidden="1" customHeight="1" outlineLevel="1" x14ac:dyDescent="0.25">
      <c r="A48" t="s">
        <v>28</v>
      </c>
      <c r="B48" s="19"/>
    </row>
    <row r="49" spans="1:2" ht="21" hidden="1" customHeight="1" outlineLevel="1" x14ac:dyDescent="0.25">
      <c r="A49" t="s">
        <v>29</v>
      </c>
      <c r="B49" s="19"/>
    </row>
    <row r="50" spans="1:2" ht="60" hidden="1" customHeight="1" outlineLevel="1" x14ac:dyDescent="0.25">
      <c r="A50" t="s">
        <v>30</v>
      </c>
      <c r="B50" s="19"/>
    </row>
    <row r="51" spans="1:2" ht="26.1" customHeight="1" collapsed="1" x14ac:dyDescent="0.3">
      <c r="A51" s="18" t="s">
        <v>41</v>
      </c>
      <c r="B51" s="17"/>
    </row>
    <row r="52" spans="1:2" ht="21" hidden="1" customHeight="1" outlineLevel="1" x14ac:dyDescent="0.25">
      <c r="A52" t="s">
        <v>26</v>
      </c>
      <c r="B52" s="19"/>
    </row>
    <row r="53" spans="1:2" ht="100.5" hidden="1" customHeight="1" outlineLevel="1" x14ac:dyDescent="0.25">
      <c r="A53" t="s">
        <v>27</v>
      </c>
      <c r="B53" s="19" t="s">
        <v>42</v>
      </c>
    </row>
    <row r="54" spans="1:2" ht="21" hidden="1" customHeight="1" outlineLevel="1" x14ac:dyDescent="0.25">
      <c r="A54" t="s">
        <v>28</v>
      </c>
      <c r="B54" s="19"/>
    </row>
    <row r="55" spans="1:2" ht="21" hidden="1" customHeight="1" outlineLevel="1" x14ac:dyDescent="0.25">
      <c r="A55" t="s">
        <v>29</v>
      </c>
      <c r="B55" s="19"/>
    </row>
    <row r="56" spans="1:2" ht="60" hidden="1" customHeight="1" outlineLevel="1" x14ac:dyDescent="0.25">
      <c r="A56" t="s">
        <v>30</v>
      </c>
      <c r="B56" s="19"/>
    </row>
    <row r="57" spans="1:2" ht="26.1" customHeight="1" collapsed="1" x14ac:dyDescent="0.3">
      <c r="A57" s="18" t="s">
        <v>43</v>
      </c>
      <c r="B57" s="17"/>
    </row>
    <row r="58" spans="1:2" ht="21" hidden="1" customHeight="1" outlineLevel="1" x14ac:dyDescent="0.25">
      <c r="A58" t="s">
        <v>26</v>
      </c>
      <c r="B58" s="19"/>
    </row>
    <row r="59" spans="1:2" ht="157.5" hidden="1" customHeight="1" outlineLevel="1" x14ac:dyDescent="0.25">
      <c r="A59" t="s">
        <v>27</v>
      </c>
      <c r="B59" s="19" t="s">
        <v>44</v>
      </c>
    </row>
    <row r="60" spans="1:2" ht="21" hidden="1" customHeight="1" outlineLevel="1" x14ac:dyDescent="0.25">
      <c r="A60" t="s">
        <v>28</v>
      </c>
      <c r="B60" s="19"/>
    </row>
    <row r="61" spans="1:2" ht="21" hidden="1" customHeight="1" outlineLevel="1" x14ac:dyDescent="0.25">
      <c r="A61" t="s">
        <v>29</v>
      </c>
      <c r="B61" s="19"/>
    </row>
    <row r="62" spans="1:2" ht="60" hidden="1" customHeight="1" outlineLevel="1" x14ac:dyDescent="0.25">
      <c r="A62" t="s">
        <v>30</v>
      </c>
      <c r="B62" s="19"/>
    </row>
    <row r="63" spans="1:2" ht="26.1" customHeight="1" collapsed="1" x14ac:dyDescent="0.3">
      <c r="A63" s="18" t="s">
        <v>45</v>
      </c>
      <c r="B63" s="17"/>
    </row>
    <row r="64" spans="1:2" ht="21" hidden="1" customHeight="1" outlineLevel="1" x14ac:dyDescent="0.25">
      <c r="A64" t="s">
        <v>26</v>
      </c>
      <c r="B64" s="19"/>
    </row>
    <row r="65" spans="1:3" ht="60" hidden="1" customHeight="1" outlineLevel="1" x14ac:dyDescent="0.25">
      <c r="A65" t="s">
        <v>27</v>
      </c>
      <c r="B65" s="19"/>
    </row>
    <row r="66" spans="1:3" ht="21" hidden="1" customHeight="1" outlineLevel="1" x14ac:dyDescent="0.25">
      <c r="A66" t="s">
        <v>28</v>
      </c>
      <c r="B66" s="19"/>
    </row>
    <row r="67" spans="1:3" ht="21" hidden="1" customHeight="1" outlineLevel="1" x14ac:dyDescent="0.25">
      <c r="A67" t="s">
        <v>29</v>
      </c>
      <c r="B67" s="19"/>
    </row>
    <row r="68" spans="1:3" ht="60" hidden="1" customHeight="1" outlineLevel="1" x14ac:dyDescent="0.25">
      <c r="A68" t="s">
        <v>30</v>
      </c>
      <c r="B68" s="19"/>
    </row>
    <row r="69" spans="1:3" ht="26.1" customHeight="1" x14ac:dyDescent="0.3">
      <c r="A69" s="18" t="s">
        <v>46</v>
      </c>
      <c r="B69" s="22" t="s">
        <v>5701</v>
      </c>
    </row>
    <row r="70" spans="1:3" ht="21" customHeight="1" outlineLevel="1" x14ac:dyDescent="0.25">
      <c r="A70" t="s">
        <v>26</v>
      </c>
      <c r="B70" s="19" t="s">
        <v>5702</v>
      </c>
    </row>
    <row r="71" spans="1:3" ht="194.25" customHeight="1" outlineLevel="1" x14ac:dyDescent="0.25">
      <c r="A71" t="s">
        <v>27</v>
      </c>
      <c r="B71" s="23" t="s">
        <v>5703</v>
      </c>
    </row>
    <row r="72" spans="1:3" ht="21" customHeight="1" outlineLevel="1" x14ac:dyDescent="0.25">
      <c r="A72" t="s">
        <v>28</v>
      </c>
      <c r="B72" s="23" t="s">
        <v>5704</v>
      </c>
    </row>
    <row r="73" spans="1:3" ht="21" customHeight="1" outlineLevel="1" x14ac:dyDescent="0.25">
      <c r="A73" t="s">
        <v>29</v>
      </c>
      <c r="B73" s="23" t="s">
        <v>5705</v>
      </c>
    </row>
    <row r="74" spans="1:3" ht="60" customHeight="1" outlineLevel="1" x14ac:dyDescent="0.25">
      <c r="A74" t="s">
        <v>30</v>
      </c>
      <c r="B74" s="19" t="s">
        <v>5706</v>
      </c>
    </row>
    <row r="75" spans="1:3" ht="26.1" customHeight="1" x14ac:dyDescent="0.3">
      <c r="A75" s="18" t="s">
        <v>47</v>
      </c>
      <c r="B75" s="17" t="s">
        <v>5700</v>
      </c>
      <c r="C75" t="s">
        <v>35</v>
      </c>
    </row>
    <row r="76" spans="1:3" ht="21" customHeight="1" outlineLevel="1" x14ac:dyDescent="0.25">
      <c r="A76" t="s">
        <v>26</v>
      </c>
      <c r="B76" s="19" t="s">
        <v>5708</v>
      </c>
    </row>
    <row r="77" spans="1:3" ht="60" customHeight="1" outlineLevel="1" x14ac:dyDescent="0.25">
      <c r="A77" t="s">
        <v>27</v>
      </c>
      <c r="B77" s="19"/>
    </row>
    <row r="78" spans="1:3" ht="21" customHeight="1" outlineLevel="1" x14ac:dyDescent="0.25">
      <c r="A78" t="s">
        <v>28</v>
      </c>
      <c r="B78" s="19" t="s">
        <v>52</v>
      </c>
    </row>
    <row r="79" spans="1:3" ht="21" customHeight="1" outlineLevel="1" x14ac:dyDescent="0.25">
      <c r="A79" t="s">
        <v>29</v>
      </c>
      <c r="B79" s="19" t="s">
        <v>5709</v>
      </c>
    </row>
    <row r="80" spans="1:3" ht="60" customHeight="1" outlineLevel="1" x14ac:dyDescent="0.25">
      <c r="A80" t="s">
        <v>30</v>
      </c>
      <c r="B80" s="19" t="s">
        <v>5707</v>
      </c>
    </row>
    <row r="81" spans="1:3" ht="26.1" customHeight="1" collapsed="1" x14ac:dyDescent="0.3">
      <c r="A81" s="18" t="s">
        <v>48</v>
      </c>
      <c r="B81" s="17"/>
    </row>
    <row r="82" spans="1:3" ht="21" hidden="1" customHeight="1" outlineLevel="1" x14ac:dyDescent="0.25">
      <c r="A82" t="s">
        <v>26</v>
      </c>
      <c r="B82" s="19"/>
    </row>
    <row r="83" spans="1:3" ht="60" hidden="1" customHeight="1" outlineLevel="1" x14ac:dyDescent="0.25">
      <c r="A83" t="s">
        <v>27</v>
      </c>
      <c r="B83" s="19"/>
    </row>
    <row r="84" spans="1:3" ht="21" hidden="1" customHeight="1" outlineLevel="1" x14ac:dyDescent="0.25">
      <c r="A84" t="s">
        <v>28</v>
      </c>
      <c r="B84" s="19"/>
    </row>
    <row r="85" spans="1:3" ht="21" hidden="1" customHeight="1" outlineLevel="1" x14ac:dyDescent="0.25">
      <c r="A85" t="s">
        <v>29</v>
      </c>
      <c r="B85" s="19"/>
    </row>
    <row r="86" spans="1:3" ht="60" hidden="1" customHeight="1" outlineLevel="1" x14ac:dyDescent="0.25">
      <c r="A86" t="s">
        <v>30</v>
      </c>
      <c r="B86" s="19"/>
    </row>
    <row r="87" spans="1:3" ht="26.1" customHeight="1" collapsed="1" x14ac:dyDescent="0.3">
      <c r="A87" s="18" t="s">
        <v>49</v>
      </c>
      <c r="B87" s="17"/>
      <c r="C87" t="s">
        <v>35</v>
      </c>
    </row>
    <row r="88" spans="1:3" ht="21" hidden="1" customHeight="1" outlineLevel="1" x14ac:dyDescent="0.25">
      <c r="A88" t="s">
        <v>26</v>
      </c>
      <c r="B88" s="19"/>
    </row>
    <row r="89" spans="1:3" ht="60" hidden="1" customHeight="1" outlineLevel="1" x14ac:dyDescent="0.25">
      <c r="A89" t="s">
        <v>27</v>
      </c>
      <c r="B89" s="19"/>
    </row>
    <row r="90" spans="1:3" ht="21" hidden="1" customHeight="1" outlineLevel="1" x14ac:dyDescent="0.25">
      <c r="A90" t="s">
        <v>28</v>
      </c>
      <c r="B90" s="19"/>
    </row>
    <row r="91" spans="1:3" ht="21" hidden="1" customHeight="1" outlineLevel="1" x14ac:dyDescent="0.25">
      <c r="A91" t="s">
        <v>29</v>
      </c>
      <c r="B91" s="19"/>
    </row>
    <row r="92" spans="1:3" ht="60" hidden="1" customHeight="1" outlineLevel="1" x14ac:dyDescent="0.25">
      <c r="A92" t="s">
        <v>30</v>
      </c>
      <c r="B92" s="19"/>
    </row>
    <row r="93" spans="1:3" ht="26.1" customHeight="1" x14ac:dyDescent="0.3">
      <c r="A93" s="18" t="s">
        <v>50</v>
      </c>
      <c r="B93" s="17" t="s">
        <v>5697</v>
      </c>
    </row>
    <row r="94" spans="1:3" ht="21" customHeight="1" outlineLevel="1" x14ac:dyDescent="0.25">
      <c r="A94" t="s">
        <v>51</v>
      </c>
      <c r="B94" s="19" t="s">
        <v>5698</v>
      </c>
    </row>
    <row r="95" spans="1:3" ht="60" customHeight="1" outlineLevel="1" x14ac:dyDescent="0.25">
      <c r="A95" t="s">
        <v>27</v>
      </c>
      <c r="B95" s="19"/>
    </row>
    <row r="96" spans="1:3" ht="21" customHeight="1" outlineLevel="1" x14ac:dyDescent="0.25">
      <c r="A96" t="s">
        <v>28</v>
      </c>
      <c r="B96" s="19" t="s">
        <v>52</v>
      </c>
    </row>
    <row r="97" spans="1:3" ht="21" customHeight="1" outlineLevel="1" x14ac:dyDescent="0.25">
      <c r="A97" t="s">
        <v>29</v>
      </c>
      <c r="B97" s="19" t="s">
        <v>53</v>
      </c>
    </row>
    <row r="98" spans="1:3" ht="60" customHeight="1" outlineLevel="1" x14ac:dyDescent="0.25">
      <c r="A98" t="s">
        <v>30</v>
      </c>
      <c r="B98" s="19" t="s">
        <v>5699</v>
      </c>
    </row>
    <row r="99" spans="1:3" ht="26.1" customHeight="1" collapsed="1" x14ac:dyDescent="0.3">
      <c r="A99" s="18" t="s">
        <v>54</v>
      </c>
      <c r="B99" s="17"/>
      <c r="C99" t="s">
        <v>55</v>
      </c>
    </row>
    <row r="100" spans="1:3" ht="21" hidden="1" customHeight="1" outlineLevel="1" x14ac:dyDescent="0.25">
      <c r="A100" t="s">
        <v>26</v>
      </c>
      <c r="B100" s="19"/>
    </row>
    <row r="101" spans="1:3" ht="60" hidden="1" customHeight="1" outlineLevel="1" x14ac:dyDescent="0.25">
      <c r="A101" t="s">
        <v>27</v>
      </c>
      <c r="B101" s="19"/>
    </row>
    <row r="102" spans="1:3" ht="21" hidden="1" customHeight="1" outlineLevel="1" x14ac:dyDescent="0.25">
      <c r="A102" t="s">
        <v>28</v>
      </c>
      <c r="B102" s="19"/>
    </row>
    <row r="103" spans="1:3" ht="21" hidden="1" customHeight="1" outlineLevel="1" x14ac:dyDescent="0.25">
      <c r="A103" t="s">
        <v>29</v>
      </c>
      <c r="B103" s="19"/>
    </row>
    <row r="104" spans="1:3" ht="60" hidden="1" customHeight="1" outlineLevel="1" x14ac:dyDescent="0.25">
      <c r="A104" t="s">
        <v>30</v>
      </c>
      <c r="B104" s="19"/>
    </row>
    <row r="105" spans="1:3" ht="26.1" customHeight="1" collapsed="1" x14ac:dyDescent="0.3">
      <c r="A105" s="18" t="s">
        <v>56</v>
      </c>
      <c r="B105" s="17"/>
      <c r="C105" t="s">
        <v>35</v>
      </c>
    </row>
    <row r="106" spans="1:3" ht="21" hidden="1" customHeight="1" outlineLevel="1" x14ac:dyDescent="0.25">
      <c r="A106" t="s">
        <v>26</v>
      </c>
      <c r="B106" s="19"/>
    </row>
    <row r="107" spans="1:3" ht="60" hidden="1" customHeight="1" outlineLevel="1" x14ac:dyDescent="0.25">
      <c r="A107" t="s">
        <v>27</v>
      </c>
      <c r="B107" s="19"/>
    </row>
    <row r="108" spans="1:3" ht="21" hidden="1" customHeight="1" outlineLevel="1" x14ac:dyDescent="0.25">
      <c r="A108" t="s">
        <v>28</v>
      </c>
      <c r="B108" s="19"/>
    </row>
    <row r="109" spans="1:3" ht="21" hidden="1" customHeight="1" outlineLevel="1" x14ac:dyDescent="0.25">
      <c r="A109" t="s">
        <v>29</v>
      </c>
      <c r="B109" s="19"/>
    </row>
    <row r="110" spans="1:3" ht="60" hidden="1" customHeight="1" outlineLevel="1" x14ac:dyDescent="0.25">
      <c r="A110" t="s">
        <v>30</v>
      </c>
      <c r="B110" s="19"/>
    </row>
    <row r="111" spans="1:3" ht="26.1" customHeight="1" collapsed="1" x14ac:dyDescent="0.3">
      <c r="A111" s="18" t="s">
        <v>57</v>
      </c>
      <c r="B111" s="17"/>
    </row>
    <row r="112" spans="1:3" ht="21" hidden="1" customHeight="1" outlineLevel="1" x14ac:dyDescent="0.25">
      <c r="A112" t="s">
        <v>26</v>
      </c>
      <c r="B112" s="19"/>
    </row>
    <row r="113" spans="1:3" ht="60" hidden="1" customHeight="1" outlineLevel="1" x14ac:dyDescent="0.25">
      <c r="A113" t="s">
        <v>27</v>
      </c>
      <c r="B113" s="19"/>
    </row>
    <row r="114" spans="1:3" ht="21" hidden="1" customHeight="1" outlineLevel="1" x14ac:dyDescent="0.25">
      <c r="A114" t="s">
        <v>28</v>
      </c>
      <c r="B114" s="19"/>
    </row>
    <row r="115" spans="1:3" ht="21" hidden="1" customHeight="1" outlineLevel="1" x14ac:dyDescent="0.25">
      <c r="A115" t="s">
        <v>29</v>
      </c>
      <c r="B115" s="19"/>
    </row>
    <row r="116" spans="1:3" ht="60" hidden="1" customHeight="1" outlineLevel="1" x14ac:dyDescent="0.25">
      <c r="A116" t="s">
        <v>30</v>
      </c>
      <c r="B116" s="19"/>
    </row>
    <row r="117" spans="1:3" ht="26.1" customHeight="1" collapsed="1" x14ac:dyDescent="0.3">
      <c r="A117" s="18" t="s">
        <v>58</v>
      </c>
      <c r="B117" s="17"/>
    </row>
    <row r="118" spans="1:3" ht="21" hidden="1" customHeight="1" outlineLevel="1" x14ac:dyDescent="0.25">
      <c r="A118" t="s">
        <v>26</v>
      </c>
      <c r="B118" s="19"/>
    </row>
    <row r="119" spans="1:3" ht="60" hidden="1" customHeight="1" outlineLevel="1" x14ac:dyDescent="0.25">
      <c r="A119" t="s">
        <v>27</v>
      </c>
      <c r="B119" s="19"/>
    </row>
    <row r="120" spans="1:3" ht="21" hidden="1" customHeight="1" outlineLevel="1" x14ac:dyDescent="0.25">
      <c r="A120" t="s">
        <v>28</v>
      </c>
      <c r="B120" s="19"/>
    </row>
    <row r="121" spans="1:3" ht="21" hidden="1" customHeight="1" outlineLevel="1" x14ac:dyDescent="0.25">
      <c r="A121" t="s">
        <v>29</v>
      </c>
      <c r="B121" s="19"/>
    </row>
    <row r="122" spans="1:3" ht="60" hidden="1" customHeight="1" outlineLevel="1" x14ac:dyDescent="0.25">
      <c r="A122" t="s">
        <v>30</v>
      </c>
      <c r="B122" s="19"/>
    </row>
    <row r="123" spans="1:3" ht="26.1" customHeight="1" collapsed="1" x14ac:dyDescent="0.3">
      <c r="A123" s="18" t="s">
        <v>59</v>
      </c>
      <c r="B123" s="17"/>
      <c r="C123" t="s">
        <v>35</v>
      </c>
    </row>
    <row r="124" spans="1:3" ht="21" hidden="1" customHeight="1" outlineLevel="1" x14ac:dyDescent="0.25">
      <c r="A124" t="s">
        <v>26</v>
      </c>
      <c r="B124" s="19"/>
    </row>
    <row r="125" spans="1:3" ht="60" hidden="1" customHeight="1" outlineLevel="1" x14ac:dyDescent="0.25">
      <c r="A125" t="s">
        <v>27</v>
      </c>
      <c r="B125" s="19"/>
    </row>
    <row r="126" spans="1:3" ht="21" hidden="1" customHeight="1" outlineLevel="1" x14ac:dyDescent="0.25">
      <c r="A126" t="s">
        <v>28</v>
      </c>
      <c r="B126" s="19"/>
    </row>
    <row r="127" spans="1:3" ht="21" hidden="1" customHeight="1" outlineLevel="1" x14ac:dyDescent="0.25">
      <c r="A127" t="s">
        <v>29</v>
      </c>
      <c r="B127" s="19"/>
    </row>
    <row r="128" spans="1:3" ht="60" hidden="1" customHeight="1" outlineLevel="1" x14ac:dyDescent="0.25">
      <c r="A128" t="s">
        <v>30</v>
      </c>
      <c r="B128" s="19"/>
    </row>
    <row r="129" spans="1:3" ht="26.1" customHeight="1" collapsed="1" x14ac:dyDescent="0.3">
      <c r="A129" s="18" t="s">
        <v>60</v>
      </c>
      <c r="B129" s="17"/>
      <c r="C129" t="s">
        <v>61</v>
      </c>
    </row>
    <row r="130" spans="1:3" ht="21" hidden="1" customHeight="1" outlineLevel="1" x14ac:dyDescent="0.25">
      <c r="A130" t="s">
        <v>26</v>
      </c>
      <c r="B130" s="19"/>
    </row>
    <row r="131" spans="1:3" ht="60" hidden="1" customHeight="1" outlineLevel="1" x14ac:dyDescent="0.25">
      <c r="A131" t="s">
        <v>27</v>
      </c>
      <c r="B131" s="19"/>
    </row>
    <row r="132" spans="1:3" ht="21" hidden="1" customHeight="1" outlineLevel="1" x14ac:dyDescent="0.25">
      <c r="A132" t="s">
        <v>28</v>
      </c>
      <c r="B132" s="19"/>
    </row>
    <row r="133" spans="1:3" ht="21" hidden="1" customHeight="1" outlineLevel="1" x14ac:dyDescent="0.25">
      <c r="A133" t="s">
        <v>29</v>
      </c>
      <c r="B133" s="19"/>
    </row>
    <row r="134" spans="1:3" ht="60" hidden="1" customHeight="1" outlineLevel="1" x14ac:dyDescent="0.25">
      <c r="A134" t="s">
        <v>30</v>
      </c>
      <c r="B134" s="19"/>
    </row>
    <row r="135" spans="1:3" ht="26.1" customHeight="1" collapsed="1" x14ac:dyDescent="0.3">
      <c r="A135" s="18" t="s">
        <v>62</v>
      </c>
      <c r="B135" s="17" t="s">
        <v>63</v>
      </c>
    </row>
    <row r="136" spans="1:3" ht="54.75" hidden="1" customHeight="1" outlineLevel="1" x14ac:dyDescent="0.25">
      <c r="A136" t="s">
        <v>51</v>
      </c>
      <c r="B136" s="19" t="s">
        <v>64</v>
      </c>
    </row>
    <row r="137" spans="1:3" ht="60" hidden="1" customHeight="1" outlineLevel="1" x14ac:dyDescent="0.25">
      <c r="A137" t="s">
        <v>27</v>
      </c>
      <c r="B137" s="19"/>
    </row>
    <row r="138" spans="1:3" ht="21" hidden="1" customHeight="1" outlineLevel="1" x14ac:dyDescent="0.25">
      <c r="A138" t="s">
        <v>28</v>
      </c>
      <c r="B138" s="19"/>
    </row>
    <row r="139" spans="1:3" ht="21" hidden="1" customHeight="1" outlineLevel="1" x14ac:dyDescent="0.25">
      <c r="A139" t="s">
        <v>29</v>
      </c>
      <c r="B139" s="19"/>
    </row>
    <row r="140" spans="1:3" ht="60" hidden="1" customHeight="1" outlineLevel="1" x14ac:dyDescent="0.25">
      <c r="A140" t="s">
        <v>30</v>
      </c>
      <c r="B140" s="19"/>
    </row>
    <row r="141" spans="1:3" ht="26.1" customHeight="1" collapsed="1" x14ac:dyDescent="0.3">
      <c r="A141" s="18" t="s">
        <v>65</v>
      </c>
      <c r="B141" s="17"/>
      <c r="C141" t="s">
        <v>55</v>
      </c>
    </row>
    <row r="142" spans="1:3" ht="21" hidden="1" customHeight="1" outlineLevel="1" x14ac:dyDescent="0.25">
      <c r="A142" t="s">
        <v>26</v>
      </c>
      <c r="B142" s="19"/>
    </row>
    <row r="143" spans="1:3" ht="60" hidden="1" customHeight="1" outlineLevel="1" x14ac:dyDescent="0.25">
      <c r="A143" t="s">
        <v>27</v>
      </c>
      <c r="B143" s="19"/>
    </row>
    <row r="144" spans="1:3" ht="21" hidden="1" customHeight="1" outlineLevel="1" x14ac:dyDescent="0.25">
      <c r="A144" t="s">
        <v>28</v>
      </c>
      <c r="B144" s="19"/>
    </row>
    <row r="145" spans="1:3" ht="21" hidden="1" customHeight="1" outlineLevel="1" x14ac:dyDescent="0.25">
      <c r="A145" t="s">
        <v>29</v>
      </c>
      <c r="B145" s="19"/>
    </row>
    <row r="146" spans="1:3" ht="60" hidden="1" customHeight="1" outlineLevel="1" x14ac:dyDescent="0.25">
      <c r="A146" t="s">
        <v>30</v>
      </c>
      <c r="B146" s="19"/>
    </row>
    <row r="147" spans="1:3" ht="26.1" customHeight="1" collapsed="1" x14ac:dyDescent="0.3">
      <c r="A147" s="18" t="s">
        <v>66</v>
      </c>
      <c r="B147" s="17"/>
      <c r="C147" t="s">
        <v>35</v>
      </c>
    </row>
    <row r="148" spans="1:3" ht="21" hidden="1" customHeight="1" outlineLevel="1" x14ac:dyDescent="0.25">
      <c r="A148" t="s">
        <v>26</v>
      </c>
      <c r="B148" s="19"/>
    </row>
    <row r="149" spans="1:3" ht="60" hidden="1" customHeight="1" outlineLevel="1" x14ac:dyDescent="0.25">
      <c r="A149" t="s">
        <v>27</v>
      </c>
      <c r="B149" s="19"/>
    </row>
    <row r="150" spans="1:3" ht="21" hidden="1" customHeight="1" outlineLevel="1" x14ac:dyDescent="0.25">
      <c r="A150" t="s">
        <v>28</v>
      </c>
      <c r="B150" s="19"/>
    </row>
    <row r="151" spans="1:3" ht="21" hidden="1" customHeight="1" outlineLevel="1" x14ac:dyDescent="0.25">
      <c r="A151" t="s">
        <v>29</v>
      </c>
      <c r="B151" s="19"/>
    </row>
    <row r="152" spans="1:3" ht="60" hidden="1" customHeight="1" outlineLevel="1" x14ac:dyDescent="0.25">
      <c r="A152" t="s">
        <v>30</v>
      </c>
      <c r="B152" s="19"/>
    </row>
    <row r="153" spans="1:3" ht="26.1" customHeight="1" collapsed="1" x14ac:dyDescent="0.3">
      <c r="A153" s="18" t="s">
        <v>67</v>
      </c>
      <c r="B153" s="17"/>
    </row>
    <row r="154" spans="1:3" ht="21" hidden="1" customHeight="1" outlineLevel="1" x14ac:dyDescent="0.25">
      <c r="A154" t="s">
        <v>26</v>
      </c>
      <c r="B154" s="19"/>
    </row>
    <row r="155" spans="1:3" ht="60" hidden="1" customHeight="1" outlineLevel="1" x14ac:dyDescent="0.25">
      <c r="A155" t="s">
        <v>27</v>
      </c>
      <c r="B155" s="19"/>
    </row>
    <row r="156" spans="1:3" ht="21" hidden="1" customHeight="1" outlineLevel="1" x14ac:dyDescent="0.25">
      <c r="A156" t="s">
        <v>28</v>
      </c>
      <c r="B156" s="19"/>
    </row>
    <row r="157" spans="1:3" ht="21" hidden="1" customHeight="1" outlineLevel="1" x14ac:dyDescent="0.25">
      <c r="A157" t="s">
        <v>29</v>
      </c>
      <c r="B157" s="19"/>
    </row>
    <row r="158" spans="1:3" ht="60" hidden="1" customHeight="1" outlineLevel="1" x14ac:dyDescent="0.25">
      <c r="A158" t="s">
        <v>30</v>
      </c>
      <c r="B158" s="19"/>
    </row>
    <row r="159" spans="1:3" ht="26.1" customHeight="1" collapsed="1" x14ac:dyDescent="0.3">
      <c r="A159" s="18" t="s">
        <v>68</v>
      </c>
      <c r="B159" s="17"/>
      <c r="C159" t="s">
        <v>69</v>
      </c>
    </row>
    <row r="160" spans="1:3" ht="21" hidden="1" customHeight="1" outlineLevel="1" x14ac:dyDescent="0.25">
      <c r="A160" t="s">
        <v>26</v>
      </c>
      <c r="B160" s="19"/>
    </row>
    <row r="161" spans="1:3" ht="60" hidden="1" customHeight="1" outlineLevel="1" x14ac:dyDescent="0.25">
      <c r="A161" t="s">
        <v>27</v>
      </c>
      <c r="B161" s="19"/>
    </row>
    <row r="162" spans="1:3" ht="21" hidden="1" customHeight="1" outlineLevel="1" x14ac:dyDescent="0.25">
      <c r="A162" t="s">
        <v>28</v>
      </c>
      <c r="B162" s="19"/>
    </row>
    <row r="163" spans="1:3" ht="21" hidden="1" customHeight="1" outlineLevel="1" x14ac:dyDescent="0.25">
      <c r="A163" t="s">
        <v>29</v>
      </c>
      <c r="B163" s="19"/>
    </row>
    <row r="164" spans="1:3" ht="60" hidden="1" customHeight="1" outlineLevel="1" x14ac:dyDescent="0.25">
      <c r="A164" t="s">
        <v>30</v>
      </c>
      <c r="B164" s="19"/>
    </row>
    <row r="165" spans="1:3" ht="26.1" customHeight="1" collapsed="1" x14ac:dyDescent="0.3">
      <c r="A165" s="18" t="s">
        <v>70</v>
      </c>
      <c r="B165" s="17"/>
      <c r="C165" t="s">
        <v>35</v>
      </c>
    </row>
    <row r="166" spans="1:3" ht="21" hidden="1" customHeight="1" outlineLevel="1" x14ac:dyDescent="0.25">
      <c r="A166" t="s">
        <v>26</v>
      </c>
      <c r="B166" s="19"/>
    </row>
    <row r="167" spans="1:3" ht="60" hidden="1" customHeight="1" outlineLevel="1" x14ac:dyDescent="0.25">
      <c r="A167" t="s">
        <v>27</v>
      </c>
      <c r="B167" s="19"/>
    </row>
    <row r="168" spans="1:3" ht="21" hidden="1" customHeight="1" outlineLevel="1" x14ac:dyDescent="0.25">
      <c r="A168" t="s">
        <v>28</v>
      </c>
      <c r="B168" s="19"/>
    </row>
    <row r="169" spans="1:3" ht="21" hidden="1" customHeight="1" outlineLevel="1" x14ac:dyDescent="0.25">
      <c r="A169" t="s">
        <v>29</v>
      </c>
      <c r="B169" s="19"/>
    </row>
    <row r="170" spans="1:3" ht="60" hidden="1" customHeight="1" outlineLevel="1" x14ac:dyDescent="0.25">
      <c r="A170" t="s">
        <v>30</v>
      </c>
      <c r="B170" s="19"/>
    </row>
    <row r="171" spans="1:3" ht="26.1" customHeight="1" collapsed="1" x14ac:dyDescent="0.3">
      <c r="A171" s="18" t="s">
        <v>71</v>
      </c>
      <c r="B171" s="17"/>
      <c r="C171" t="s">
        <v>72</v>
      </c>
    </row>
    <row r="172" spans="1:3" ht="21" hidden="1" customHeight="1" outlineLevel="1" x14ac:dyDescent="0.25">
      <c r="A172" t="s">
        <v>26</v>
      </c>
      <c r="B172" s="19"/>
    </row>
    <row r="173" spans="1:3" ht="60" hidden="1" customHeight="1" outlineLevel="1" x14ac:dyDescent="0.25">
      <c r="A173" t="s">
        <v>27</v>
      </c>
      <c r="B173" s="19"/>
    </row>
    <row r="174" spans="1:3" ht="21" hidden="1" customHeight="1" outlineLevel="1" x14ac:dyDescent="0.25">
      <c r="A174" t="s">
        <v>28</v>
      </c>
      <c r="B174" s="19"/>
    </row>
    <row r="175" spans="1:3" ht="21" hidden="1" customHeight="1" outlineLevel="1" x14ac:dyDescent="0.25">
      <c r="A175" t="s">
        <v>29</v>
      </c>
      <c r="B175" s="19"/>
    </row>
    <row r="176" spans="1:3" ht="60" hidden="1" customHeight="1" outlineLevel="1" x14ac:dyDescent="0.25">
      <c r="A176" t="s">
        <v>30</v>
      </c>
      <c r="B176" s="19"/>
    </row>
    <row r="177" spans="1:3" ht="26.1" customHeight="1" collapsed="1" x14ac:dyDescent="0.3">
      <c r="A177" s="18" t="s">
        <v>73</v>
      </c>
      <c r="B177" s="17"/>
      <c r="C177" t="s">
        <v>55</v>
      </c>
    </row>
    <row r="178" spans="1:3" ht="21" hidden="1" customHeight="1" outlineLevel="1" x14ac:dyDescent="0.25">
      <c r="A178" t="s">
        <v>26</v>
      </c>
      <c r="B178" s="19"/>
    </row>
    <row r="179" spans="1:3" ht="60" hidden="1" customHeight="1" outlineLevel="1" x14ac:dyDescent="0.25">
      <c r="A179" t="s">
        <v>27</v>
      </c>
      <c r="B179" s="19"/>
    </row>
    <row r="180" spans="1:3" ht="21" hidden="1" customHeight="1" outlineLevel="1" x14ac:dyDescent="0.25">
      <c r="A180" t="s">
        <v>28</v>
      </c>
      <c r="B180" s="19"/>
    </row>
    <row r="181" spans="1:3" ht="21" hidden="1" customHeight="1" outlineLevel="1" x14ac:dyDescent="0.25">
      <c r="A181" t="s">
        <v>29</v>
      </c>
      <c r="B181" s="19"/>
    </row>
    <row r="182" spans="1:3" ht="60" hidden="1" customHeight="1" outlineLevel="1" x14ac:dyDescent="0.25">
      <c r="A182" t="s">
        <v>30</v>
      </c>
      <c r="B182" s="19"/>
    </row>
    <row r="183" spans="1:3" ht="26.1" customHeight="1" collapsed="1" x14ac:dyDescent="0.3">
      <c r="A183" s="18" t="s">
        <v>74</v>
      </c>
      <c r="B183" s="17"/>
      <c r="C183" t="s">
        <v>35</v>
      </c>
    </row>
    <row r="184" spans="1:3" ht="21" hidden="1" customHeight="1" outlineLevel="1" x14ac:dyDescent="0.25">
      <c r="A184" t="s">
        <v>26</v>
      </c>
      <c r="B184" s="19"/>
    </row>
    <row r="185" spans="1:3" ht="60" hidden="1" customHeight="1" outlineLevel="1" x14ac:dyDescent="0.25">
      <c r="A185" t="s">
        <v>27</v>
      </c>
      <c r="B185" s="19"/>
    </row>
    <row r="186" spans="1:3" ht="21" hidden="1" customHeight="1" outlineLevel="1" x14ac:dyDescent="0.25">
      <c r="A186" t="s">
        <v>28</v>
      </c>
      <c r="B186" s="19"/>
    </row>
    <row r="187" spans="1:3" ht="21" hidden="1" customHeight="1" outlineLevel="1" x14ac:dyDescent="0.25">
      <c r="A187" t="s">
        <v>29</v>
      </c>
      <c r="B187" s="19"/>
    </row>
    <row r="188" spans="1:3" ht="60" hidden="1" customHeight="1" outlineLevel="1" x14ac:dyDescent="0.25">
      <c r="A188" t="s">
        <v>30</v>
      </c>
      <c r="B188" s="19"/>
    </row>
    <row r="189" spans="1:3" ht="26.1" customHeight="1" collapsed="1" x14ac:dyDescent="0.3">
      <c r="A189" s="18" t="s">
        <v>75</v>
      </c>
      <c r="B189" s="17"/>
      <c r="C189" t="s">
        <v>76</v>
      </c>
    </row>
    <row r="190" spans="1:3" ht="21" hidden="1" customHeight="1" outlineLevel="1" x14ac:dyDescent="0.25">
      <c r="A190" t="s">
        <v>26</v>
      </c>
      <c r="B190" s="19"/>
    </row>
    <row r="191" spans="1:3" ht="60" hidden="1" customHeight="1" outlineLevel="1" x14ac:dyDescent="0.25">
      <c r="A191" t="s">
        <v>27</v>
      </c>
      <c r="B191" s="19"/>
    </row>
    <row r="192" spans="1:3" ht="21" hidden="1" customHeight="1" outlineLevel="1" x14ac:dyDescent="0.25">
      <c r="A192" t="s">
        <v>28</v>
      </c>
      <c r="B192" s="19"/>
    </row>
    <row r="193" spans="1:3" ht="21" hidden="1" customHeight="1" outlineLevel="1" x14ac:dyDescent="0.25">
      <c r="A193" t="s">
        <v>29</v>
      </c>
      <c r="B193" s="19"/>
    </row>
    <row r="194" spans="1:3" ht="60" hidden="1" customHeight="1" outlineLevel="1" x14ac:dyDescent="0.25">
      <c r="A194" t="s">
        <v>30</v>
      </c>
      <c r="B194" s="19"/>
    </row>
    <row r="195" spans="1:3" ht="26.1" customHeight="1" collapsed="1" x14ac:dyDescent="0.3">
      <c r="A195" s="18" t="s">
        <v>77</v>
      </c>
      <c r="B195" s="17"/>
      <c r="C195" t="s">
        <v>55</v>
      </c>
    </row>
    <row r="196" spans="1:3" ht="21" hidden="1" customHeight="1" outlineLevel="1" x14ac:dyDescent="0.25">
      <c r="A196" t="s">
        <v>26</v>
      </c>
      <c r="B196" s="19"/>
    </row>
    <row r="197" spans="1:3" ht="60" hidden="1" customHeight="1" outlineLevel="1" x14ac:dyDescent="0.25">
      <c r="A197" t="s">
        <v>27</v>
      </c>
      <c r="B197" s="19"/>
    </row>
    <row r="198" spans="1:3" ht="21" hidden="1" customHeight="1" outlineLevel="1" x14ac:dyDescent="0.25">
      <c r="A198" t="s">
        <v>28</v>
      </c>
      <c r="B198" s="19"/>
    </row>
    <row r="199" spans="1:3" ht="21" hidden="1" customHeight="1" outlineLevel="1" x14ac:dyDescent="0.25">
      <c r="A199" t="s">
        <v>29</v>
      </c>
      <c r="B199" s="19"/>
    </row>
    <row r="200" spans="1:3" ht="60" hidden="1" customHeight="1" outlineLevel="1" x14ac:dyDescent="0.25">
      <c r="A200" t="s">
        <v>30</v>
      </c>
      <c r="B200" s="19"/>
    </row>
    <row r="201" spans="1:3" ht="26.1" customHeight="1" collapsed="1" x14ac:dyDescent="0.3">
      <c r="A201" s="18" t="s">
        <v>78</v>
      </c>
      <c r="B201" s="17"/>
    </row>
    <row r="202" spans="1:3" ht="21" hidden="1" customHeight="1" outlineLevel="1" x14ac:dyDescent="0.25">
      <c r="A202" t="s">
        <v>26</v>
      </c>
      <c r="B202" s="19"/>
    </row>
    <row r="203" spans="1:3" ht="60" hidden="1" customHeight="1" outlineLevel="1" x14ac:dyDescent="0.25">
      <c r="A203" t="s">
        <v>27</v>
      </c>
      <c r="B203" s="19"/>
    </row>
    <row r="204" spans="1:3" ht="21" hidden="1" customHeight="1" outlineLevel="1" x14ac:dyDescent="0.25">
      <c r="A204" t="s">
        <v>28</v>
      </c>
      <c r="B204" s="19"/>
    </row>
    <row r="205" spans="1:3" ht="21" hidden="1" customHeight="1" outlineLevel="1" x14ac:dyDescent="0.25">
      <c r="A205" t="s">
        <v>29</v>
      </c>
      <c r="B205" s="19"/>
    </row>
    <row r="206" spans="1:3" ht="60" hidden="1" customHeight="1" outlineLevel="1" x14ac:dyDescent="0.25">
      <c r="A206" t="s">
        <v>30</v>
      </c>
      <c r="B206" s="19"/>
    </row>
    <row r="207" spans="1:3" ht="26.1" customHeight="1" collapsed="1" x14ac:dyDescent="0.3">
      <c r="A207" s="18" t="s">
        <v>79</v>
      </c>
      <c r="B207" s="17"/>
      <c r="C207" t="s">
        <v>80</v>
      </c>
    </row>
    <row r="208" spans="1:3" ht="21" hidden="1" customHeight="1" outlineLevel="1" x14ac:dyDescent="0.25">
      <c r="A208" t="s">
        <v>26</v>
      </c>
      <c r="B208" s="19"/>
    </row>
    <row r="209" spans="1:3" ht="60" hidden="1" customHeight="1" outlineLevel="1" x14ac:dyDescent="0.25">
      <c r="A209" t="s">
        <v>27</v>
      </c>
      <c r="B209" s="19"/>
    </row>
    <row r="210" spans="1:3" ht="21" hidden="1" customHeight="1" outlineLevel="1" x14ac:dyDescent="0.25">
      <c r="A210" t="s">
        <v>28</v>
      </c>
      <c r="B210" s="19"/>
    </row>
    <row r="211" spans="1:3" ht="21" hidden="1" customHeight="1" outlineLevel="1" x14ac:dyDescent="0.25">
      <c r="A211" t="s">
        <v>29</v>
      </c>
      <c r="B211" s="19"/>
    </row>
    <row r="212" spans="1:3" ht="60" hidden="1" customHeight="1" outlineLevel="1" x14ac:dyDescent="0.25">
      <c r="A212" t="s">
        <v>30</v>
      </c>
      <c r="B212" s="19"/>
    </row>
    <row r="213" spans="1:3" ht="26.1" customHeight="1" collapsed="1" x14ac:dyDescent="0.3">
      <c r="A213" s="18" t="s">
        <v>81</v>
      </c>
      <c r="B213" s="17"/>
      <c r="C213" t="s">
        <v>82</v>
      </c>
    </row>
    <row r="214" spans="1:3" ht="21" hidden="1" customHeight="1" outlineLevel="1" x14ac:dyDescent="0.25">
      <c r="A214" t="s">
        <v>26</v>
      </c>
      <c r="B214" s="19"/>
    </row>
    <row r="215" spans="1:3" ht="60" hidden="1" customHeight="1" outlineLevel="1" x14ac:dyDescent="0.25">
      <c r="A215" t="s">
        <v>27</v>
      </c>
      <c r="B215" s="19"/>
    </row>
    <row r="216" spans="1:3" ht="21" hidden="1" customHeight="1" outlineLevel="1" x14ac:dyDescent="0.25">
      <c r="A216" t="s">
        <v>28</v>
      </c>
      <c r="B216" s="19"/>
    </row>
    <row r="217" spans="1:3" ht="21" hidden="1" customHeight="1" outlineLevel="1" x14ac:dyDescent="0.25">
      <c r="A217" t="s">
        <v>29</v>
      </c>
      <c r="B217" s="19"/>
    </row>
    <row r="218" spans="1:3" ht="60" hidden="1" customHeight="1" outlineLevel="1" x14ac:dyDescent="0.25">
      <c r="A218" t="s">
        <v>30</v>
      </c>
      <c r="B218" s="19"/>
    </row>
    <row r="219" spans="1:3" ht="26.1" customHeight="1" collapsed="1" x14ac:dyDescent="0.3">
      <c r="A219" s="18" t="s">
        <v>83</v>
      </c>
      <c r="B219" s="17"/>
      <c r="C219" t="s">
        <v>84</v>
      </c>
    </row>
    <row r="220" spans="1:3" ht="21" hidden="1" customHeight="1" outlineLevel="1" x14ac:dyDescent="0.25">
      <c r="A220" t="s">
        <v>26</v>
      </c>
      <c r="B220" s="19"/>
    </row>
    <row r="221" spans="1:3" ht="60" hidden="1" customHeight="1" outlineLevel="1" x14ac:dyDescent="0.25">
      <c r="A221" t="s">
        <v>27</v>
      </c>
      <c r="B221" s="19"/>
    </row>
    <row r="222" spans="1:3" ht="21" hidden="1" customHeight="1" outlineLevel="1" x14ac:dyDescent="0.25">
      <c r="A222" t="s">
        <v>28</v>
      </c>
      <c r="B222" s="19"/>
    </row>
    <row r="223" spans="1:3" ht="21" hidden="1" customHeight="1" outlineLevel="1" x14ac:dyDescent="0.25">
      <c r="A223" t="s">
        <v>29</v>
      </c>
      <c r="B223" s="19"/>
    </row>
    <row r="224" spans="1:3" ht="60" hidden="1" customHeight="1" outlineLevel="1" x14ac:dyDescent="0.25">
      <c r="A224" t="s">
        <v>30</v>
      </c>
      <c r="B224" s="19"/>
    </row>
    <row r="225" spans="1:2" ht="26.1" customHeight="1" collapsed="1" x14ac:dyDescent="0.3">
      <c r="A225" s="18" t="s">
        <v>85</v>
      </c>
      <c r="B225" s="17"/>
    </row>
    <row r="226" spans="1:2" ht="21" hidden="1" customHeight="1" outlineLevel="1" x14ac:dyDescent="0.25">
      <c r="A226" t="s">
        <v>26</v>
      </c>
      <c r="B226" s="19"/>
    </row>
    <row r="227" spans="1:2" ht="247.5" hidden="1" customHeight="1" outlineLevel="1" x14ac:dyDescent="0.25">
      <c r="A227" t="s">
        <v>27</v>
      </c>
      <c r="B227" s="19" t="s">
        <v>86</v>
      </c>
    </row>
    <row r="228" spans="1:2" ht="21" hidden="1" customHeight="1" outlineLevel="1" x14ac:dyDescent="0.25">
      <c r="A228" t="s">
        <v>28</v>
      </c>
      <c r="B228" s="19"/>
    </row>
    <row r="229" spans="1:2" ht="21" hidden="1" customHeight="1" outlineLevel="1" x14ac:dyDescent="0.25">
      <c r="A229" t="s">
        <v>29</v>
      </c>
      <c r="B229" s="19"/>
    </row>
    <row r="230" spans="1:2" ht="60" hidden="1" customHeight="1" outlineLevel="1" x14ac:dyDescent="0.25">
      <c r="A230" t="s">
        <v>30</v>
      </c>
      <c r="B230" s="19"/>
    </row>
    <row r="231" spans="1:2" ht="26.1" customHeight="1" collapsed="1" x14ac:dyDescent="0.3">
      <c r="A231" s="18" t="s">
        <v>87</v>
      </c>
      <c r="B231" s="17"/>
    </row>
    <row r="232" spans="1:2" ht="21" hidden="1" customHeight="1" outlineLevel="1" x14ac:dyDescent="0.25">
      <c r="A232" t="s">
        <v>26</v>
      </c>
      <c r="B232" s="19"/>
    </row>
    <row r="233" spans="1:2" ht="60" hidden="1" customHeight="1" outlineLevel="1" x14ac:dyDescent="0.25">
      <c r="A233" t="s">
        <v>27</v>
      </c>
      <c r="B233" s="19"/>
    </row>
    <row r="234" spans="1:2" ht="21" hidden="1" customHeight="1" outlineLevel="1" x14ac:dyDescent="0.25">
      <c r="A234" t="s">
        <v>28</v>
      </c>
      <c r="B234" s="19"/>
    </row>
    <row r="235" spans="1:2" ht="21" hidden="1" customHeight="1" outlineLevel="1" x14ac:dyDescent="0.25">
      <c r="A235" t="s">
        <v>29</v>
      </c>
      <c r="B235" s="19"/>
    </row>
    <row r="236" spans="1:2" ht="60" hidden="1" customHeight="1" outlineLevel="1" x14ac:dyDescent="0.25">
      <c r="A236" t="s">
        <v>30</v>
      </c>
      <c r="B236" s="19"/>
    </row>
    <row r="237" spans="1:2" ht="26.1" customHeight="1" collapsed="1" x14ac:dyDescent="0.3">
      <c r="A237" s="18" t="s">
        <v>88</v>
      </c>
      <c r="B237" s="17"/>
    </row>
    <row r="238" spans="1:2" ht="21" hidden="1" customHeight="1" outlineLevel="1" x14ac:dyDescent="0.25">
      <c r="A238" t="s">
        <v>26</v>
      </c>
      <c r="B238" s="19"/>
    </row>
    <row r="239" spans="1:2" ht="60" hidden="1" customHeight="1" outlineLevel="1" x14ac:dyDescent="0.25">
      <c r="A239" t="s">
        <v>27</v>
      </c>
      <c r="B239" s="19"/>
    </row>
    <row r="240" spans="1:2" ht="21" hidden="1" customHeight="1" outlineLevel="1" x14ac:dyDescent="0.25">
      <c r="A240" t="s">
        <v>28</v>
      </c>
      <c r="B240" s="19"/>
    </row>
    <row r="241" spans="1:3" ht="21" hidden="1" customHeight="1" outlineLevel="1" x14ac:dyDescent="0.25">
      <c r="A241" t="s">
        <v>29</v>
      </c>
      <c r="B241" s="19"/>
    </row>
    <row r="242" spans="1:3" ht="60" hidden="1" customHeight="1" outlineLevel="1" x14ac:dyDescent="0.25">
      <c r="A242" t="s">
        <v>30</v>
      </c>
      <c r="B242" s="19"/>
    </row>
    <row r="243" spans="1:3" ht="26.1" customHeight="1" collapsed="1" x14ac:dyDescent="0.3">
      <c r="A243" s="18" t="s">
        <v>89</v>
      </c>
      <c r="B243" s="17"/>
      <c r="C243" t="s">
        <v>55</v>
      </c>
    </row>
    <row r="244" spans="1:3" ht="21" hidden="1" customHeight="1" outlineLevel="1" x14ac:dyDescent="0.25">
      <c r="A244" t="s">
        <v>26</v>
      </c>
      <c r="B244" s="19"/>
    </row>
    <row r="245" spans="1:3" ht="60" hidden="1" customHeight="1" outlineLevel="1" x14ac:dyDescent="0.25">
      <c r="A245" t="s">
        <v>27</v>
      </c>
      <c r="B245" s="19"/>
    </row>
    <row r="246" spans="1:3" ht="21" hidden="1" customHeight="1" outlineLevel="1" x14ac:dyDescent="0.25">
      <c r="A246" t="s">
        <v>28</v>
      </c>
      <c r="B246" s="19"/>
    </row>
    <row r="247" spans="1:3" ht="21" hidden="1" customHeight="1" outlineLevel="1" x14ac:dyDescent="0.25">
      <c r="A247" t="s">
        <v>29</v>
      </c>
      <c r="B247" s="19"/>
    </row>
    <row r="248" spans="1:3" ht="60" hidden="1" customHeight="1" outlineLevel="1" x14ac:dyDescent="0.25">
      <c r="A248" t="s">
        <v>30</v>
      </c>
      <c r="B248" s="19"/>
    </row>
    <row r="249" spans="1:3" ht="26.1" customHeight="1" collapsed="1" x14ac:dyDescent="0.3">
      <c r="A249" s="18" t="s">
        <v>90</v>
      </c>
      <c r="B249" s="17"/>
      <c r="C249" t="s">
        <v>91</v>
      </c>
    </row>
    <row r="250" spans="1:3" ht="21" hidden="1" customHeight="1" outlineLevel="1" x14ac:dyDescent="0.25">
      <c r="A250" t="s">
        <v>26</v>
      </c>
      <c r="B250" s="19"/>
    </row>
    <row r="251" spans="1:3" ht="60" hidden="1" customHeight="1" outlineLevel="1" x14ac:dyDescent="0.25">
      <c r="A251" t="s">
        <v>27</v>
      </c>
      <c r="B251" s="19"/>
    </row>
    <row r="252" spans="1:3" ht="21" hidden="1" customHeight="1" outlineLevel="1" x14ac:dyDescent="0.25">
      <c r="A252" t="s">
        <v>28</v>
      </c>
      <c r="B252" s="19"/>
    </row>
    <row r="253" spans="1:3" ht="21" hidden="1" customHeight="1" outlineLevel="1" x14ac:dyDescent="0.25">
      <c r="A253" t="s">
        <v>29</v>
      </c>
      <c r="B253" s="19"/>
    </row>
    <row r="254" spans="1:3" ht="60" hidden="1" customHeight="1" outlineLevel="1" x14ac:dyDescent="0.25">
      <c r="A254" t="s">
        <v>30</v>
      </c>
      <c r="B254" s="19"/>
    </row>
    <row r="255" spans="1:3" ht="26.1" customHeight="1" collapsed="1" x14ac:dyDescent="0.3">
      <c r="A255" s="18" t="s">
        <v>92</v>
      </c>
      <c r="B255" s="17"/>
      <c r="C255" t="s">
        <v>55</v>
      </c>
    </row>
    <row r="256" spans="1:3" ht="21" hidden="1" customHeight="1" outlineLevel="1" x14ac:dyDescent="0.25">
      <c r="A256" t="s">
        <v>26</v>
      </c>
      <c r="B256" s="19"/>
    </row>
    <row r="257" spans="1:3" ht="60" hidden="1" customHeight="1" outlineLevel="1" x14ac:dyDescent="0.25">
      <c r="A257" t="s">
        <v>27</v>
      </c>
      <c r="B257" s="19"/>
    </row>
    <row r="258" spans="1:3" ht="21" hidden="1" customHeight="1" outlineLevel="1" x14ac:dyDescent="0.25">
      <c r="A258" t="s">
        <v>28</v>
      </c>
      <c r="B258" s="19"/>
    </row>
    <row r="259" spans="1:3" ht="21" hidden="1" customHeight="1" outlineLevel="1" x14ac:dyDescent="0.25">
      <c r="A259" t="s">
        <v>29</v>
      </c>
      <c r="B259" s="19"/>
    </row>
    <row r="260" spans="1:3" ht="60" hidden="1" customHeight="1" outlineLevel="1" x14ac:dyDescent="0.25">
      <c r="A260" t="s">
        <v>30</v>
      </c>
      <c r="B260" s="19"/>
    </row>
    <row r="261" spans="1:3" ht="26.1" customHeight="1" collapsed="1" x14ac:dyDescent="0.3">
      <c r="A261" s="18" t="s">
        <v>93</v>
      </c>
      <c r="B261" s="17"/>
      <c r="C261" t="s">
        <v>55</v>
      </c>
    </row>
    <row r="262" spans="1:3" ht="21" hidden="1" customHeight="1" outlineLevel="1" x14ac:dyDescent="0.25">
      <c r="A262" t="s">
        <v>26</v>
      </c>
      <c r="B262" s="19"/>
    </row>
    <row r="263" spans="1:3" ht="60" hidden="1" customHeight="1" outlineLevel="1" x14ac:dyDescent="0.25">
      <c r="A263" t="s">
        <v>27</v>
      </c>
      <c r="B263" s="19"/>
    </row>
    <row r="264" spans="1:3" ht="21" hidden="1" customHeight="1" outlineLevel="1" x14ac:dyDescent="0.25">
      <c r="A264" t="s">
        <v>28</v>
      </c>
      <c r="B264" s="19"/>
    </row>
    <row r="265" spans="1:3" ht="21" hidden="1" customHeight="1" outlineLevel="1" x14ac:dyDescent="0.25">
      <c r="A265" t="s">
        <v>29</v>
      </c>
      <c r="B265" s="19"/>
    </row>
    <row r="266" spans="1:3" ht="60" hidden="1" customHeight="1" outlineLevel="1" x14ac:dyDescent="0.25">
      <c r="A266" t="s">
        <v>30</v>
      </c>
      <c r="B266" s="19"/>
    </row>
    <row r="267" spans="1:3" ht="26.1" customHeight="1" collapsed="1" x14ac:dyDescent="0.3">
      <c r="A267" s="18" t="s">
        <v>94</v>
      </c>
      <c r="B267" s="17"/>
      <c r="C267" t="s">
        <v>55</v>
      </c>
    </row>
    <row r="268" spans="1:3" ht="21" hidden="1" customHeight="1" outlineLevel="1" x14ac:dyDescent="0.25">
      <c r="A268" t="s">
        <v>26</v>
      </c>
      <c r="B268" s="19"/>
    </row>
    <row r="269" spans="1:3" ht="60" hidden="1" customHeight="1" outlineLevel="1" x14ac:dyDescent="0.25">
      <c r="A269" t="s">
        <v>27</v>
      </c>
      <c r="B269" s="19"/>
    </row>
    <row r="270" spans="1:3" ht="21" hidden="1" customHeight="1" outlineLevel="1" x14ac:dyDescent="0.25">
      <c r="A270" t="s">
        <v>28</v>
      </c>
      <c r="B270" s="19"/>
    </row>
    <row r="271" spans="1:3" ht="21" hidden="1" customHeight="1" outlineLevel="1" x14ac:dyDescent="0.25">
      <c r="A271" t="s">
        <v>29</v>
      </c>
      <c r="B271" s="19"/>
    </row>
    <row r="272" spans="1:3" ht="60" hidden="1" customHeight="1" outlineLevel="1" x14ac:dyDescent="0.25">
      <c r="A272" t="s">
        <v>30</v>
      </c>
      <c r="B272" s="19"/>
    </row>
    <row r="273" spans="1:3" ht="26.1" customHeight="1" collapsed="1" x14ac:dyDescent="0.3">
      <c r="A273" s="21" t="s">
        <v>95</v>
      </c>
      <c r="B273" s="17"/>
      <c r="C273" t="s">
        <v>55</v>
      </c>
    </row>
    <row r="274" spans="1:3" ht="21" hidden="1" customHeight="1" outlineLevel="1" x14ac:dyDescent="0.25">
      <c r="A274" t="s">
        <v>26</v>
      </c>
      <c r="B274" s="19"/>
    </row>
    <row r="275" spans="1:3" ht="60" hidden="1" customHeight="1" outlineLevel="1" x14ac:dyDescent="0.25">
      <c r="A275" t="s">
        <v>27</v>
      </c>
      <c r="B275" s="19"/>
    </row>
    <row r="276" spans="1:3" ht="21" hidden="1" customHeight="1" outlineLevel="1" x14ac:dyDescent="0.25">
      <c r="A276" t="s">
        <v>28</v>
      </c>
      <c r="B276" s="19"/>
    </row>
    <row r="277" spans="1:3" ht="21" hidden="1" customHeight="1" outlineLevel="1" x14ac:dyDescent="0.25">
      <c r="A277" t="s">
        <v>29</v>
      </c>
      <c r="B277" s="19"/>
    </row>
    <row r="278" spans="1:3" ht="60" hidden="1" customHeight="1" outlineLevel="1" x14ac:dyDescent="0.25">
      <c r="A278" t="s">
        <v>30</v>
      </c>
      <c r="B278" s="19"/>
    </row>
    <row r="279" spans="1:3" ht="26.1" customHeight="1" collapsed="1" x14ac:dyDescent="0.3">
      <c r="A279" s="21" t="s">
        <v>96</v>
      </c>
      <c r="B279" s="17"/>
      <c r="C279" t="s">
        <v>55</v>
      </c>
    </row>
    <row r="280" spans="1:3" ht="21" hidden="1" customHeight="1" outlineLevel="1" x14ac:dyDescent="0.25">
      <c r="A280" t="s">
        <v>26</v>
      </c>
      <c r="B280" s="19"/>
    </row>
    <row r="281" spans="1:3" ht="60" hidden="1" customHeight="1" outlineLevel="1" x14ac:dyDescent="0.25">
      <c r="A281" t="s">
        <v>27</v>
      </c>
      <c r="B281" s="19"/>
    </row>
    <row r="282" spans="1:3" ht="21" hidden="1" customHeight="1" outlineLevel="1" x14ac:dyDescent="0.25">
      <c r="A282" t="s">
        <v>28</v>
      </c>
      <c r="B282" s="19"/>
    </row>
    <row r="283" spans="1:3" ht="21" hidden="1" customHeight="1" outlineLevel="1" x14ac:dyDescent="0.25">
      <c r="A283" t="s">
        <v>29</v>
      </c>
      <c r="B283" s="19"/>
    </row>
    <row r="284" spans="1:3" ht="60" hidden="1" customHeight="1" outlineLevel="1" x14ac:dyDescent="0.25">
      <c r="A284" t="s">
        <v>30</v>
      </c>
      <c r="B284" s="19"/>
    </row>
    <row r="285" spans="1:3" ht="26.1" customHeight="1" collapsed="1" x14ac:dyDescent="0.3">
      <c r="A285" s="21" t="s">
        <v>97</v>
      </c>
      <c r="B285" s="17"/>
      <c r="C285" t="s">
        <v>55</v>
      </c>
    </row>
    <row r="286" spans="1:3" ht="21" hidden="1" customHeight="1" outlineLevel="1" x14ac:dyDescent="0.25">
      <c r="A286" t="s">
        <v>26</v>
      </c>
      <c r="B286" s="19"/>
    </row>
    <row r="287" spans="1:3" ht="60" hidden="1" customHeight="1" outlineLevel="1" x14ac:dyDescent="0.25">
      <c r="A287" t="s">
        <v>27</v>
      </c>
      <c r="B287" s="19"/>
    </row>
    <row r="288" spans="1:3" ht="21" hidden="1" customHeight="1" outlineLevel="1" x14ac:dyDescent="0.25">
      <c r="A288" t="s">
        <v>28</v>
      </c>
      <c r="B288" s="19"/>
    </row>
    <row r="289" spans="1:2" ht="21" hidden="1" customHeight="1" outlineLevel="1" x14ac:dyDescent="0.25">
      <c r="A289" t="s">
        <v>29</v>
      </c>
      <c r="B289" s="19"/>
    </row>
    <row r="290" spans="1:2" ht="60" hidden="1" customHeight="1" outlineLevel="1" x14ac:dyDescent="0.25">
      <c r="A290" t="s">
        <v>30</v>
      </c>
      <c r="B290" s="19"/>
    </row>
    <row r="291" spans="1:2" ht="26.1" customHeight="1" collapsed="1" x14ac:dyDescent="0.3">
      <c r="A291" s="21" t="s">
        <v>169</v>
      </c>
      <c r="B291" s="17"/>
    </row>
    <row r="292" spans="1:2" ht="21" hidden="1" customHeight="1" outlineLevel="1" x14ac:dyDescent="0.25">
      <c r="A292" t="s">
        <v>26</v>
      </c>
      <c r="B292" s="19"/>
    </row>
    <row r="293" spans="1:2" ht="60" hidden="1" customHeight="1" outlineLevel="1" x14ac:dyDescent="0.25">
      <c r="A293" t="s">
        <v>27</v>
      </c>
      <c r="B293" s="19"/>
    </row>
    <row r="294" spans="1:2" ht="21" hidden="1" customHeight="1" outlineLevel="1" x14ac:dyDescent="0.25">
      <c r="A294" t="s">
        <v>28</v>
      </c>
      <c r="B294" s="19"/>
    </row>
    <row r="295" spans="1:2" ht="21" hidden="1" customHeight="1" outlineLevel="1" x14ac:dyDescent="0.25">
      <c r="A295" t="s">
        <v>29</v>
      </c>
      <c r="B295" s="19"/>
    </row>
    <row r="296" spans="1:2" ht="60" hidden="1" customHeight="1" outlineLevel="1" x14ac:dyDescent="0.25">
      <c r="A296" t="s">
        <v>30</v>
      </c>
      <c r="B296" s="19"/>
    </row>
  </sheetData>
  <autoFilter ref="A2:B2" xr:uid="{17666148-4C20-4392-A4A5-7733C3BE9C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2F01AE32C7AB74392339770D190F7A1" ma:contentTypeVersion="16" ma:contentTypeDescription="Create a new document." ma:contentTypeScope="" ma:versionID="2f8cdfe4b2c636f9d76636648fa2006a">
  <xsd:schema xmlns:xsd="http://www.w3.org/2001/XMLSchema" xmlns:xs="http://www.w3.org/2001/XMLSchema" xmlns:p="http://schemas.microsoft.com/office/2006/metadata/properties" xmlns:ns2="27fecebe-4e90-4579-ad40-b1d46e42571a" xmlns:ns3="45a69fee-7a07-484c-a578-b2a7a33f2c3d" targetNamespace="http://schemas.microsoft.com/office/2006/metadata/properties" ma:root="true" ma:fieldsID="b7f48505d11da99d9912f0637b7fb7f6" ns2:_="" ns3:_="">
    <xsd:import namespace="27fecebe-4e90-4579-ad40-b1d46e42571a"/>
    <xsd:import namespace="45a69fee-7a07-484c-a578-b2a7a33f2c3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3:SharedWithUsers" minOccurs="0"/>
                <xsd:element ref="ns3:SharedWithDetails"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7fecebe-4e90-4579-ad40-b1d46e4257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de59da7c-15ad-4b11-b87d-5e6a6d9cfbd4" ma:termSetId="09814cd3-568e-fe90-9814-8d621ff8fb84" ma:anchorId="fba54fb3-c3e1-fe81-a776-ca4b69148c4d" ma:open="true" ma:isKeyword="false">
      <xsd:complexType>
        <xsd:sequence>
          <xsd:element ref="pc:Terms" minOccurs="0" maxOccurs="1"/>
        </xsd:sequence>
      </xsd:complexType>
    </xsd:element>
    <xsd:element name="MediaLengthInSeconds" ma:index="20" nillable="true" ma:displayName="MediaLengthInSeconds" ma:hidden="true" ma:internalName="MediaLengthInSeconds" ma:readOnly="true">
      <xsd:simpleType>
        <xsd:restriction base="dms:Unknown"/>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5a69fee-7a07-484c-a578-b2a7a33f2c3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1a6cf44-a195-4185-8506-f0f55782707e}" ma:internalName="TaxCatchAll" ma:showField="CatchAllData" ma:web="45a69fee-7a07-484c-a578-b2a7a33f2c3d">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5a69fee-7a07-484c-a578-b2a7a33f2c3d" xsi:nil="true"/>
    <lcf76f155ced4ddcb4097134ff3c332f xmlns="27fecebe-4e90-4579-ad40-b1d46e42571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28B05CB-AC27-4255-BDDF-64B1EC3D32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7fecebe-4e90-4579-ad40-b1d46e42571a"/>
    <ds:schemaRef ds:uri="45a69fee-7a07-484c-a578-b2a7a33f2c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2EDB47F-D854-4071-ABDD-D454F42EFE97}">
  <ds:schemaRefs>
    <ds:schemaRef ds:uri="http://schemas.microsoft.com/sharepoint/v3/contenttype/forms"/>
  </ds:schemaRefs>
</ds:datastoreItem>
</file>

<file path=customXml/itemProps3.xml><?xml version="1.0" encoding="utf-8"?>
<ds:datastoreItem xmlns:ds="http://schemas.openxmlformats.org/officeDocument/2006/customXml" ds:itemID="{28B796A7-CD63-4D08-82B5-685D1FAF02BD}">
  <ds:schemaRefs>
    <ds:schemaRef ds:uri="http://schemas.microsoft.com/office/2006/metadata/properties"/>
    <ds:schemaRef ds:uri="http://schemas.microsoft.com/office/infopath/2007/PartnerControls"/>
    <ds:schemaRef ds:uri="45a69fee-7a07-484c-a578-b2a7a33f2c3d"/>
    <ds:schemaRef ds:uri="27fecebe-4e90-4579-ad40-b1d46e42571a"/>
  </ds:schemaRefs>
</ds:datastoreItem>
</file>

<file path=docMetadata/LabelInfo.xml><?xml version="1.0" encoding="utf-8"?>
<clbl:labelList xmlns:clbl="http://schemas.microsoft.com/office/2020/mipLabelMetadata">
  <clbl:label id="{ebec7dd3-915b-4795-b225-d7518cb7987e}" enabled="1" method="Privileged" siteId="{278f0faa-d395-499c-8234-520660c5e71e}"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3</vt:i4>
      </vt:variant>
    </vt:vector>
  </HeadingPairs>
  <TitlesOfParts>
    <vt:vector size="3" baseType="lpstr">
      <vt:lpstr>Alarms Log</vt:lpstr>
      <vt:lpstr>Summary by Property</vt:lpstr>
      <vt:lpstr>Done 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Timo Mikkonen</cp:lastModifiedBy>
  <cp:revision/>
  <dcterms:created xsi:type="dcterms:W3CDTF">2026-05-21T08:02:52Z</dcterms:created>
  <dcterms:modified xsi:type="dcterms:W3CDTF">2026-09-01T09:15:31Z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0x01010092F01AE32C7AB74392339770D190F7A1</vt:lpwstr>
  </property>
  <property fmtid="{D5CDD505-2E9C-101B-9397-08002B2CF9AE}" pid="3" name="MediaServiceImageTags">
    <vt:lpwstr/>
  </property>
</Properties>
</file>